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000360_alumnos_ufv_es/Documents/AIRLINE 33/"/>
    </mc:Choice>
  </mc:AlternateContent>
  <xr:revisionPtr revIDLastSave="0" documentId="8_{69DD283A-D295-4178-BB10-00E53CA53FBF}" xr6:coauthVersionLast="47" xr6:coauthVersionMax="47" xr10:uidLastSave="{00000000-0000-0000-0000-000000000000}"/>
  <bookViews>
    <workbookView xWindow="0" yWindow="0" windowWidth="28800" windowHeight="18000" firstSheet="14" activeTab="14" xr2:uid="{F8A1D0E6-E2BC-8046-BF71-145A54E6ECCD}"/>
  </bookViews>
  <sheets>
    <sheet name="CLIENTES" sheetId="20" r:id="rId1"/>
    <sheet name="A33 (NEW)" sheetId="34" r:id="rId2"/>
    <sheet name="A33" sheetId="2" state="hidden" r:id="rId3"/>
    <sheet name="BASE" sheetId="18" r:id="rId4"/>
    <sheet name="REVOLUT" sheetId="9" state="hidden" r:id="rId5"/>
    <sheet name="DROP 1" sheetId="19" state="hidden" r:id="rId6"/>
    <sheet name="1" sheetId="4" state="hidden" r:id="rId7"/>
    <sheet name="DROP 2" sheetId="25" state="hidden" r:id="rId8"/>
    <sheet name=" 2" sheetId="5" state="hidden" r:id="rId9"/>
    <sheet name="SUMMER DROP" sheetId="26" state="hidden" r:id="rId10"/>
    <sheet name="A33 X NO ART" sheetId="27" state="hidden" r:id="rId11"/>
    <sheet name="DROP 3" sheetId="29" state="hidden" r:id="rId12"/>
    <sheet name="DROP 4" sheetId="30" state="hidden" r:id="rId13"/>
    <sheet name="DROP 5" sheetId="31" state="hidden" r:id="rId14"/>
    <sheet name="D1" sheetId="35" r:id="rId15"/>
    <sheet name="NO ART" sheetId="7" state="hidden" r:id="rId16"/>
    <sheet name="SM" sheetId="6" state="hidden" r:id="rId17"/>
    <sheet name="3" sheetId="8" state="hidden" r:id="rId18"/>
    <sheet name="4" sheetId="11" state="hidden" r:id="rId19"/>
    <sheet name="5" sheetId="10" state="hidden" r:id="rId20"/>
  </sheets>
  <definedNames>
    <definedName name="ADRI">#REF!</definedName>
    <definedName name="ALEX_DELCLAUX">#REF!</definedName>
    <definedName name="ALVARO_NISTAL">#REF!</definedName>
    <definedName name="ANGEL">#REF!</definedName>
    <definedName name="ANNA">#REF!</definedName>
    <definedName name="ASTARLOA">#REF!</definedName>
    <definedName name="BALTHAZAR__VINTED">#REF!</definedName>
    <definedName name="BARALLOBRE">#REF!</definedName>
    <definedName name="BARTA">#REF!</definedName>
    <definedName name="BRUNO">#REF!</definedName>
    <definedName name="CAMACHO">#REF!</definedName>
    <definedName name="CANALES">#REF!</definedName>
    <definedName name="CANDELA">#REF!</definedName>
    <definedName name="CARLOTA">#REF!</definedName>
    <definedName name="CARMEN">#REF!</definedName>
    <definedName name="CASADO">#REF!</definedName>
    <definedName name="CASAPE">#REF!</definedName>
    <definedName name="CHIARRI">#REF!</definedName>
    <definedName name="CHORVO">#REF!</definedName>
    <definedName name="CRIS_ARTEAGA">#REF!</definedName>
    <definedName name="CUERVO">#REF!</definedName>
    <definedName name="DIEGO">#REF!</definedName>
    <definedName name="DIEGUITO">#REF!</definedName>
    <definedName name="DIRECTOR">#REF!</definedName>
    <definedName name="DOMINGUEZ">#REF!</definedName>
    <definedName name="FELIX">#REF!</definedName>
    <definedName name="FORMARIZ">#REF!</definedName>
    <definedName name="GA">#REF!</definedName>
    <definedName name="GABRIEL">#REF!</definedName>
    <definedName name="GENOVEVA">#REF!</definedName>
    <definedName name="IAGO">#REF!</definedName>
    <definedName name="IÑIGO">#REF!</definedName>
    <definedName name="JAIME_BUSTAMANTE">#REF!</definedName>
    <definedName name="JAIME_RAMIREZ">#REF!</definedName>
    <definedName name="JAIME_RICO">#REF!</definedName>
    <definedName name="JAIME_X">#REF!</definedName>
    <definedName name="JORDI">#REF!</definedName>
    <definedName name="JOSE">#REF!</definedName>
    <definedName name="JP">#REF!</definedName>
    <definedName name="JUANMA">#REF!</definedName>
    <definedName name="JUANPA">#REF!</definedName>
    <definedName name="JUANTO">#REF!</definedName>
    <definedName name="JUST.JEANNE__VINTED">#REF!</definedName>
    <definedName name="LAURA_PUIG">#REF!</definedName>
    <definedName name="LUIS_CANADA">#REF!</definedName>
    <definedName name="LYDIABELLET__VINTED">#REF!</definedName>
    <definedName name="MARIO_MIRON">#REF!</definedName>
    <definedName name="MARQUINA">#REF!</definedName>
    <definedName name="MONICA">#REF!</definedName>
    <definedName name="MUÑOZ">#REF!</definedName>
    <definedName name="NACHO_DE_BENITO">#REF!</definedName>
    <definedName name="NACHO_PEREZ">#REF!</definedName>
    <definedName name="NATHAN">#REF!</definedName>
    <definedName name="NICO_DIAMANTO">#REF!</definedName>
    <definedName name="NICO_RUIZ">#REF!</definedName>
    <definedName name="PEREZ">#REF!</definedName>
    <definedName name="PETER">#REF!</definedName>
    <definedName name="PUIG">#REF!</definedName>
    <definedName name="PUPI">#REF!</definedName>
    <definedName name="QUINTANA">#REF!</definedName>
    <definedName name="RODRI">#REF!</definedName>
    <definedName name="RUBINI">#REF!</definedName>
    <definedName name="SAMUEL">#REF!</definedName>
    <definedName name="SEANFFUL__VINTED">#REF!</definedName>
    <definedName name="SESE">#REF!</definedName>
    <definedName name="TITO">#REF!</definedName>
    <definedName name="TITOUAN__VINTED">#REF!</definedName>
    <definedName name="VICTOR">#REF!</definedName>
    <definedName name="WEISTERS">#REF!</definedName>
  </definedNames>
  <calcPr calcId="191028" calcCompleted="0"/>
  <pivotCaches>
    <pivotCache cacheId="344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" i="35" l="1"/>
  <c r="T49" i="35"/>
  <c r="C11" i="35"/>
  <c r="V59" i="35"/>
  <c r="V58" i="35"/>
  <c r="K50" i="31"/>
  <c r="K51" i="31"/>
  <c r="AE3" i="34"/>
  <c r="AE4" i="34"/>
  <c r="C14" i="35"/>
  <c r="R4" i="34"/>
  <c r="R13" i="34"/>
  <c r="R27" i="34"/>
  <c r="E8" i="34"/>
  <c r="K32" i="34"/>
  <c r="J32" i="34"/>
  <c r="K4" i="34"/>
  <c r="J4" i="34"/>
  <c r="D38" i="2"/>
  <c r="D37" i="2"/>
  <c r="D36" i="2"/>
  <c r="D35" i="2"/>
  <c r="E37" i="2"/>
  <c r="E36" i="2"/>
  <c r="E35" i="2"/>
  <c r="C65" i="19"/>
  <c r="D65" i="19"/>
  <c r="D6" i="35"/>
  <c r="AE8" i="34"/>
  <c r="AE7" i="34"/>
  <c r="T40" i="18"/>
  <c r="T67" i="35"/>
  <c r="T66" i="35"/>
  <c r="AA5" i="34"/>
  <c r="AC5" i="34"/>
  <c r="AD5" i="34"/>
  <c r="AA6" i="34"/>
  <c r="AC6" i="34"/>
  <c r="AD6" i="34"/>
  <c r="AD7" i="34"/>
  <c r="AD8" i="34"/>
  <c r="S31" i="35"/>
  <c r="S32" i="35"/>
  <c r="S33" i="35"/>
  <c r="S34" i="35"/>
  <c r="S40" i="35"/>
  <c r="S41" i="35"/>
  <c r="S42" i="35"/>
  <c r="S43" i="35"/>
  <c r="S49" i="35"/>
  <c r="S50" i="35"/>
  <c r="S51" i="35"/>
  <c r="S52" i="35"/>
  <c r="S58" i="35"/>
  <c r="S59" i="35"/>
  <c r="S60" i="35"/>
  <c r="S61" i="35"/>
  <c r="S66" i="35"/>
  <c r="S67" i="35"/>
  <c r="S68" i="35"/>
  <c r="S69" i="35"/>
  <c r="G100" i="35"/>
  <c r="C100" i="35"/>
  <c r="D100" i="35"/>
  <c r="B100" i="35"/>
  <c r="G99" i="35"/>
  <c r="C99" i="35"/>
  <c r="D99" i="35"/>
  <c r="B99" i="35"/>
  <c r="G98" i="35"/>
  <c r="C98" i="35"/>
  <c r="D98" i="35"/>
  <c r="B98" i="35"/>
  <c r="G97" i="35"/>
  <c r="C97" i="35"/>
  <c r="D97" i="35"/>
  <c r="B97" i="35"/>
  <c r="G96" i="35"/>
  <c r="C96" i="35"/>
  <c r="D96" i="35"/>
  <c r="B96" i="35"/>
  <c r="G95" i="35"/>
  <c r="C95" i="35"/>
  <c r="D95" i="35"/>
  <c r="B95" i="35"/>
  <c r="G94" i="35"/>
  <c r="C94" i="35"/>
  <c r="D94" i="35"/>
  <c r="B94" i="35"/>
  <c r="G93" i="35"/>
  <c r="C93" i="35"/>
  <c r="D93" i="35"/>
  <c r="B93" i="35"/>
  <c r="G92" i="35"/>
  <c r="C92" i="35"/>
  <c r="D92" i="35"/>
  <c r="B92" i="35"/>
  <c r="G91" i="35"/>
  <c r="C91" i="35"/>
  <c r="D91" i="35"/>
  <c r="B91" i="35"/>
  <c r="G90" i="35"/>
  <c r="C90" i="35"/>
  <c r="D90" i="35"/>
  <c r="B90" i="35"/>
  <c r="G89" i="35"/>
  <c r="C89" i="35"/>
  <c r="D89" i="35"/>
  <c r="B89" i="35"/>
  <c r="G88" i="35"/>
  <c r="C88" i="35"/>
  <c r="D88" i="35"/>
  <c r="B88" i="35"/>
  <c r="G87" i="35"/>
  <c r="C87" i="35"/>
  <c r="D87" i="35"/>
  <c r="B87" i="35"/>
  <c r="G86" i="35"/>
  <c r="C86" i="35"/>
  <c r="D86" i="35"/>
  <c r="B86" i="35"/>
  <c r="G85" i="35"/>
  <c r="C85" i="35"/>
  <c r="D85" i="35"/>
  <c r="B85" i="35"/>
  <c r="G84" i="35"/>
  <c r="C84" i="35"/>
  <c r="D84" i="35"/>
  <c r="B84" i="35"/>
  <c r="G83" i="35"/>
  <c r="C83" i="35"/>
  <c r="D83" i="35"/>
  <c r="B83" i="35"/>
  <c r="G82" i="35"/>
  <c r="C82" i="35"/>
  <c r="D82" i="35"/>
  <c r="B82" i="35"/>
  <c r="G81" i="35"/>
  <c r="C81" i="35"/>
  <c r="D81" i="35"/>
  <c r="B81" i="35"/>
  <c r="G80" i="35"/>
  <c r="C80" i="35"/>
  <c r="D80" i="35"/>
  <c r="B80" i="35"/>
  <c r="G79" i="35"/>
  <c r="C79" i="35"/>
  <c r="D79" i="35"/>
  <c r="B79" i="35"/>
  <c r="G78" i="35"/>
  <c r="C78" i="35"/>
  <c r="D78" i="35"/>
  <c r="B78" i="35"/>
  <c r="G77" i="35"/>
  <c r="C77" i="35"/>
  <c r="D77" i="35"/>
  <c r="B77" i="35"/>
  <c r="G76" i="35"/>
  <c r="C76" i="35"/>
  <c r="D76" i="35"/>
  <c r="B76" i="35"/>
  <c r="G75" i="35"/>
  <c r="C75" i="35"/>
  <c r="D75" i="35"/>
  <c r="B75" i="35"/>
  <c r="G74" i="35"/>
  <c r="C74" i="35"/>
  <c r="D74" i="35"/>
  <c r="B74" i="35"/>
  <c r="G73" i="35"/>
  <c r="C73" i="35"/>
  <c r="D73" i="35"/>
  <c r="B73" i="35"/>
  <c r="G72" i="35"/>
  <c r="C72" i="35"/>
  <c r="D72" i="35"/>
  <c r="B72" i="35"/>
  <c r="G71" i="35"/>
  <c r="C71" i="35"/>
  <c r="D71" i="35"/>
  <c r="B71" i="35"/>
  <c r="G70" i="35"/>
  <c r="C70" i="35"/>
  <c r="D70" i="35"/>
  <c r="B70" i="35"/>
  <c r="G69" i="35"/>
  <c r="C69" i="35"/>
  <c r="D69" i="35"/>
  <c r="B69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G68" i="35"/>
  <c r="C68" i="35"/>
  <c r="D68" i="35"/>
  <c r="B68" i="35"/>
  <c r="G67" i="35"/>
  <c r="C67" i="35"/>
  <c r="D67" i="35"/>
  <c r="B67" i="35"/>
  <c r="G66" i="35"/>
  <c r="C66" i="35"/>
  <c r="D66" i="35"/>
  <c r="B66" i="35"/>
  <c r="W63" i="35"/>
  <c r="W62" i="35"/>
  <c r="O64" i="35"/>
  <c r="E100" i="35"/>
  <c r="O63" i="35"/>
  <c r="E99" i="35"/>
  <c r="O62" i="35"/>
  <c r="E98" i="35"/>
  <c r="O61" i="35"/>
  <c r="E97" i="35"/>
  <c r="O60" i="35"/>
  <c r="E96" i="35"/>
  <c r="O59" i="35"/>
  <c r="E95" i="35"/>
  <c r="O58" i="35"/>
  <c r="E94" i="35"/>
  <c r="X54" i="35"/>
  <c r="Y54" i="35"/>
  <c r="O57" i="35"/>
  <c r="E93" i="35"/>
  <c r="X53" i="35"/>
  <c r="Y53" i="35"/>
  <c r="O56" i="35"/>
  <c r="E92" i="35"/>
  <c r="X52" i="35"/>
  <c r="O55" i="35"/>
  <c r="E91" i="35"/>
  <c r="X51" i="35"/>
  <c r="O54" i="35"/>
  <c r="E90" i="35"/>
  <c r="X50" i="35"/>
  <c r="O53" i="35"/>
  <c r="E89" i="35"/>
  <c r="X49" i="35"/>
  <c r="O52" i="35"/>
  <c r="E88" i="35"/>
  <c r="O51" i="35"/>
  <c r="E87" i="35"/>
  <c r="O50" i="35"/>
  <c r="E86" i="35"/>
  <c r="O49" i="35"/>
  <c r="E85" i="35"/>
  <c r="W45" i="35"/>
  <c r="V45" i="35"/>
  <c r="U45" i="35"/>
  <c r="O48" i="35"/>
  <c r="E84" i="35"/>
  <c r="W44" i="35"/>
  <c r="V44" i="35"/>
  <c r="U44" i="35"/>
  <c r="X44" i="35"/>
  <c r="Y44" i="35"/>
  <c r="O47" i="35"/>
  <c r="E83" i="35"/>
  <c r="W43" i="35"/>
  <c r="V43" i="35"/>
  <c r="U43" i="35"/>
  <c r="X43" i="35"/>
  <c r="T43" i="35"/>
  <c r="O46" i="35"/>
  <c r="E82" i="35"/>
  <c r="W42" i="35"/>
  <c r="V42" i="35"/>
  <c r="U42" i="35"/>
  <c r="T42" i="35"/>
  <c r="O45" i="35"/>
  <c r="E81" i="35"/>
  <c r="W41" i="35"/>
  <c r="AG4" i="35"/>
  <c r="V41" i="35"/>
  <c r="U41" i="35"/>
  <c r="AE4" i="35"/>
  <c r="O44" i="35"/>
  <c r="E80" i="35"/>
  <c r="W40" i="35"/>
  <c r="V40" i="35"/>
  <c r="U40" i="35"/>
  <c r="O43" i="35"/>
  <c r="E79" i="35"/>
  <c r="O42" i="35"/>
  <c r="E78" i="35"/>
  <c r="O41" i="35"/>
  <c r="E77" i="35"/>
  <c r="O40" i="35"/>
  <c r="E76" i="35"/>
  <c r="V36" i="35"/>
  <c r="W36" i="35"/>
  <c r="X36" i="35"/>
  <c r="O39" i="35"/>
  <c r="E75" i="35"/>
  <c r="V35" i="35"/>
  <c r="W35" i="35"/>
  <c r="X35" i="35"/>
  <c r="O38" i="35"/>
  <c r="E74" i="35"/>
  <c r="O37" i="35"/>
  <c r="E73" i="35"/>
  <c r="O36" i="35"/>
  <c r="E72" i="35"/>
  <c r="O35" i="35"/>
  <c r="E71" i="35"/>
  <c r="O34" i="35"/>
  <c r="E70" i="35"/>
  <c r="O33" i="35"/>
  <c r="E69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O32" i="35"/>
  <c r="E68" i="35"/>
  <c r="O31" i="35"/>
  <c r="E67" i="35"/>
  <c r="O30" i="35"/>
  <c r="E66" i="35"/>
  <c r="AA25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L25" i="35"/>
  <c r="I25" i="35"/>
  <c r="F25" i="35"/>
  <c r="C25" i="35"/>
  <c r="X21" i="35"/>
  <c r="X20" i="35"/>
  <c r="X19" i="35"/>
  <c r="X18" i="35"/>
  <c r="X17" i="35"/>
  <c r="X16" i="35"/>
  <c r="AA12" i="35"/>
  <c r="AG8" i="35"/>
  <c r="AF8" i="35"/>
  <c r="AE8" i="35"/>
  <c r="X8" i="35"/>
  <c r="AH7" i="35"/>
  <c r="AI7" i="35"/>
  <c r="AG7" i="35"/>
  <c r="AF7" i="35"/>
  <c r="AE7" i="35"/>
  <c r="X7" i="35"/>
  <c r="AG6" i="35"/>
  <c r="AF6" i="35"/>
  <c r="M28" i="35"/>
  <c r="AE6" i="35"/>
  <c r="AD6" i="35"/>
  <c r="AC6" i="35"/>
  <c r="X6" i="35"/>
  <c r="U34" i="35"/>
  <c r="AG5" i="35"/>
  <c r="AF5" i="35"/>
  <c r="J28" i="35"/>
  <c r="AE5" i="35"/>
  <c r="AD5" i="35"/>
  <c r="AC5" i="35"/>
  <c r="X5" i="35"/>
  <c r="U33" i="35"/>
  <c r="AF4" i="35"/>
  <c r="AD4" i="35"/>
  <c r="AC4" i="35"/>
  <c r="X4" i="35"/>
  <c r="U32" i="35"/>
  <c r="AG3" i="35"/>
  <c r="AF3" i="35"/>
  <c r="AE3" i="35"/>
  <c r="AD3" i="35"/>
  <c r="P31" i="35"/>
  <c r="F67" i="35"/>
  <c r="AC3" i="35"/>
  <c r="X3" i="35"/>
  <c r="U31" i="35"/>
  <c r="L32" i="34"/>
  <c r="Q20" i="34"/>
  <c r="I5" i="34"/>
  <c r="L5" i="34"/>
  <c r="M4" i="34"/>
  <c r="N4" i="34"/>
  <c r="M39" i="34"/>
  <c r="N39" i="34"/>
  <c r="I39" i="34"/>
  <c r="L39" i="34"/>
  <c r="M38" i="34"/>
  <c r="N38" i="34"/>
  <c r="M37" i="34"/>
  <c r="N37" i="34"/>
  <c r="I38" i="34"/>
  <c r="L38" i="34"/>
  <c r="I37" i="34"/>
  <c r="L37" i="34"/>
  <c r="M35" i="34"/>
  <c r="N35" i="34"/>
  <c r="I36" i="34"/>
  <c r="L36" i="34"/>
  <c r="I35" i="34"/>
  <c r="L35" i="34"/>
  <c r="M33" i="34"/>
  <c r="N33" i="34"/>
  <c r="I34" i="34"/>
  <c r="L34" i="34"/>
  <c r="J41" i="34"/>
  <c r="X25" i="34"/>
  <c r="W25" i="34"/>
  <c r="U25" i="34"/>
  <c r="V25" i="34"/>
  <c r="M25" i="34"/>
  <c r="N25" i="34"/>
  <c r="Q25" i="34"/>
  <c r="T25" i="34"/>
  <c r="M24" i="34"/>
  <c r="N24" i="34"/>
  <c r="I25" i="34"/>
  <c r="L25" i="34"/>
  <c r="U23" i="34"/>
  <c r="Q24" i="34"/>
  <c r="M23" i="34"/>
  <c r="N23" i="34"/>
  <c r="U22" i="34"/>
  <c r="V22" i="34"/>
  <c r="M22" i="34"/>
  <c r="N22" i="34"/>
  <c r="I23" i="34"/>
  <c r="L23" i="34"/>
  <c r="U21" i="34"/>
  <c r="Q22" i="34"/>
  <c r="M21" i="34"/>
  <c r="N21" i="34"/>
  <c r="Q21" i="34"/>
  <c r="T21" i="34"/>
  <c r="M20" i="34"/>
  <c r="N20" i="34"/>
  <c r="I21" i="34"/>
  <c r="L21" i="34"/>
  <c r="U19" i="34"/>
  <c r="I20" i="34"/>
  <c r="L20" i="34"/>
  <c r="U11" i="34"/>
  <c r="V11" i="34"/>
  <c r="M11" i="34"/>
  <c r="N11" i="34"/>
  <c r="U10" i="34"/>
  <c r="V10" i="34"/>
  <c r="Q11" i="34"/>
  <c r="T11" i="34"/>
  <c r="Q10" i="34"/>
  <c r="T10" i="34"/>
  <c r="I11" i="34"/>
  <c r="L11" i="34"/>
  <c r="W24" i="34"/>
  <c r="U9" i="34"/>
  <c r="V9" i="34"/>
  <c r="W23" i="34"/>
  <c r="Q9" i="34"/>
  <c r="T9" i="34"/>
  <c r="X23" i="34"/>
  <c r="U8" i="34"/>
  <c r="V8" i="34"/>
  <c r="X22" i="34"/>
  <c r="Q8" i="34"/>
  <c r="T8" i="34"/>
  <c r="I9" i="34"/>
  <c r="L9" i="34"/>
  <c r="W22" i="34"/>
  <c r="U7" i="34"/>
  <c r="V7" i="34"/>
  <c r="W21" i="34"/>
  <c r="Q7" i="34"/>
  <c r="T7" i="34"/>
  <c r="X21" i="34"/>
  <c r="U6" i="34"/>
  <c r="V6" i="34"/>
  <c r="X20" i="34"/>
  <c r="Q6" i="34"/>
  <c r="T6" i="34"/>
  <c r="I7" i="34"/>
  <c r="L7" i="34"/>
  <c r="W20" i="34"/>
  <c r="U5" i="34"/>
  <c r="V5" i="34"/>
  <c r="W19" i="34"/>
  <c r="X19" i="34"/>
  <c r="L4" i="34"/>
  <c r="E65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C69" i="30"/>
  <c r="D69" i="30"/>
  <c r="B65" i="19"/>
  <c r="B65" i="18"/>
  <c r="E65" i="19"/>
  <c r="C65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S31" i="18"/>
  <c r="S32" i="18"/>
  <c r="S33" i="18"/>
  <c r="S34" i="18"/>
  <c r="S40" i="18"/>
  <c r="S41" i="18"/>
  <c r="T41" i="18"/>
  <c r="AD4" i="18"/>
  <c r="S42" i="18"/>
  <c r="T42" i="18"/>
  <c r="S43" i="18"/>
  <c r="T43" i="18"/>
  <c r="AD6" i="18"/>
  <c r="S49" i="18"/>
  <c r="S50" i="18"/>
  <c r="S51" i="18"/>
  <c r="S52" i="18"/>
  <c r="S58" i="18"/>
  <c r="S59" i="18"/>
  <c r="S60" i="18"/>
  <c r="S61" i="18"/>
  <c r="U40" i="18"/>
  <c r="U41" i="18"/>
  <c r="U42" i="18"/>
  <c r="AE5" i="18"/>
  <c r="U43" i="18"/>
  <c r="U44" i="18"/>
  <c r="U45" i="18"/>
  <c r="AE8" i="18"/>
  <c r="O29" i="18"/>
  <c r="E67" i="18"/>
  <c r="O27" i="18"/>
  <c r="D24" i="18"/>
  <c r="D25" i="18"/>
  <c r="E24" i="18"/>
  <c r="E25" i="18"/>
  <c r="F24" i="18"/>
  <c r="F25" i="18"/>
  <c r="G24" i="18"/>
  <c r="G25" i="18"/>
  <c r="H24" i="18"/>
  <c r="H25" i="18"/>
  <c r="I24" i="18"/>
  <c r="I25" i="18"/>
  <c r="J24" i="18"/>
  <c r="J25" i="18"/>
  <c r="K24" i="18"/>
  <c r="K25" i="18"/>
  <c r="L24" i="18"/>
  <c r="L25" i="18"/>
  <c r="M24" i="18"/>
  <c r="M25" i="18"/>
  <c r="N24" i="18"/>
  <c r="N25" i="18"/>
  <c r="C24" i="18"/>
  <c r="C25" i="18"/>
  <c r="W40" i="18"/>
  <c r="AG3" i="18"/>
  <c r="W45" i="18"/>
  <c r="AG8" i="18"/>
  <c r="W44" i="18"/>
  <c r="AG7" i="18"/>
  <c r="W43" i="18"/>
  <c r="AG6" i="18"/>
  <c r="W42" i="18"/>
  <c r="AG5" i="18"/>
  <c r="W41" i="18"/>
  <c r="AG4" i="18"/>
  <c r="V40" i="18"/>
  <c r="AF3" i="18"/>
  <c r="V45" i="18"/>
  <c r="AF8" i="18"/>
  <c r="V44" i="18"/>
  <c r="AF7" i="18"/>
  <c r="V43" i="18"/>
  <c r="AF6" i="18"/>
  <c r="V42" i="18"/>
  <c r="AF5" i="18"/>
  <c r="V41" i="18"/>
  <c r="AF4" i="18"/>
  <c r="X8" i="18"/>
  <c r="X5" i="18"/>
  <c r="U33" i="18"/>
  <c r="V33" i="18"/>
  <c r="X6" i="18"/>
  <c r="U34" i="18"/>
  <c r="V34" i="18"/>
  <c r="W34" i="18"/>
  <c r="X7" i="18"/>
  <c r="X4" i="18"/>
  <c r="U32" i="18"/>
  <c r="V32" i="18"/>
  <c r="W32" i="18"/>
  <c r="X3" i="18"/>
  <c r="U31" i="18"/>
  <c r="AA12" i="18"/>
  <c r="S69" i="18"/>
  <c r="L24" i="2"/>
  <c r="D24" i="2"/>
  <c r="M10" i="2"/>
  <c r="L10" i="2"/>
  <c r="D10" i="2"/>
  <c r="E132" i="20" a="1"/>
  <c r="E132" i="20"/>
  <c r="E133" i="20" a="1"/>
  <c r="E133" i="20"/>
  <c r="E134" i="20" a="1"/>
  <c r="E134" i="20"/>
  <c r="E135" i="20" a="1"/>
  <c r="E135" i="20"/>
  <c r="E136" i="20" a="1"/>
  <c r="E136" i="20"/>
  <c r="E137" i="20" a="1"/>
  <c r="E137" i="20"/>
  <c r="E138" i="20" a="1"/>
  <c r="E138" i="20"/>
  <c r="E139" i="20" a="1"/>
  <c r="E139" i="20"/>
  <c r="E140" i="20" a="1"/>
  <c r="E140" i="20"/>
  <c r="E141" i="20" a="1"/>
  <c r="E141" i="20"/>
  <c r="E142" i="20" a="1"/>
  <c r="E142" i="20"/>
  <c r="E143" i="20" a="1"/>
  <c r="E143" i="20"/>
  <c r="E144" i="20" a="1"/>
  <c r="E144" i="20"/>
  <c r="E145" i="20" a="1"/>
  <c r="E145" i="20"/>
  <c r="E147" i="20" a="1"/>
  <c r="E147" i="20"/>
  <c r="E149" i="20" a="1"/>
  <c r="E149" i="20"/>
  <c r="E150" i="20" a="1"/>
  <c r="E150" i="20"/>
  <c r="E152" i="20" a="1"/>
  <c r="E152" i="20"/>
  <c r="E131" i="20" a="1"/>
  <c r="E131" i="20"/>
  <c r="BB9" i="10"/>
  <c r="E128" i="20" a="1"/>
  <c r="E128" i="20"/>
  <c r="E129" i="20" a="1"/>
  <c r="E129" i="20"/>
  <c r="E130" i="20" a="1"/>
  <c r="E130" i="20"/>
  <c r="B94" i="30"/>
  <c r="C94" i="30"/>
  <c r="D94" i="30"/>
  <c r="E94" i="30"/>
  <c r="F94" i="30"/>
  <c r="G94" i="30"/>
  <c r="B95" i="30"/>
  <c r="C95" i="30"/>
  <c r="D95" i="30"/>
  <c r="E95" i="30"/>
  <c r="F95" i="30"/>
  <c r="G95" i="30"/>
  <c r="B96" i="30"/>
  <c r="C96" i="30"/>
  <c r="D96" i="30"/>
  <c r="E96" i="30"/>
  <c r="F96" i="30"/>
  <c r="G96" i="30"/>
  <c r="E85" i="20" a="1"/>
  <c r="E85" i="20"/>
  <c r="B85" i="27"/>
  <c r="C85" i="27"/>
  <c r="D85" i="27"/>
  <c r="E85" i="27"/>
  <c r="F85" i="27"/>
  <c r="G85" i="27"/>
  <c r="K27" i="31"/>
  <c r="K28" i="31"/>
  <c r="K29" i="31"/>
  <c r="E67" i="31"/>
  <c r="K30" i="31"/>
  <c r="E68" i="31"/>
  <c r="K31" i="31"/>
  <c r="E69" i="31"/>
  <c r="K32" i="31"/>
  <c r="E70" i="31"/>
  <c r="K33" i="31"/>
  <c r="E71" i="31"/>
  <c r="K34" i="31"/>
  <c r="E72" i="31"/>
  <c r="K35" i="31"/>
  <c r="K36" i="31"/>
  <c r="E74" i="31"/>
  <c r="K37" i="31"/>
  <c r="K38" i="31"/>
  <c r="E76" i="31"/>
  <c r="K39" i="31"/>
  <c r="K40" i="31"/>
  <c r="K41" i="31"/>
  <c r="K42" i="31"/>
  <c r="K43" i="31"/>
  <c r="K44" i="31"/>
  <c r="E82" i="31"/>
  <c r="K45" i="31"/>
  <c r="K46" i="31"/>
  <c r="E84" i="31"/>
  <c r="K47" i="31"/>
  <c r="K48" i="31"/>
  <c r="K49" i="31"/>
  <c r="K52" i="31"/>
  <c r="K53" i="31"/>
  <c r="K54" i="31"/>
  <c r="K55" i="31"/>
  <c r="K56" i="31"/>
  <c r="K57" i="31"/>
  <c r="K58" i="31"/>
  <c r="K59" i="31"/>
  <c r="K60" i="31"/>
  <c r="K61" i="31"/>
  <c r="B65" i="31"/>
  <c r="C65" i="31"/>
  <c r="D65" i="31"/>
  <c r="E65" i="31"/>
  <c r="G65" i="31"/>
  <c r="B66" i="31"/>
  <c r="C66" i="31"/>
  <c r="D66" i="31"/>
  <c r="E66" i="31"/>
  <c r="G66" i="31"/>
  <c r="B67" i="31"/>
  <c r="C67" i="31"/>
  <c r="D67" i="31"/>
  <c r="G67" i="31"/>
  <c r="B68" i="31"/>
  <c r="C68" i="31"/>
  <c r="D68" i="31"/>
  <c r="G68" i="31"/>
  <c r="B69" i="31"/>
  <c r="C69" i="31"/>
  <c r="D69" i="31"/>
  <c r="G69" i="31"/>
  <c r="B70" i="31"/>
  <c r="C70" i="31"/>
  <c r="D70" i="31"/>
  <c r="G70" i="31"/>
  <c r="B71" i="31"/>
  <c r="C71" i="31"/>
  <c r="D71" i="31"/>
  <c r="G71" i="31"/>
  <c r="B72" i="31"/>
  <c r="C72" i="31"/>
  <c r="D72" i="31"/>
  <c r="G72" i="31"/>
  <c r="B73" i="31"/>
  <c r="C73" i="31"/>
  <c r="D73" i="31"/>
  <c r="E73" i="31"/>
  <c r="G73" i="31"/>
  <c r="B74" i="31"/>
  <c r="C74" i="31"/>
  <c r="D74" i="31"/>
  <c r="G74" i="31"/>
  <c r="B75" i="31"/>
  <c r="C75" i="31"/>
  <c r="D75" i="31"/>
  <c r="E75" i="31"/>
  <c r="G75" i="31"/>
  <c r="B76" i="31"/>
  <c r="C76" i="31"/>
  <c r="D76" i="31"/>
  <c r="G76" i="31"/>
  <c r="B77" i="31"/>
  <c r="C77" i="31"/>
  <c r="D77" i="31"/>
  <c r="E77" i="31"/>
  <c r="G77" i="31"/>
  <c r="B78" i="31"/>
  <c r="C78" i="31"/>
  <c r="D78" i="31"/>
  <c r="E78" i="31"/>
  <c r="G78" i="31"/>
  <c r="M23" i="2"/>
  <c r="L23" i="2"/>
  <c r="E23" i="2"/>
  <c r="D23" i="2"/>
  <c r="M9" i="2"/>
  <c r="L9" i="2"/>
  <c r="E9" i="2"/>
  <c r="D9" i="2"/>
  <c r="G22" i="30"/>
  <c r="G99" i="31"/>
  <c r="C99" i="31"/>
  <c r="D99" i="31"/>
  <c r="B99" i="31"/>
  <c r="G98" i="31"/>
  <c r="C98" i="31"/>
  <c r="D98" i="31"/>
  <c r="B98" i="31"/>
  <c r="G97" i="31"/>
  <c r="C97" i="31"/>
  <c r="D97" i="31"/>
  <c r="B97" i="31"/>
  <c r="G96" i="31"/>
  <c r="C96" i="31"/>
  <c r="D96" i="31"/>
  <c r="B96" i="31"/>
  <c r="G95" i="31"/>
  <c r="C95" i="31"/>
  <c r="D95" i="31"/>
  <c r="B95" i="31"/>
  <c r="G94" i="31"/>
  <c r="C94" i="31"/>
  <c r="D94" i="31"/>
  <c r="B94" i="31"/>
  <c r="G93" i="31"/>
  <c r="C93" i="31"/>
  <c r="D93" i="31"/>
  <c r="B93" i="31"/>
  <c r="G92" i="31"/>
  <c r="C92" i="31"/>
  <c r="D92" i="31"/>
  <c r="B92" i="31"/>
  <c r="G91" i="31"/>
  <c r="C91" i="31"/>
  <c r="D91" i="31"/>
  <c r="B91" i="31"/>
  <c r="G90" i="31"/>
  <c r="C90" i="31"/>
  <c r="D90" i="31"/>
  <c r="B90" i="31"/>
  <c r="G89" i="31"/>
  <c r="C89" i="31"/>
  <c r="D89" i="31"/>
  <c r="B89" i="31"/>
  <c r="G88" i="31"/>
  <c r="C88" i="31"/>
  <c r="D88" i="31"/>
  <c r="B88" i="31"/>
  <c r="G87" i="31"/>
  <c r="C87" i="31"/>
  <c r="D87" i="31"/>
  <c r="B87" i="31"/>
  <c r="G86" i="31"/>
  <c r="C86" i="31"/>
  <c r="D86" i="31"/>
  <c r="B86" i="31"/>
  <c r="G85" i="31"/>
  <c r="C85" i="31"/>
  <c r="D85" i="31"/>
  <c r="B85" i="31"/>
  <c r="G84" i="31"/>
  <c r="C84" i="31"/>
  <c r="D84" i="31"/>
  <c r="B84" i="31"/>
  <c r="G83" i="31"/>
  <c r="C83" i="31"/>
  <c r="D83" i="31"/>
  <c r="B83" i="31"/>
  <c r="G82" i="31"/>
  <c r="C82" i="31"/>
  <c r="D82" i="31"/>
  <c r="B82" i="31"/>
  <c r="G81" i="31"/>
  <c r="C81" i="31"/>
  <c r="D81" i="31"/>
  <c r="B81" i="31"/>
  <c r="G80" i="31"/>
  <c r="C80" i="31"/>
  <c r="D80" i="31"/>
  <c r="B80" i="31"/>
  <c r="G79" i="31"/>
  <c r="C79" i="31"/>
  <c r="D79" i="31"/>
  <c r="B79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E99" i="31"/>
  <c r="T60" i="31"/>
  <c r="U60" i="31"/>
  <c r="S60" i="31"/>
  <c r="E98" i="31"/>
  <c r="S59" i="31"/>
  <c r="T59" i="31"/>
  <c r="U59" i="31"/>
  <c r="E97" i="31"/>
  <c r="P58" i="31"/>
  <c r="E96" i="31"/>
  <c r="P57" i="31"/>
  <c r="E95" i="31"/>
  <c r="P56" i="31"/>
  <c r="E94" i="31"/>
  <c r="P55" i="31"/>
  <c r="E93" i="31"/>
  <c r="E92" i="31"/>
  <c r="E91" i="31"/>
  <c r="E90" i="31"/>
  <c r="E89" i="31"/>
  <c r="E88" i="31"/>
  <c r="W49" i="31"/>
  <c r="E87" i="31"/>
  <c r="E86" i="31"/>
  <c r="E85" i="31"/>
  <c r="W45" i="31"/>
  <c r="V45" i="31"/>
  <c r="T45" i="31"/>
  <c r="E83" i="31"/>
  <c r="V44" i="31"/>
  <c r="T44" i="31"/>
  <c r="W44" i="31"/>
  <c r="T43" i="31"/>
  <c r="E81" i="31"/>
  <c r="T42" i="31"/>
  <c r="E80" i="31"/>
  <c r="T41" i="31"/>
  <c r="E79" i="31"/>
  <c r="T40" i="31"/>
  <c r="T46" i="31"/>
  <c r="Y38" i="31"/>
  <c r="Y37" i="31"/>
  <c r="Y36" i="31"/>
  <c r="W36" i="31"/>
  <c r="Y35" i="31"/>
  <c r="AC32" i="31"/>
  <c r="V32" i="31"/>
  <c r="W32" i="31"/>
  <c r="T32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C31" i="31"/>
  <c r="V31" i="31"/>
  <c r="T31" i="31"/>
  <c r="W31" i="31"/>
  <c r="A31" i="31"/>
  <c r="Y30" i="31"/>
  <c r="T30" i="31"/>
  <c r="R58" i="31"/>
  <c r="A30" i="31"/>
  <c r="Y29" i="31"/>
  <c r="T29" i="31"/>
  <c r="R57" i="31"/>
  <c r="Y28" i="31"/>
  <c r="T28" i="31"/>
  <c r="Y27" i="31"/>
  <c r="T27" i="31"/>
  <c r="R55" i="31"/>
  <c r="J24" i="31"/>
  <c r="I24" i="31"/>
  <c r="H24" i="31"/>
  <c r="G24" i="31"/>
  <c r="F24" i="31"/>
  <c r="E24" i="31"/>
  <c r="D24" i="31"/>
  <c r="C24" i="31"/>
  <c r="I22" i="31"/>
  <c r="G22" i="31"/>
  <c r="E22" i="31"/>
  <c r="C22" i="31"/>
  <c r="AC17" i="31"/>
  <c r="AD17" i="31"/>
  <c r="AC16" i="31"/>
  <c r="AD16" i="31"/>
  <c r="AC15" i="31"/>
  <c r="Y15" i="31"/>
  <c r="AC14" i="31"/>
  <c r="Y14" i="31"/>
  <c r="AC13" i="31"/>
  <c r="Y13" i="31"/>
  <c r="AC12" i="31"/>
  <c r="Y12" i="31"/>
  <c r="AB8" i="31"/>
  <c r="AA8" i="31"/>
  <c r="AC8" i="31"/>
  <c r="AD8" i="31"/>
  <c r="S8" i="31"/>
  <c r="T8" i="31"/>
  <c r="U8" i="31"/>
  <c r="R8" i="31"/>
  <c r="AB7" i="31"/>
  <c r="AA7" i="31"/>
  <c r="AC7" i="31"/>
  <c r="AD7" i="31"/>
  <c r="S7" i="31"/>
  <c r="R7" i="31"/>
  <c r="T7" i="31"/>
  <c r="U7" i="31"/>
  <c r="AB6" i="31"/>
  <c r="AA6" i="31"/>
  <c r="AC6" i="31"/>
  <c r="Z6" i="31"/>
  <c r="AD6" i="31"/>
  <c r="Y6" i="31"/>
  <c r="S6" i="31"/>
  <c r="P6" i="31"/>
  <c r="AB5" i="31"/>
  <c r="AC5" i="31"/>
  <c r="AA5" i="31"/>
  <c r="Z5" i="31"/>
  <c r="Y5" i="31"/>
  <c r="R5" i="31"/>
  <c r="Q5" i="31"/>
  <c r="P5" i="31"/>
  <c r="AB4" i="31"/>
  <c r="AC4" i="31"/>
  <c r="AA4" i="31"/>
  <c r="Z4" i="31"/>
  <c r="Q4" i="31"/>
  <c r="Y4" i="31"/>
  <c r="R4" i="31"/>
  <c r="P4" i="31"/>
  <c r="AB3" i="31"/>
  <c r="AA3" i="31"/>
  <c r="R3" i="31"/>
  <c r="Z3" i="31"/>
  <c r="Q3" i="31"/>
  <c r="Y3" i="31"/>
  <c r="P3" i="31"/>
  <c r="E102" i="20" a="1"/>
  <c r="E102" i="20"/>
  <c r="E105" i="20" a="1"/>
  <c r="E105" i="20"/>
  <c r="E110" i="20" a="1"/>
  <c r="E110" i="20"/>
  <c r="E113" i="20" a="1"/>
  <c r="E113" i="20"/>
  <c r="E118" i="20" a="1"/>
  <c r="E118" i="20"/>
  <c r="E121" i="20" a="1"/>
  <c r="E121" i="20"/>
  <c r="E126" i="20" a="1"/>
  <c r="E126" i="20"/>
  <c r="L55" i="30"/>
  <c r="L52" i="30"/>
  <c r="L51" i="30"/>
  <c r="L50" i="30"/>
  <c r="L48" i="30"/>
  <c r="L34" i="30"/>
  <c r="E25" i="30"/>
  <c r="E22" i="30"/>
  <c r="K27" i="30"/>
  <c r="E65" i="30"/>
  <c r="CA5" i="11"/>
  <c r="BZ5" i="11"/>
  <c r="BX5" i="11"/>
  <c r="BY5" i="11"/>
  <c r="BW5" i="11"/>
  <c r="CD5" i="11"/>
  <c r="AB5" i="30"/>
  <c r="S5" i="30"/>
  <c r="AA5" i="30"/>
  <c r="AA3" i="30"/>
  <c r="R3" i="30"/>
  <c r="C25" i="30"/>
  <c r="AA29" i="30"/>
  <c r="P5" i="30"/>
  <c r="Y5" i="30"/>
  <c r="Y14" i="30"/>
  <c r="Z15" i="30"/>
  <c r="Y29" i="30"/>
  <c r="Y37" i="30"/>
  <c r="R57" i="30"/>
  <c r="AU20" i="11"/>
  <c r="AJ22" i="11"/>
  <c r="P57" i="30"/>
  <c r="AH7" i="11"/>
  <c r="K28" i="30"/>
  <c r="E66" i="30"/>
  <c r="K29" i="30"/>
  <c r="E67" i="30"/>
  <c r="K30" i="30"/>
  <c r="K31" i="30"/>
  <c r="K32" i="30"/>
  <c r="E70" i="30"/>
  <c r="K33" i="30"/>
  <c r="K34" i="30"/>
  <c r="E72" i="30"/>
  <c r="K35" i="30"/>
  <c r="K36" i="30"/>
  <c r="E74" i="30"/>
  <c r="K37" i="30"/>
  <c r="E75" i="30"/>
  <c r="K38" i="30"/>
  <c r="E76" i="30"/>
  <c r="K39" i="30"/>
  <c r="E77" i="30"/>
  <c r="K40" i="30"/>
  <c r="E78" i="30"/>
  <c r="K41" i="30"/>
  <c r="K42" i="30"/>
  <c r="E80" i="30"/>
  <c r="K43" i="30"/>
  <c r="K44" i="30"/>
  <c r="E82" i="30"/>
  <c r="K45" i="30"/>
  <c r="K46" i="30"/>
  <c r="E84" i="30"/>
  <c r="K47" i="30"/>
  <c r="E85" i="30"/>
  <c r="K48" i="30"/>
  <c r="E86" i="30"/>
  <c r="K49" i="30"/>
  <c r="K50" i="30"/>
  <c r="E88" i="30"/>
  <c r="K51" i="30"/>
  <c r="E89" i="30"/>
  <c r="K52" i="30"/>
  <c r="E90" i="30"/>
  <c r="K53" i="30"/>
  <c r="K54" i="30"/>
  <c r="E92" i="30"/>
  <c r="K55" i="30"/>
  <c r="E93" i="30"/>
  <c r="K56" i="30"/>
  <c r="K57" i="30"/>
  <c r="K58" i="30"/>
  <c r="K59" i="30"/>
  <c r="E97" i="30"/>
  <c r="K60" i="30"/>
  <c r="E98" i="30"/>
  <c r="K61" i="30"/>
  <c r="E68" i="30"/>
  <c r="O60" i="18"/>
  <c r="E98" i="18"/>
  <c r="O58" i="18"/>
  <c r="E96" i="18"/>
  <c r="O57" i="18"/>
  <c r="E95" i="18"/>
  <c r="O56" i="18"/>
  <c r="E94" i="18"/>
  <c r="O55" i="18"/>
  <c r="E93" i="18"/>
  <c r="O54" i="18"/>
  <c r="O53" i="18"/>
  <c r="E91" i="18"/>
  <c r="O52" i="18"/>
  <c r="O51" i="18"/>
  <c r="E89" i="18"/>
  <c r="O50" i="18"/>
  <c r="E88" i="18"/>
  <c r="O49" i="18"/>
  <c r="E87" i="18"/>
  <c r="O48" i="18"/>
  <c r="E86" i="18"/>
  <c r="O47" i="18"/>
  <c r="E85" i="18"/>
  <c r="O46" i="18"/>
  <c r="O36" i="18"/>
  <c r="O37" i="18"/>
  <c r="E75" i="18"/>
  <c r="O38" i="18"/>
  <c r="E76" i="18"/>
  <c r="O39" i="18"/>
  <c r="O40" i="18"/>
  <c r="O41" i="18"/>
  <c r="E79" i="18"/>
  <c r="O42" i="18"/>
  <c r="E80" i="18"/>
  <c r="O43" i="18"/>
  <c r="O44" i="18"/>
  <c r="O34" i="18"/>
  <c r="E72" i="18"/>
  <c r="O32" i="18"/>
  <c r="O30" i="18"/>
  <c r="G99" i="30"/>
  <c r="C99" i="30"/>
  <c r="D99" i="30"/>
  <c r="B99" i="30"/>
  <c r="G98" i="30"/>
  <c r="C98" i="30"/>
  <c r="D98" i="30"/>
  <c r="B98" i="30"/>
  <c r="G97" i="30"/>
  <c r="C97" i="30"/>
  <c r="D97" i="30"/>
  <c r="B97" i="30"/>
  <c r="G93" i="30"/>
  <c r="E127" i="20" a="1"/>
  <c r="E127" i="20"/>
  <c r="C93" i="30"/>
  <c r="D93" i="30"/>
  <c r="B93" i="30"/>
  <c r="G92" i="30"/>
  <c r="C92" i="30"/>
  <c r="D92" i="30"/>
  <c r="B92" i="30"/>
  <c r="G91" i="30"/>
  <c r="E125" i="20" a="1"/>
  <c r="E125" i="20"/>
  <c r="C91" i="30"/>
  <c r="D91" i="30"/>
  <c r="B91" i="30"/>
  <c r="G90" i="30"/>
  <c r="E124" i="20" a="1"/>
  <c r="E124" i="20"/>
  <c r="C90" i="30"/>
  <c r="D90" i="30"/>
  <c r="B90" i="30"/>
  <c r="G89" i="30"/>
  <c r="E123" i="20" a="1"/>
  <c r="E123" i="20"/>
  <c r="C89" i="30"/>
  <c r="D89" i="30"/>
  <c r="B89" i="30"/>
  <c r="G88" i="30"/>
  <c r="E122" i="20" a="1"/>
  <c r="E122" i="20"/>
  <c r="C88" i="30"/>
  <c r="D88" i="30"/>
  <c r="B88" i="30"/>
  <c r="G87" i="30"/>
  <c r="C87" i="30"/>
  <c r="D87" i="30"/>
  <c r="B87" i="30"/>
  <c r="G86" i="30"/>
  <c r="E120" i="20" a="1"/>
  <c r="E120" i="20"/>
  <c r="C86" i="30"/>
  <c r="D86" i="30"/>
  <c r="B86" i="30"/>
  <c r="G85" i="30"/>
  <c r="E119" i="20" a="1"/>
  <c r="E119" i="20"/>
  <c r="C85" i="30"/>
  <c r="D85" i="30"/>
  <c r="B85" i="30"/>
  <c r="G84" i="30"/>
  <c r="C84" i="30"/>
  <c r="D84" i="30"/>
  <c r="B84" i="30"/>
  <c r="G83" i="30"/>
  <c r="E117" i="20" a="1"/>
  <c r="E117" i="20"/>
  <c r="C83" i="30"/>
  <c r="D83" i="30"/>
  <c r="B83" i="30"/>
  <c r="G82" i="30"/>
  <c r="E116" i="20" a="1"/>
  <c r="E116" i="20"/>
  <c r="C82" i="30"/>
  <c r="D82" i="30"/>
  <c r="B82" i="30"/>
  <c r="G81" i="30"/>
  <c r="E115" i="20" a="1"/>
  <c r="E115" i="20"/>
  <c r="C81" i="30"/>
  <c r="D81" i="30"/>
  <c r="B81" i="30"/>
  <c r="G80" i="30"/>
  <c r="E114" i="20" a="1"/>
  <c r="E114" i="20"/>
  <c r="C80" i="30"/>
  <c r="D80" i="30"/>
  <c r="B80" i="30"/>
  <c r="G79" i="30"/>
  <c r="C79" i="30"/>
  <c r="D79" i="30"/>
  <c r="B79" i="30"/>
  <c r="G78" i="30"/>
  <c r="E112" i="20" a="1"/>
  <c r="E112" i="20"/>
  <c r="C78" i="30"/>
  <c r="D78" i="30"/>
  <c r="B78" i="30"/>
  <c r="G77" i="30"/>
  <c r="E111" i="20" a="1"/>
  <c r="E111" i="20"/>
  <c r="C77" i="30"/>
  <c r="D77" i="30"/>
  <c r="B77" i="30"/>
  <c r="G76" i="30"/>
  <c r="C76" i="30"/>
  <c r="D76" i="30"/>
  <c r="B76" i="30"/>
  <c r="G75" i="30"/>
  <c r="E109" i="20" a="1"/>
  <c r="E109" i="20"/>
  <c r="C75" i="30"/>
  <c r="D75" i="30"/>
  <c r="B75" i="30"/>
  <c r="G74" i="30"/>
  <c r="E108" i="20" a="1"/>
  <c r="E108" i="20"/>
  <c r="C74" i="30"/>
  <c r="D74" i="30"/>
  <c r="B74" i="30"/>
  <c r="G73" i="30"/>
  <c r="E107" i="20" a="1"/>
  <c r="E107" i="20"/>
  <c r="C73" i="30"/>
  <c r="D73" i="30"/>
  <c r="B73" i="30"/>
  <c r="G72" i="30"/>
  <c r="E106" i="20" a="1"/>
  <c r="E106" i="20"/>
  <c r="C72" i="30"/>
  <c r="D72" i="30"/>
  <c r="B72" i="30"/>
  <c r="G71" i="30"/>
  <c r="C71" i="30"/>
  <c r="D71" i="30"/>
  <c r="B71" i="30"/>
  <c r="G70" i="30"/>
  <c r="E104" i="20" a="1"/>
  <c r="E104" i="20"/>
  <c r="C70" i="30"/>
  <c r="D70" i="30"/>
  <c r="B70" i="30"/>
  <c r="G69" i="30"/>
  <c r="B69" i="30"/>
  <c r="G68" i="30"/>
  <c r="C68" i="30"/>
  <c r="D68" i="30"/>
  <c r="B68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G67" i="30"/>
  <c r="E101" i="20" a="1"/>
  <c r="E101" i="20"/>
  <c r="C67" i="30"/>
  <c r="D67" i="30"/>
  <c r="B67" i="30"/>
  <c r="G66" i="30"/>
  <c r="E100" i="20" a="1"/>
  <c r="E100" i="20"/>
  <c r="C66" i="30"/>
  <c r="D66" i="30"/>
  <c r="B66" i="30"/>
  <c r="G65" i="30"/>
  <c r="E99" i="20" a="1"/>
  <c r="E99" i="20"/>
  <c r="C65" i="30"/>
  <c r="D65" i="30"/>
  <c r="B65" i="30"/>
  <c r="E99" i="30"/>
  <c r="T60" i="30"/>
  <c r="U60" i="30"/>
  <c r="S60" i="30"/>
  <c r="T59" i="30"/>
  <c r="U59" i="30"/>
  <c r="S59" i="30"/>
  <c r="P58" i="30"/>
  <c r="P56" i="30"/>
  <c r="P55" i="30"/>
  <c r="E91" i="30"/>
  <c r="W49" i="30"/>
  <c r="E87" i="30"/>
  <c r="E83" i="30"/>
  <c r="E81" i="30"/>
  <c r="E79" i="30"/>
  <c r="T40" i="30"/>
  <c r="T46" i="30"/>
  <c r="Y38" i="30"/>
  <c r="Y36" i="30"/>
  <c r="W36" i="30"/>
  <c r="Y35" i="30"/>
  <c r="E73" i="30"/>
  <c r="E71" i="30"/>
  <c r="AC32" i="30"/>
  <c r="AC31" i="30"/>
  <c r="E69" i="30"/>
  <c r="R58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Y28" i="30"/>
  <c r="T28" i="30"/>
  <c r="Y27" i="30"/>
  <c r="T27" i="30"/>
  <c r="J24" i="30"/>
  <c r="I24" i="30"/>
  <c r="H24" i="30"/>
  <c r="G24" i="30"/>
  <c r="F24" i="30"/>
  <c r="E24" i="30"/>
  <c r="D24" i="30"/>
  <c r="C24" i="30"/>
  <c r="I22" i="30"/>
  <c r="C22" i="30"/>
  <c r="AD17" i="30"/>
  <c r="AC17" i="30"/>
  <c r="AD16" i="30"/>
  <c r="AC16" i="30"/>
  <c r="AC15" i="30"/>
  <c r="Y15" i="30"/>
  <c r="AC14" i="30"/>
  <c r="AC13" i="30"/>
  <c r="Y13" i="30"/>
  <c r="AC12" i="30"/>
  <c r="Y12" i="30"/>
  <c r="AD8" i="30"/>
  <c r="AB8" i="30"/>
  <c r="AC8" i="30"/>
  <c r="AA8" i="30"/>
  <c r="U8" i="30"/>
  <c r="T8" i="30"/>
  <c r="S8" i="30"/>
  <c r="R8" i="30"/>
  <c r="AB7" i="30"/>
  <c r="S7" i="30"/>
  <c r="AA7" i="30"/>
  <c r="AC7" i="30"/>
  <c r="AD7" i="30"/>
  <c r="AB6" i="30"/>
  <c r="AA6" i="30"/>
  <c r="Z6" i="30"/>
  <c r="Y6" i="30"/>
  <c r="S6" i="30"/>
  <c r="Q6" i="30"/>
  <c r="P6" i="30"/>
  <c r="AC5" i="30"/>
  <c r="Z5" i="30"/>
  <c r="R5" i="30"/>
  <c r="AB4" i="30"/>
  <c r="S4" i="30"/>
  <c r="F25" i="30"/>
  <c r="AA4" i="30"/>
  <c r="R4" i="30"/>
  <c r="Z4" i="30"/>
  <c r="Y4" i="30"/>
  <c r="Q4" i="30"/>
  <c r="P4" i="30"/>
  <c r="AB3" i="30"/>
  <c r="S3" i="30"/>
  <c r="Z3" i="30"/>
  <c r="Q3" i="30"/>
  <c r="Y3" i="30"/>
  <c r="P3" i="30"/>
  <c r="E87" i="20" a="1"/>
  <c r="E87" i="20"/>
  <c r="E88" i="20" a="1"/>
  <c r="E88" i="20"/>
  <c r="E89" i="20" a="1"/>
  <c r="E89" i="20"/>
  <c r="E90" i="20" a="1"/>
  <c r="E90" i="20"/>
  <c r="E91" i="20" a="1"/>
  <c r="E91" i="20"/>
  <c r="E92" i="20" a="1"/>
  <c r="E92" i="20"/>
  <c r="E93" i="20" a="1"/>
  <c r="E93" i="20"/>
  <c r="E94" i="20" a="1"/>
  <c r="E94" i="20"/>
  <c r="E95" i="20" a="1"/>
  <c r="E95" i="20"/>
  <c r="E96" i="20" a="1"/>
  <c r="E96" i="20"/>
  <c r="E97" i="20" a="1"/>
  <c r="E97" i="20"/>
  <c r="E98" i="20" a="1"/>
  <c r="E98" i="20"/>
  <c r="E86" i="20" a="1"/>
  <c r="E86" i="20"/>
  <c r="E83" i="20" a="1"/>
  <c r="E83" i="20"/>
  <c r="E84" i="20" a="1"/>
  <c r="E84" i="20"/>
  <c r="E66" i="20" a="1"/>
  <c r="E66" i="20"/>
  <c r="E67" i="20" a="1"/>
  <c r="E67" i="20"/>
  <c r="E68" i="20" a="1"/>
  <c r="E68" i="20"/>
  <c r="E69" i="20" a="1"/>
  <c r="E69" i="20"/>
  <c r="E70" i="20" a="1"/>
  <c r="E70" i="20"/>
  <c r="E71" i="20" a="1"/>
  <c r="E71" i="20"/>
  <c r="E72" i="20" a="1"/>
  <c r="E72" i="20"/>
  <c r="E73" i="20" a="1"/>
  <c r="E73" i="20"/>
  <c r="E74" i="20" a="1"/>
  <c r="E74" i="20"/>
  <c r="E75" i="20" a="1"/>
  <c r="E75" i="20"/>
  <c r="E76" i="20" a="1"/>
  <c r="E76" i="20"/>
  <c r="E77" i="20" a="1"/>
  <c r="E77" i="20"/>
  <c r="E78" i="20" a="1"/>
  <c r="E78" i="20"/>
  <c r="E79" i="20" a="1"/>
  <c r="E79" i="20"/>
  <c r="E80" i="20" a="1"/>
  <c r="E80" i="20"/>
  <c r="E81" i="20" a="1"/>
  <c r="E81" i="20"/>
  <c r="E82" i="20" a="1"/>
  <c r="E82" i="20"/>
  <c r="E65" i="20" a="1"/>
  <c r="E65" i="20"/>
  <c r="M22" i="2"/>
  <c r="L22" i="2"/>
  <c r="E22" i="2"/>
  <c r="D22" i="2"/>
  <c r="M8" i="2"/>
  <c r="L8" i="2"/>
  <c r="E8" i="2"/>
  <c r="D8" i="2"/>
  <c r="L35" i="29"/>
  <c r="L38" i="29"/>
  <c r="L34" i="29"/>
  <c r="L32" i="29"/>
  <c r="L30" i="29"/>
  <c r="L29" i="29"/>
  <c r="BN13" i="8"/>
  <c r="AB4" i="29"/>
  <c r="AA4" i="29"/>
  <c r="AC36" i="29"/>
  <c r="AA28" i="29"/>
  <c r="Z28" i="29"/>
  <c r="Y28" i="29"/>
  <c r="T40" i="29"/>
  <c r="V40" i="29"/>
  <c r="P6" i="8"/>
  <c r="P4" i="29"/>
  <c r="Y4" i="29"/>
  <c r="Y13" i="29"/>
  <c r="Y36" i="29"/>
  <c r="P56" i="29"/>
  <c r="E22" i="29"/>
  <c r="G99" i="29"/>
  <c r="D99" i="29"/>
  <c r="C99" i="29"/>
  <c r="B99" i="29"/>
  <c r="G98" i="29"/>
  <c r="C98" i="29"/>
  <c r="D98" i="29"/>
  <c r="B98" i="29"/>
  <c r="G97" i="29"/>
  <c r="C97" i="29"/>
  <c r="D97" i="29"/>
  <c r="B97" i="29"/>
  <c r="G96" i="29"/>
  <c r="D96" i="29"/>
  <c r="C96" i="29"/>
  <c r="B96" i="29"/>
  <c r="G95" i="29"/>
  <c r="D95" i="29"/>
  <c r="C95" i="29"/>
  <c r="B95" i="29"/>
  <c r="G94" i="29"/>
  <c r="C94" i="29"/>
  <c r="D94" i="29"/>
  <c r="B94" i="29"/>
  <c r="G93" i="29"/>
  <c r="C93" i="29"/>
  <c r="D93" i="29"/>
  <c r="B93" i="29"/>
  <c r="G92" i="29"/>
  <c r="D92" i="29"/>
  <c r="C92" i="29"/>
  <c r="B92" i="29"/>
  <c r="G91" i="29"/>
  <c r="D91" i="29"/>
  <c r="C91" i="29"/>
  <c r="B91" i="29"/>
  <c r="G90" i="29"/>
  <c r="C90" i="29"/>
  <c r="D90" i="29"/>
  <c r="B90" i="29"/>
  <c r="G89" i="29"/>
  <c r="C89" i="29"/>
  <c r="D89" i="29"/>
  <c r="B89" i="29"/>
  <c r="G88" i="29"/>
  <c r="D88" i="29"/>
  <c r="C88" i="29"/>
  <c r="B88" i="29"/>
  <c r="G87" i="29"/>
  <c r="D87" i="29"/>
  <c r="C87" i="29"/>
  <c r="B87" i="29"/>
  <c r="G86" i="29"/>
  <c r="C86" i="29"/>
  <c r="D86" i="29"/>
  <c r="B86" i="29"/>
  <c r="G85" i="29"/>
  <c r="C85" i="29"/>
  <c r="D85" i="29"/>
  <c r="B85" i="29"/>
  <c r="G84" i="29"/>
  <c r="D84" i="29"/>
  <c r="C84" i="29"/>
  <c r="B84" i="29"/>
  <c r="G83" i="29"/>
  <c r="D83" i="29"/>
  <c r="C83" i="29"/>
  <c r="B83" i="29"/>
  <c r="G82" i="29"/>
  <c r="C82" i="29"/>
  <c r="D82" i="29"/>
  <c r="B82" i="29"/>
  <c r="G81" i="29"/>
  <c r="C81" i="29"/>
  <c r="D81" i="29"/>
  <c r="B81" i="29"/>
  <c r="G80" i="29"/>
  <c r="C80" i="29"/>
  <c r="D80" i="29"/>
  <c r="B80" i="29"/>
  <c r="G79" i="29"/>
  <c r="D79" i="29"/>
  <c r="C79" i="29"/>
  <c r="B79" i="29"/>
  <c r="G78" i="29"/>
  <c r="C78" i="29"/>
  <c r="D78" i="29"/>
  <c r="B78" i="29"/>
  <c r="G77" i="29"/>
  <c r="C77" i="29"/>
  <c r="D77" i="29"/>
  <c r="B77" i="29"/>
  <c r="G76" i="29"/>
  <c r="C76" i="29"/>
  <c r="D76" i="29"/>
  <c r="B76" i="29"/>
  <c r="G75" i="29"/>
  <c r="C75" i="29"/>
  <c r="D75" i="29"/>
  <c r="B75" i="29"/>
  <c r="G74" i="29"/>
  <c r="C74" i="29"/>
  <c r="D74" i="29"/>
  <c r="B74" i="29"/>
  <c r="G73" i="29"/>
  <c r="C73" i="29"/>
  <c r="D73" i="29"/>
  <c r="B73" i="29"/>
  <c r="G72" i="29"/>
  <c r="C72" i="29"/>
  <c r="D72" i="29"/>
  <c r="B72" i="29"/>
  <c r="G71" i="29"/>
  <c r="C71" i="29"/>
  <c r="D71" i="29"/>
  <c r="B71" i="29"/>
  <c r="G70" i="29"/>
  <c r="C70" i="29"/>
  <c r="D70" i="29"/>
  <c r="B70" i="29"/>
  <c r="G69" i="29"/>
  <c r="C69" i="29"/>
  <c r="D69" i="29"/>
  <c r="B69" i="29"/>
  <c r="G68" i="29"/>
  <c r="C68" i="29"/>
  <c r="D68" i="29"/>
  <c r="B68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G67" i="29"/>
  <c r="C67" i="29"/>
  <c r="D67" i="29"/>
  <c r="B67" i="29"/>
  <c r="G66" i="29"/>
  <c r="C66" i="29"/>
  <c r="D66" i="29"/>
  <c r="B66" i="29"/>
  <c r="G65" i="29"/>
  <c r="C65" i="29"/>
  <c r="D65" i="29"/>
  <c r="B65" i="29"/>
  <c r="K61" i="29"/>
  <c r="E99" i="29"/>
  <c r="U60" i="29"/>
  <c r="T60" i="29"/>
  <c r="S60" i="29"/>
  <c r="K60" i="29"/>
  <c r="E98" i="29"/>
  <c r="S59" i="29"/>
  <c r="T59" i="29"/>
  <c r="U59" i="29"/>
  <c r="K59" i="29"/>
  <c r="E97" i="29"/>
  <c r="P58" i="29"/>
  <c r="K58" i="29"/>
  <c r="E96" i="29"/>
  <c r="P57" i="29"/>
  <c r="K57" i="29"/>
  <c r="E95" i="29"/>
  <c r="K56" i="29"/>
  <c r="E94" i="29"/>
  <c r="P55" i="29"/>
  <c r="K55" i="29"/>
  <c r="E93" i="29"/>
  <c r="K54" i="29"/>
  <c r="E92" i="29"/>
  <c r="K53" i="29"/>
  <c r="E91" i="29"/>
  <c r="K52" i="29"/>
  <c r="E90" i="29"/>
  <c r="K51" i="29"/>
  <c r="E89" i="29"/>
  <c r="K50" i="29"/>
  <c r="E88" i="29"/>
  <c r="W49" i="29"/>
  <c r="K49" i="29"/>
  <c r="E87" i="29"/>
  <c r="K48" i="29"/>
  <c r="E86" i="29"/>
  <c r="K47" i="29"/>
  <c r="E85" i="29"/>
  <c r="K46" i="29"/>
  <c r="E84" i="29"/>
  <c r="K45" i="29"/>
  <c r="E83" i="29"/>
  <c r="K44" i="29"/>
  <c r="E82" i="29"/>
  <c r="K43" i="29"/>
  <c r="E81" i="29"/>
  <c r="K42" i="29"/>
  <c r="E80" i="29"/>
  <c r="K41" i="29"/>
  <c r="E79" i="29"/>
  <c r="K40" i="29"/>
  <c r="E78" i="29"/>
  <c r="K39" i="29"/>
  <c r="E77" i="29"/>
  <c r="Y38" i="29"/>
  <c r="K38" i="29"/>
  <c r="E76" i="29"/>
  <c r="Y37" i="29"/>
  <c r="K37" i="29"/>
  <c r="E75" i="29"/>
  <c r="W36" i="29"/>
  <c r="K36" i="29"/>
  <c r="E74" i="29"/>
  <c r="Y35" i="29"/>
  <c r="K35" i="29"/>
  <c r="E73" i="29"/>
  <c r="K34" i="29"/>
  <c r="E72" i="29"/>
  <c r="K33" i="29"/>
  <c r="E71" i="29"/>
  <c r="K32" i="29"/>
  <c r="E70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K31" i="29"/>
  <c r="E69" i="29"/>
  <c r="A31" i="29"/>
  <c r="R58" i="29"/>
  <c r="K30" i="29"/>
  <c r="E68" i="29"/>
  <c r="A30" i="29"/>
  <c r="R57" i="29"/>
  <c r="K29" i="29"/>
  <c r="E67" i="29"/>
  <c r="K28" i="29"/>
  <c r="E66" i="29"/>
  <c r="Y27" i="29"/>
  <c r="T27" i="29"/>
  <c r="R55" i="29"/>
  <c r="K27" i="29"/>
  <c r="E65" i="29"/>
  <c r="J24" i="29"/>
  <c r="I24" i="29"/>
  <c r="H24" i="29"/>
  <c r="G24" i="29"/>
  <c r="F24" i="29"/>
  <c r="E24" i="29"/>
  <c r="D24" i="29"/>
  <c r="C24" i="29"/>
  <c r="I22" i="29"/>
  <c r="G22" i="29"/>
  <c r="C22" i="29"/>
  <c r="AC17" i="29"/>
  <c r="AD17" i="29"/>
  <c r="AC16" i="29"/>
  <c r="AD16" i="29"/>
  <c r="AC15" i="29"/>
  <c r="Y15" i="29"/>
  <c r="AC14" i="29"/>
  <c r="Y14" i="29"/>
  <c r="AC13" i="29"/>
  <c r="AC12" i="29"/>
  <c r="Y12" i="29"/>
  <c r="AC8" i="29"/>
  <c r="AD8" i="29"/>
  <c r="AB8" i="29"/>
  <c r="AA8" i="29"/>
  <c r="S8" i="29"/>
  <c r="T8" i="29"/>
  <c r="U8" i="29"/>
  <c r="R8" i="29"/>
  <c r="AB7" i="29"/>
  <c r="AA7" i="29"/>
  <c r="AC7" i="29"/>
  <c r="AD7" i="29"/>
  <c r="S7" i="29"/>
  <c r="R7" i="29"/>
  <c r="T7" i="29"/>
  <c r="U7" i="29"/>
  <c r="AB6" i="29"/>
  <c r="AA6" i="29"/>
  <c r="AC6" i="29"/>
  <c r="Z6" i="29"/>
  <c r="Y6" i="29"/>
  <c r="S6" i="29"/>
  <c r="J25" i="29"/>
  <c r="P6" i="29"/>
  <c r="AB5" i="29"/>
  <c r="S5" i="29"/>
  <c r="H25" i="29"/>
  <c r="AA5" i="29"/>
  <c r="Z5" i="29"/>
  <c r="Y5" i="29"/>
  <c r="R5" i="29"/>
  <c r="G25" i="29"/>
  <c r="Q5" i="29"/>
  <c r="P5" i="29"/>
  <c r="S4" i="29"/>
  <c r="Z4" i="29"/>
  <c r="R4" i="29"/>
  <c r="Q4" i="29"/>
  <c r="AB3" i="29"/>
  <c r="S3" i="29"/>
  <c r="AA3" i="29"/>
  <c r="R3" i="29"/>
  <c r="C25" i="29"/>
  <c r="Z3" i="29"/>
  <c r="Q3" i="29"/>
  <c r="Y3" i="29"/>
  <c r="P3" i="29"/>
  <c r="M21" i="2"/>
  <c r="L21" i="2"/>
  <c r="CM77" i="7"/>
  <c r="E21" i="2"/>
  <c r="D21" i="2"/>
  <c r="M7" i="2"/>
  <c r="L7" i="2"/>
  <c r="L46" i="27"/>
  <c r="D7" i="2"/>
  <c r="L40" i="27"/>
  <c r="K27" i="27"/>
  <c r="L27" i="27"/>
  <c r="K28" i="27"/>
  <c r="L28" i="27"/>
  <c r="F66" i="27"/>
  <c r="K29" i="27"/>
  <c r="L29" i="27"/>
  <c r="F67" i="27"/>
  <c r="K30" i="27"/>
  <c r="L30" i="27"/>
  <c r="F68" i="27"/>
  <c r="K31" i="27"/>
  <c r="L31" i="27"/>
  <c r="F69" i="27"/>
  <c r="K32" i="27"/>
  <c r="E70" i="27"/>
  <c r="L32" i="27"/>
  <c r="F70" i="27"/>
  <c r="K33" i="27"/>
  <c r="L33" i="27"/>
  <c r="K34" i="27"/>
  <c r="L34" i="27"/>
  <c r="K35" i="27"/>
  <c r="L35" i="27"/>
  <c r="K36" i="27"/>
  <c r="L36" i="27"/>
  <c r="K37" i="27"/>
  <c r="L37" i="27"/>
  <c r="K38" i="27"/>
  <c r="L38" i="27"/>
  <c r="K39" i="27"/>
  <c r="L39" i="27"/>
  <c r="K40" i="27"/>
  <c r="K41" i="27"/>
  <c r="L41" i="27"/>
  <c r="K42" i="27"/>
  <c r="E80" i="27"/>
  <c r="L42" i="27"/>
  <c r="K43" i="27"/>
  <c r="L43" i="27"/>
  <c r="K44" i="27"/>
  <c r="L44" i="27"/>
  <c r="K45" i="27"/>
  <c r="L45" i="27"/>
  <c r="K46" i="27"/>
  <c r="E84" i="27"/>
  <c r="K47" i="27"/>
  <c r="K48" i="27"/>
  <c r="L48" i="27"/>
  <c r="K49" i="27"/>
  <c r="L49" i="27"/>
  <c r="K50" i="27"/>
  <c r="L50" i="27"/>
  <c r="K51" i="27"/>
  <c r="L51" i="27"/>
  <c r="K52" i="27"/>
  <c r="L52" i="27"/>
  <c r="K53" i="27"/>
  <c r="L53" i="27"/>
  <c r="K54" i="27"/>
  <c r="L54" i="27"/>
  <c r="K55" i="27"/>
  <c r="L55" i="27"/>
  <c r="K56" i="27"/>
  <c r="L56" i="27"/>
  <c r="K57" i="27"/>
  <c r="L57" i="27"/>
  <c r="K58" i="27"/>
  <c r="L58" i="27"/>
  <c r="K59" i="27"/>
  <c r="L59" i="27"/>
  <c r="K60" i="27"/>
  <c r="L60" i="27"/>
  <c r="K61" i="27"/>
  <c r="L61" i="27"/>
  <c r="B65" i="27"/>
  <c r="C65" i="27"/>
  <c r="D65" i="27"/>
  <c r="E65" i="27"/>
  <c r="F65" i="27"/>
  <c r="G65" i="27"/>
  <c r="B66" i="27"/>
  <c r="C66" i="27"/>
  <c r="D66" i="27"/>
  <c r="E66" i="27"/>
  <c r="G66" i="27"/>
  <c r="B67" i="27"/>
  <c r="C67" i="27"/>
  <c r="D67" i="27"/>
  <c r="E67" i="27"/>
  <c r="G67" i="27"/>
  <c r="B68" i="27"/>
  <c r="C68" i="27"/>
  <c r="D68" i="27"/>
  <c r="E68" i="27"/>
  <c r="G68" i="27"/>
  <c r="B69" i="27"/>
  <c r="C69" i="27"/>
  <c r="D69" i="27"/>
  <c r="E69" i="27"/>
  <c r="G69" i="27"/>
  <c r="B70" i="27"/>
  <c r="C70" i="27"/>
  <c r="D70" i="27"/>
  <c r="G70" i="27"/>
  <c r="V27" i="27"/>
  <c r="U27" i="27"/>
  <c r="AT24" i="7"/>
  <c r="AT20" i="7"/>
  <c r="AS20" i="7"/>
  <c r="BD6" i="7"/>
  <c r="AU6" i="7"/>
  <c r="AP32" i="7"/>
  <c r="G99" i="27"/>
  <c r="C99" i="27"/>
  <c r="D99" i="27"/>
  <c r="B99" i="27"/>
  <c r="G98" i="27"/>
  <c r="C98" i="27"/>
  <c r="D98" i="27"/>
  <c r="B98" i="27"/>
  <c r="G97" i="27"/>
  <c r="C97" i="27"/>
  <c r="D97" i="27"/>
  <c r="B97" i="27"/>
  <c r="G96" i="27"/>
  <c r="C96" i="27"/>
  <c r="D96" i="27"/>
  <c r="B96" i="27"/>
  <c r="G95" i="27"/>
  <c r="D95" i="27"/>
  <c r="C95" i="27"/>
  <c r="B95" i="27"/>
  <c r="G94" i="27"/>
  <c r="C94" i="27"/>
  <c r="D94" i="27"/>
  <c r="B94" i="27"/>
  <c r="G93" i="27"/>
  <c r="C93" i="27"/>
  <c r="D93" i="27"/>
  <c r="B93" i="27"/>
  <c r="G92" i="27"/>
  <c r="C92" i="27"/>
  <c r="D92" i="27"/>
  <c r="B92" i="27"/>
  <c r="G91" i="27"/>
  <c r="C91" i="27"/>
  <c r="D91" i="27"/>
  <c r="B91" i="27"/>
  <c r="G90" i="27"/>
  <c r="C90" i="27"/>
  <c r="D90" i="27"/>
  <c r="B90" i="27"/>
  <c r="G89" i="27"/>
  <c r="C89" i="27"/>
  <c r="D89" i="27"/>
  <c r="B89" i="27"/>
  <c r="G88" i="27"/>
  <c r="C88" i="27"/>
  <c r="D88" i="27"/>
  <c r="B88" i="27"/>
  <c r="G87" i="27"/>
  <c r="D87" i="27"/>
  <c r="C87" i="27"/>
  <c r="B87" i="27"/>
  <c r="G86" i="27"/>
  <c r="C86" i="27"/>
  <c r="D86" i="27"/>
  <c r="B86" i="27"/>
  <c r="G84" i="27"/>
  <c r="C84" i="27"/>
  <c r="D84" i="27"/>
  <c r="B84" i="27"/>
  <c r="G83" i="27"/>
  <c r="C83" i="27"/>
  <c r="D83" i="27"/>
  <c r="B83" i="27"/>
  <c r="G82" i="27"/>
  <c r="C82" i="27"/>
  <c r="D82" i="27"/>
  <c r="B82" i="27"/>
  <c r="G81" i="27"/>
  <c r="C81" i="27"/>
  <c r="D81" i="27"/>
  <c r="B81" i="27"/>
  <c r="G80" i="27"/>
  <c r="C80" i="27"/>
  <c r="D80" i="27"/>
  <c r="B80" i="27"/>
  <c r="G79" i="27"/>
  <c r="C79" i="27"/>
  <c r="D79" i="27"/>
  <c r="B79" i="27"/>
  <c r="G78" i="27"/>
  <c r="C78" i="27"/>
  <c r="D78" i="27"/>
  <c r="B78" i="27"/>
  <c r="G77" i="27"/>
  <c r="C77" i="27"/>
  <c r="D77" i="27"/>
  <c r="B77" i="27"/>
  <c r="G76" i="27"/>
  <c r="C76" i="27"/>
  <c r="D76" i="27"/>
  <c r="B76" i="27"/>
  <c r="G75" i="27"/>
  <c r="C75" i="27"/>
  <c r="D75" i="27"/>
  <c r="B75" i="27"/>
  <c r="G74" i="27"/>
  <c r="C74" i="27"/>
  <c r="D74" i="27"/>
  <c r="B74" i="27"/>
  <c r="G73" i="27"/>
  <c r="C73" i="27"/>
  <c r="D73" i="27"/>
  <c r="B73" i="27"/>
  <c r="G72" i="27"/>
  <c r="C72" i="27"/>
  <c r="D72" i="27"/>
  <c r="B72" i="27"/>
  <c r="G71" i="27"/>
  <c r="C71" i="27"/>
  <c r="D71" i="27"/>
  <c r="B71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E99" i="27"/>
  <c r="S60" i="27"/>
  <c r="T60" i="27"/>
  <c r="U60" i="27"/>
  <c r="E98" i="27"/>
  <c r="S59" i="27"/>
  <c r="T59" i="27"/>
  <c r="U59" i="27"/>
  <c r="E97" i="27"/>
  <c r="P58" i="27"/>
  <c r="E96" i="27"/>
  <c r="E95" i="27"/>
  <c r="P56" i="27"/>
  <c r="E94" i="27"/>
  <c r="P55" i="27"/>
  <c r="E93" i="27"/>
  <c r="E92" i="27"/>
  <c r="E91" i="27"/>
  <c r="E90" i="27"/>
  <c r="E89" i="27"/>
  <c r="E88" i="27"/>
  <c r="W49" i="27"/>
  <c r="E87" i="27"/>
  <c r="E86" i="27"/>
  <c r="V45" i="27"/>
  <c r="W45" i="27"/>
  <c r="T45" i="27"/>
  <c r="E83" i="27"/>
  <c r="V44" i="27"/>
  <c r="T44" i="27"/>
  <c r="W44" i="27"/>
  <c r="E82" i="27"/>
  <c r="T43" i="27"/>
  <c r="E81" i="27"/>
  <c r="T42" i="27"/>
  <c r="T41" i="27"/>
  <c r="E79" i="27"/>
  <c r="T40" i="27"/>
  <c r="T46" i="27"/>
  <c r="E78" i="27"/>
  <c r="E77" i="27"/>
  <c r="Y38" i="27"/>
  <c r="E76" i="27"/>
  <c r="Y37" i="27"/>
  <c r="E75" i="27"/>
  <c r="Y36" i="27"/>
  <c r="W36" i="27"/>
  <c r="E74" i="27"/>
  <c r="Y35" i="27"/>
  <c r="E73" i="27"/>
  <c r="E72" i="27"/>
  <c r="E71" i="27"/>
  <c r="AC32" i="27"/>
  <c r="V32" i="27"/>
  <c r="T32" i="27"/>
  <c r="W32" i="27"/>
  <c r="AC31" i="27"/>
  <c r="V31" i="27"/>
  <c r="T31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Y30" i="27"/>
  <c r="T30" i="27"/>
  <c r="A30" i="27"/>
  <c r="Y29" i="27"/>
  <c r="T29" i="27"/>
  <c r="Y28" i="27"/>
  <c r="T28" i="27"/>
  <c r="R56" i="27"/>
  <c r="Y27" i="27"/>
  <c r="T27" i="27"/>
  <c r="R55" i="27"/>
  <c r="J24" i="27"/>
  <c r="I24" i="27"/>
  <c r="H24" i="27"/>
  <c r="G24" i="27"/>
  <c r="F24" i="27"/>
  <c r="E24" i="27"/>
  <c r="D24" i="27"/>
  <c r="C24" i="27"/>
  <c r="I22" i="27"/>
  <c r="G22" i="27"/>
  <c r="E22" i="27"/>
  <c r="C22" i="27"/>
  <c r="AC17" i="27"/>
  <c r="AD17" i="27"/>
  <c r="AC16" i="27"/>
  <c r="AD16" i="27"/>
  <c r="AC15" i="27"/>
  <c r="Y15" i="27"/>
  <c r="AC14" i="27"/>
  <c r="Y14" i="27"/>
  <c r="AC13" i="27"/>
  <c r="Y13" i="27"/>
  <c r="AC12" i="27"/>
  <c r="Y12" i="27"/>
  <c r="AB8" i="27"/>
  <c r="AA8" i="27"/>
  <c r="AC8" i="27"/>
  <c r="AD8" i="27"/>
  <c r="S8" i="27"/>
  <c r="AB7" i="27"/>
  <c r="AA7" i="27"/>
  <c r="AC7" i="27"/>
  <c r="AD7" i="27"/>
  <c r="S7" i="27"/>
  <c r="R7" i="27"/>
  <c r="T7" i="27"/>
  <c r="U7" i="27"/>
  <c r="AB6" i="27"/>
  <c r="S6" i="27"/>
  <c r="AA6" i="27"/>
  <c r="AC6" i="27"/>
  <c r="Z6" i="27"/>
  <c r="Y6" i="27"/>
  <c r="Q6" i="27"/>
  <c r="P6" i="27"/>
  <c r="AB5" i="27"/>
  <c r="AC5" i="27"/>
  <c r="AA5" i="27"/>
  <c r="Z5" i="27"/>
  <c r="AD5" i="27"/>
  <c r="Y5" i="27"/>
  <c r="S5" i="27"/>
  <c r="R5" i="27"/>
  <c r="G25" i="27"/>
  <c r="P5" i="27"/>
  <c r="AB4" i="27"/>
  <c r="AA4" i="27"/>
  <c r="Z4" i="27"/>
  <c r="Y4" i="27"/>
  <c r="S4" i="27"/>
  <c r="R4" i="27"/>
  <c r="P4" i="27"/>
  <c r="AB3" i="27"/>
  <c r="AA3" i="27"/>
  <c r="Z3" i="27"/>
  <c r="Y3" i="27"/>
  <c r="S3" i="27"/>
  <c r="R3" i="27"/>
  <c r="P3" i="27"/>
  <c r="E34" i="2"/>
  <c r="D34" i="2"/>
  <c r="E33" i="2"/>
  <c r="D33" i="2"/>
  <c r="M20" i="2"/>
  <c r="L20" i="2"/>
  <c r="E20" i="2"/>
  <c r="D20" i="2"/>
  <c r="M6" i="2"/>
  <c r="L6" i="2"/>
  <c r="E6" i="2"/>
  <c r="D6" i="2"/>
  <c r="E46" i="20" a="1"/>
  <c r="E46" i="20"/>
  <c r="E47" i="20" a="1"/>
  <c r="E47" i="20"/>
  <c r="E48" i="20" a="1"/>
  <c r="E48" i="20"/>
  <c r="E49" i="20" a="1"/>
  <c r="E49" i="20"/>
  <c r="E50" i="20" a="1"/>
  <c r="E50" i="20"/>
  <c r="E51" i="20" a="1"/>
  <c r="E51" i="20"/>
  <c r="E52" i="20" a="1"/>
  <c r="E52" i="20"/>
  <c r="E53" i="20" a="1"/>
  <c r="E53" i="20"/>
  <c r="E54" i="20" a="1"/>
  <c r="E54" i="20"/>
  <c r="E55" i="20" a="1"/>
  <c r="E55" i="20"/>
  <c r="E56" i="20" a="1"/>
  <c r="E56" i="20"/>
  <c r="E57" i="20" a="1"/>
  <c r="E57" i="20"/>
  <c r="E58" i="20" a="1"/>
  <c r="E58" i="20"/>
  <c r="E59" i="20" a="1"/>
  <c r="E59" i="20"/>
  <c r="E60" i="20" a="1"/>
  <c r="E60" i="20"/>
  <c r="E61" i="20" a="1"/>
  <c r="E61" i="20"/>
  <c r="E62" i="20" a="1"/>
  <c r="E62" i="20"/>
  <c r="E63" i="20" a="1"/>
  <c r="E63" i="20"/>
  <c r="E64" i="20" a="1"/>
  <c r="E64" i="20"/>
  <c r="E45" i="20" a="1"/>
  <c r="E45" i="20"/>
  <c r="Q19" i="2"/>
  <c r="R25" i="2"/>
  <c r="Q25" i="2"/>
  <c r="Q24" i="2"/>
  <c r="R23" i="2"/>
  <c r="Q23" i="2"/>
  <c r="R22" i="2"/>
  <c r="Q22" i="2"/>
  <c r="Q21" i="2"/>
  <c r="R19" i="2"/>
  <c r="R18" i="2"/>
  <c r="Q18" i="2"/>
  <c r="M19" i="2"/>
  <c r="L19" i="2"/>
  <c r="M18" i="2"/>
  <c r="L18" i="2"/>
  <c r="E19" i="2"/>
  <c r="D19" i="2"/>
  <c r="M5" i="2"/>
  <c r="L5" i="2"/>
  <c r="E5" i="2"/>
  <c r="D5" i="2"/>
  <c r="AB4" i="26"/>
  <c r="AA3" i="26"/>
  <c r="W35" i="26"/>
  <c r="AP32" i="6"/>
  <c r="AQ48" i="6"/>
  <c r="G99" i="26"/>
  <c r="C99" i="26"/>
  <c r="D99" i="26"/>
  <c r="B99" i="26"/>
  <c r="G98" i="26"/>
  <c r="C98" i="26"/>
  <c r="D98" i="26"/>
  <c r="B98" i="26"/>
  <c r="G97" i="26"/>
  <c r="C97" i="26"/>
  <c r="D97" i="26"/>
  <c r="B97" i="26"/>
  <c r="G96" i="26"/>
  <c r="D96" i="26"/>
  <c r="C96" i="26"/>
  <c r="B96" i="26"/>
  <c r="G95" i="26"/>
  <c r="D95" i="26"/>
  <c r="C95" i="26"/>
  <c r="B95" i="26"/>
  <c r="G94" i="26"/>
  <c r="C94" i="26"/>
  <c r="D94" i="26"/>
  <c r="B94" i="26"/>
  <c r="G93" i="26"/>
  <c r="C93" i="26"/>
  <c r="D93" i="26"/>
  <c r="B93" i="26"/>
  <c r="G92" i="26"/>
  <c r="D92" i="26"/>
  <c r="C92" i="26"/>
  <c r="B92" i="26"/>
  <c r="G91" i="26"/>
  <c r="D91" i="26"/>
  <c r="C91" i="26"/>
  <c r="B91" i="26"/>
  <c r="G90" i="26"/>
  <c r="C90" i="26"/>
  <c r="D90" i="26"/>
  <c r="B90" i="26"/>
  <c r="G89" i="26"/>
  <c r="C89" i="26"/>
  <c r="D89" i="26"/>
  <c r="B89" i="26"/>
  <c r="G88" i="26"/>
  <c r="D88" i="26"/>
  <c r="C88" i="26"/>
  <c r="B88" i="26"/>
  <c r="G87" i="26"/>
  <c r="D87" i="26"/>
  <c r="C87" i="26"/>
  <c r="B87" i="26"/>
  <c r="G86" i="26"/>
  <c r="C86" i="26"/>
  <c r="D86" i="26"/>
  <c r="B86" i="26"/>
  <c r="G85" i="26"/>
  <c r="C85" i="26"/>
  <c r="D85" i="26"/>
  <c r="B85" i="26"/>
  <c r="G84" i="26"/>
  <c r="C84" i="26"/>
  <c r="D84" i="26"/>
  <c r="B84" i="26"/>
  <c r="G83" i="26"/>
  <c r="C83" i="26"/>
  <c r="D83" i="26"/>
  <c r="B83" i="26"/>
  <c r="G82" i="26"/>
  <c r="C82" i="26"/>
  <c r="D82" i="26"/>
  <c r="B82" i="26"/>
  <c r="G81" i="26"/>
  <c r="C81" i="26"/>
  <c r="D81" i="26"/>
  <c r="B81" i="26"/>
  <c r="G80" i="26"/>
  <c r="C80" i="26"/>
  <c r="D80" i="26"/>
  <c r="B80" i="26"/>
  <c r="G79" i="26"/>
  <c r="C79" i="26"/>
  <c r="D79" i="26"/>
  <c r="B79" i="26"/>
  <c r="G78" i="26"/>
  <c r="C78" i="26"/>
  <c r="D78" i="26"/>
  <c r="B78" i="26"/>
  <c r="G77" i="26"/>
  <c r="C77" i="26"/>
  <c r="D77" i="26"/>
  <c r="B77" i="26"/>
  <c r="G76" i="26"/>
  <c r="C76" i="26"/>
  <c r="D76" i="26"/>
  <c r="B76" i="26"/>
  <c r="G75" i="26"/>
  <c r="C75" i="26"/>
  <c r="D75" i="26"/>
  <c r="B75" i="26"/>
  <c r="G74" i="26"/>
  <c r="C74" i="26"/>
  <c r="D74" i="26"/>
  <c r="B74" i="26"/>
  <c r="G73" i="26"/>
  <c r="C73" i="26"/>
  <c r="D73" i="26"/>
  <c r="B73" i="26"/>
  <c r="G72" i="26"/>
  <c r="C72" i="26"/>
  <c r="D72" i="26"/>
  <c r="B72" i="26"/>
  <c r="G71" i="26"/>
  <c r="C71" i="26"/>
  <c r="D71" i="26"/>
  <c r="B71" i="26"/>
  <c r="G70" i="26"/>
  <c r="C70" i="26"/>
  <c r="D70" i="26"/>
  <c r="B70" i="26"/>
  <c r="G69" i="26"/>
  <c r="C69" i="26"/>
  <c r="D69" i="26"/>
  <c r="B69" i="26"/>
  <c r="G68" i="26"/>
  <c r="C68" i="26"/>
  <c r="D68" i="26"/>
  <c r="B68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G67" i="26"/>
  <c r="C67" i="26"/>
  <c r="D67" i="26"/>
  <c r="B67" i="26"/>
  <c r="G66" i="26"/>
  <c r="C66" i="26"/>
  <c r="D66" i="26"/>
  <c r="B66" i="26"/>
  <c r="G65" i="26"/>
  <c r="C65" i="26"/>
  <c r="D65" i="26"/>
  <c r="B65" i="26"/>
  <c r="K61" i="26"/>
  <c r="E99" i="26"/>
  <c r="T60" i="26"/>
  <c r="U60" i="26"/>
  <c r="S60" i="26"/>
  <c r="K60" i="26"/>
  <c r="E98" i="26"/>
  <c r="S59" i="26"/>
  <c r="T59" i="26"/>
  <c r="U59" i="26"/>
  <c r="K59" i="26"/>
  <c r="E97" i="26"/>
  <c r="P58" i="26"/>
  <c r="K58" i="26"/>
  <c r="E96" i="26"/>
  <c r="P57" i="26"/>
  <c r="K57" i="26"/>
  <c r="E95" i="26"/>
  <c r="P56" i="26"/>
  <c r="K56" i="26"/>
  <c r="E94" i="26"/>
  <c r="P55" i="26"/>
  <c r="K55" i="26"/>
  <c r="E93" i="26"/>
  <c r="K54" i="26"/>
  <c r="E92" i="26"/>
  <c r="K53" i="26"/>
  <c r="E91" i="26"/>
  <c r="K52" i="26"/>
  <c r="E90" i="26"/>
  <c r="K51" i="26"/>
  <c r="E89" i="26"/>
  <c r="K50" i="26"/>
  <c r="E88" i="26"/>
  <c r="W49" i="26"/>
  <c r="K49" i="26"/>
  <c r="E87" i="26"/>
  <c r="K48" i="26"/>
  <c r="E86" i="26"/>
  <c r="K47" i="26"/>
  <c r="E85" i="26"/>
  <c r="K46" i="26"/>
  <c r="E84" i="26"/>
  <c r="W45" i="26"/>
  <c r="V45" i="26"/>
  <c r="T45" i="26"/>
  <c r="K45" i="26"/>
  <c r="E83" i="26"/>
  <c r="V44" i="26"/>
  <c r="T44" i="26"/>
  <c r="W44" i="26"/>
  <c r="K44" i="26"/>
  <c r="E82" i="26"/>
  <c r="T43" i="26"/>
  <c r="K43" i="26"/>
  <c r="E81" i="26"/>
  <c r="T42" i="26"/>
  <c r="K42" i="26"/>
  <c r="E80" i="26"/>
  <c r="T41" i="26"/>
  <c r="K41" i="26"/>
  <c r="E79" i="26"/>
  <c r="T40" i="26"/>
  <c r="T46" i="26"/>
  <c r="K40" i="26"/>
  <c r="E78" i="26"/>
  <c r="K39" i="26"/>
  <c r="E77" i="26"/>
  <c r="Y38" i="26"/>
  <c r="K38" i="26"/>
  <c r="E76" i="26"/>
  <c r="Y37" i="26"/>
  <c r="K37" i="26"/>
  <c r="E75" i="26"/>
  <c r="Y36" i="26"/>
  <c r="W36" i="26"/>
  <c r="K36" i="26"/>
  <c r="E74" i="26"/>
  <c r="Y35" i="26"/>
  <c r="K35" i="26"/>
  <c r="E73" i="26"/>
  <c r="K34" i="26"/>
  <c r="E72" i="26"/>
  <c r="K33" i="26"/>
  <c r="E71" i="26"/>
  <c r="AC32" i="26"/>
  <c r="V32" i="26"/>
  <c r="W32" i="26"/>
  <c r="T32" i="26"/>
  <c r="K32" i="26"/>
  <c r="E70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C31" i="26"/>
  <c r="V31" i="26"/>
  <c r="T31" i="26"/>
  <c r="W31" i="26"/>
  <c r="K31" i="26"/>
  <c r="E69" i="26"/>
  <c r="A31" i="26"/>
  <c r="Y30" i="26"/>
  <c r="T30" i="26"/>
  <c r="R58" i="26"/>
  <c r="K30" i="26"/>
  <c r="E68" i="26"/>
  <c r="A30" i="26"/>
  <c r="Y29" i="26"/>
  <c r="T29" i="26"/>
  <c r="R57" i="26"/>
  <c r="K29" i="26"/>
  <c r="E67" i="26"/>
  <c r="Y28" i="26"/>
  <c r="T28" i="26"/>
  <c r="K28" i="26"/>
  <c r="E66" i="26"/>
  <c r="Y27" i="26"/>
  <c r="T27" i="26"/>
  <c r="R55" i="26"/>
  <c r="K27" i="26"/>
  <c r="E65" i="26"/>
  <c r="J24" i="26"/>
  <c r="I24" i="26"/>
  <c r="H24" i="26"/>
  <c r="G24" i="26"/>
  <c r="F24" i="26"/>
  <c r="E24" i="26"/>
  <c r="D24" i="26"/>
  <c r="C24" i="26"/>
  <c r="I22" i="26"/>
  <c r="G22" i="26"/>
  <c r="E22" i="26"/>
  <c r="C22" i="26"/>
  <c r="AC17" i="26"/>
  <c r="AD17" i="26"/>
  <c r="AC16" i="26"/>
  <c r="AD16" i="26"/>
  <c r="AC15" i="26"/>
  <c r="Y15" i="26"/>
  <c r="AC14" i="26"/>
  <c r="Y14" i="26"/>
  <c r="AC13" i="26"/>
  <c r="Y13" i="26"/>
  <c r="AC12" i="26"/>
  <c r="Y12" i="26"/>
  <c r="AB8" i="26"/>
  <c r="AC8" i="26"/>
  <c r="AD8" i="26"/>
  <c r="AA8" i="26"/>
  <c r="R8" i="26"/>
  <c r="AB7" i="26"/>
  <c r="S7" i="26"/>
  <c r="AA7" i="26"/>
  <c r="R7" i="26"/>
  <c r="AB6" i="26"/>
  <c r="AA6" i="26"/>
  <c r="Z6" i="26"/>
  <c r="Y6" i="26"/>
  <c r="S6" i="26"/>
  <c r="J25" i="26"/>
  <c r="P6" i="26"/>
  <c r="AC5" i="26"/>
  <c r="AB5" i="26"/>
  <c r="AA5" i="26"/>
  <c r="Z5" i="26"/>
  <c r="Q5" i="26"/>
  <c r="Y5" i="26"/>
  <c r="S5" i="26"/>
  <c r="H25" i="26"/>
  <c r="R5" i="26"/>
  <c r="G25" i="26"/>
  <c r="P5" i="26"/>
  <c r="AA4" i="26"/>
  <c r="AC4" i="26"/>
  <c r="Z4" i="26"/>
  <c r="Q4" i="26"/>
  <c r="Y4" i="26"/>
  <c r="S4" i="26"/>
  <c r="R4" i="26"/>
  <c r="P4" i="26"/>
  <c r="AC3" i="26"/>
  <c r="AB3" i="26"/>
  <c r="Z3" i="26"/>
  <c r="Q3" i="26"/>
  <c r="Y3" i="26"/>
  <c r="S3" i="26"/>
  <c r="R3" i="26"/>
  <c r="P3" i="26"/>
  <c r="E19" i="20" a="1"/>
  <c r="E19" i="20"/>
  <c r="E20" i="20" a="1"/>
  <c r="E20" i="20"/>
  <c r="E21" i="20" a="1"/>
  <c r="E21" i="20"/>
  <c r="E22" i="20" a="1"/>
  <c r="E22" i="20"/>
  <c r="E23" i="20" a="1"/>
  <c r="E23" i="20"/>
  <c r="E24" i="20" a="1"/>
  <c r="E24" i="20"/>
  <c r="E25" i="20" a="1"/>
  <c r="E25" i="20"/>
  <c r="E26" i="20" a="1"/>
  <c r="E26" i="20"/>
  <c r="E27" i="20" a="1"/>
  <c r="E27" i="20"/>
  <c r="E28" i="20" a="1"/>
  <c r="E28" i="20"/>
  <c r="E29" i="20" a="1"/>
  <c r="E29" i="20"/>
  <c r="E30" i="20" a="1"/>
  <c r="E30" i="20"/>
  <c r="E31" i="20" a="1"/>
  <c r="E31" i="20"/>
  <c r="E32" i="20" a="1"/>
  <c r="E32" i="20"/>
  <c r="E33" i="20" a="1"/>
  <c r="E33" i="20"/>
  <c r="E34" i="20" a="1"/>
  <c r="E34" i="20"/>
  <c r="E35" i="20" a="1"/>
  <c r="E35" i="20"/>
  <c r="E36" i="20" a="1"/>
  <c r="E36" i="20"/>
  <c r="E37" i="20" a="1"/>
  <c r="E37" i="20"/>
  <c r="E38" i="20" a="1"/>
  <c r="E38" i="20"/>
  <c r="E39" i="20" a="1"/>
  <c r="E39" i="20"/>
  <c r="E40" i="20" a="1"/>
  <c r="E40" i="20"/>
  <c r="E41" i="20" a="1"/>
  <c r="E41" i="20"/>
  <c r="E42" i="20" a="1"/>
  <c r="E42" i="20"/>
  <c r="E43" i="20" a="1"/>
  <c r="E43" i="20"/>
  <c r="E44" i="20" a="1"/>
  <c r="E44" i="20"/>
  <c r="E18" i="20" a="1"/>
  <c r="E18" i="20"/>
  <c r="E3" i="20" a="1"/>
  <c r="E3" i="20"/>
  <c r="E4" i="20" a="1"/>
  <c r="E4" i="20"/>
  <c r="E5" i="20" a="1"/>
  <c r="E5" i="20"/>
  <c r="E6" i="20" a="1"/>
  <c r="E6" i="20"/>
  <c r="E7" i="20" a="1"/>
  <c r="E7" i="20"/>
  <c r="E8" i="20" a="1"/>
  <c r="E8" i="20"/>
  <c r="E9" i="20" a="1"/>
  <c r="E9" i="20"/>
  <c r="E10" i="20" a="1"/>
  <c r="E10" i="20"/>
  <c r="E11" i="20" a="1"/>
  <c r="E11" i="20"/>
  <c r="E12" i="20" a="1"/>
  <c r="E12" i="20"/>
  <c r="E13" i="20" a="1"/>
  <c r="E13" i="20"/>
  <c r="E14" i="20" a="1"/>
  <c r="E14" i="20"/>
  <c r="E15" i="20" a="1"/>
  <c r="E15" i="20"/>
  <c r="E16" i="20" a="1"/>
  <c r="E16" i="20"/>
  <c r="E17" i="20" a="1"/>
  <c r="E17" i="20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65" i="18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65" i="25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65" i="19"/>
  <c r="L49" i="25"/>
  <c r="L53" i="25"/>
  <c r="L52" i="25"/>
  <c r="L51" i="25"/>
  <c r="CI72" i="5"/>
  <c r="CJ72" i="5"/>
  <c r="CJ74" i="5"/>
  <c r="CL77" i="5"/>
  <c r="E25" i="25"/>
  <c r="L61" i="25"/>
  <c r="L60" i="25"/>
  <c r="L59" i="25"/>
  <c r="L58" i="25"/>
  <c r="L57" i="25"/>
  <c r="L56" i="25"/>
  <c r="L55" i="25"/>
  <c r="L54" i="25"/>
  <c r="L50" i="25"/>
  <c r="L48" i="25"/>
  <c r="L47" i="25"/>
  <c r="L46" i="25"/>
  <c r="BM65" i="5"/>
  <c r="P15" i="25"/>
  <c r="P14" i="25"/>
  <c r="P13" i="25"/>
  <c r="P12" i="25"/>
  <c r="C12" i="25"/>
  <c r="D12" i="25"/>
  <c r="C11" i="25"/>
  <c r="D11" i="25"/>
  <c r="AA4" i="25"/>
  <c r="R13" i="25"/>
  <c r="C99" i="25"/>
  <c r="D99" i="25"/>
  <c r="B99" i="25"/>
  <c r="C98" i="25"/>
  <c r="D98" i="25"/>
  <c r="B98" i="25"/>
  <c r="C97" i="25"/>
  <c r="D97" i="25"/>
  <c r="B97" i="25"/>
  <c r="C96" i="25"/>
  <c r="D96" i="25"/>
  <c r="B96" i="25"/>
  <c r="C95" i="25"/>
  <c r="D95" i="25"/>
  <c r="B95" i="25"/>
  <c r="C94" i="25"/>
  <c r="D94" i="25"/>
  <c r="B94" i="25"/>
  <c r="C93" i="25"/>
  <c r="D93" i="25"/>
  <c r="B93" i="25"/>
  <c r="C92" i="25"/>
  <c r="D92" i="25"/>
  <c r="B92" i="25"/>
  <c r="C91" i="25"/>
  <c r="D91" i="25"/>
  <c r="B91" i="25"/>
  <c r="C90" i="25"/>
  <c r="D90" i="25"/>
  <c r="B90" i="25"/>
  <c r="C89" i="25"/>
  <c r="D89" i="25"/>
  <c r="B89" i="25"/>
  <c r="C88" i="25"/>
  <c r="D88" i="25"/>
  <c r="B88" i="25"/>
  <c r="C87" i="25"/>
  <c r="D87" i="25"/>
  <c r="B87" i="25"/>
  <c r="C86" i="25"/>
  <c r="D86" i="25"/>
  <c r="B86" i="25"/>
  <c r="C85" i="25"/>
  <c r="D85" i="25"/>
  <c r="B85" i="25"/>
  <c r="C84" i="25"/>
  <c r="D84" i="25"/>
  <c r="B84" i="25"/>
  <c r="C83" i="25"/>
  <c r="D83" i="25"/>
  <c r="B83" i="25"/>
  <c r="C82" i="25"/>
  <c r="D82" i="25"/>
  <c r="B82" i="25"/>
  <c r="C81" i="25"/>
  <c r="D81" i="25"/>
  <c r="B81" i="25"/>
  <c r="C80" i="25"/>
  <c r="D80" i="25"/>
  <c r="B80" i="25"/>
  <c r="C79" i="25"/>
  <c r="D79" i="25"/>
  <c r="B79" i="25"/>
  <c r="C78" i="25"/>
  <c r="D78" i="25"/>
  <c r="B78" i="25"/>
  <c r="D77" i="25"/>
  <c r="B77" i="25"/>
  <c r="C76" i="25"/>
  <c r="D76" i="25"/>
  <c r="B76" i="25"/>
  <c r="C75" i="25"/>
  <c r="D75" i="25"/>
  <c r="B75" i="25"/>
  <c r="C74" i="25"/>
  <c r="D74" i="25"/>
  <c r="B74" i="25"/>
  <c r="C73" i="25"/>
  <c r="D73" i="25"/>
  <c r="B73" i="25"/>
  <c r="C72" i="25"/>
  <c r="D72" i="25"/>
  <c r="B72" i="25"/>
  <c r="C71" i="25"/>
  <c r="D71" i="25"/>
  <c r="B71" i="25"/>
  <c r="C70" i="25"/>
  <c r="D70" i="25"/>
  <c r="B70" i="25"/>
  <c r="C69" i="25"/>
  <c r="D69" i="25"/>
  <c r="B69" i="25"/>
  <c r="C68" i="25"/>
  <c r="D68" i="25"/>
  <c r="B68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C67" i="25"/>
  <c r="D67" i="25"/>
  <c r="B67" i="25"/>
  <c r="C66" i="25"/>
  <c r="D66" i="25"/>
  <c r="B66" i="25"/>
  <c r="C65" i="25"/>
  <c r="D65" i="25"/>
  <c r="B65" i="25"/>
  <c r="K61" i="25"/>
  <c r="E99" i="25"/>
  <c r="S60" i="25"/>
  <c r="T60" i="25"/>
  <c r="U60" i="25"/>
  <c r="K60" i="25"/>
  <c r="E98" i="25"/>
  <c r="S59" i="25"/>
  <c r="T59" i="25"/>
  <c r="U59" i="25"/>
  <c r="K59" i="25"/>
  <c r="E97" i="25"/>
  <c r="P58" i="25"/>
  <c r="K58" i="25"/>
  <c r="E96" i="25"/>
  <c r="P57" i="25"/>
  <c r="K57" i="25"/>
  <c r="E95" i="25"/>
  <c r="P56" i="25"/>
  <c r="K56" i="25"/>
  <c r="E94" i="25"/>
  <c r="P55" i="25"/>
  <c r="K55" i="25"/>
  <c r="E93" i="25"/>
  <c r="K54" i="25"/>
  <c r="E92" i="25"/>
  <c r="K53" i="25"/>
  <c r="E91" i="25"/>
  <c r="K52" i="25"/>
  <c r="E90" i="25"/>
  <c r="K51" i="25"/>
  <c r="E89" i="25"/>
  <c r="K50" i="25"/>
  <c r="E88" i="25"/>
  <c r="W49" i="25"/>
  <c r="K49" i="25"/>
  <c r="E87" i="25"/>
  <c r="K48" i="25"/>
  <c r="E86" i="25"/>
  <c r="K47" i="25"/>
  <c r="E85" i="25"/>
  <c r="K46" i="25"/>
  <c r="E84" i="25"/>
  <c r="V45" i="25"/>
  <c r="T45" i="25"/>
  <c r="K45" i="25"/>
  <c r="E83" i="25"/>
  <c r="V44" i="25"/>
  <c r="T44" i="25"/>
  <c r="K44" i="25"/>
  <c r="E82" i="25"/>
  <c r="T43" i="25"/>
  <c r="K43" i="25"/>
  <c r="E81" i="25"/>
  <c r="T42" i="25"/>
  <c r="K42" i="25"/>
  <c r="E80" i="25"/>
  <c r="T41" i="25"/>
  <c r="K41" i="25"/>
  <c r="E79" i="25"/>
  <c r="T40" i="25"/>
  <c r="K40" i="25"/>
  <c r="E78" i="25"/>
  <c r="K39" i="25"/>
  <c r="E77" i="25"/>
  <c r="Y38" i="25"/>
  <c r="K38" i="25"/>
  <c r="E76" i="25"/>
  <c r="Y37" i="25"/>
  <c r="K37" i="25"/>
  <c r="E75" i="25"/>
  <c r="Y36" i="25"/>
  <c r="W36" i="25"/>
  <c r="K36" i="25"/>
  <c r="E74" i="25"/>
  <c r="Y35" i="25"/>
  <c r="K35" i="25"/>
  <c r="E73" i="25"/>
  <c r="K34" i="25"/>
  <c r="E72" i="25"/>
  <c r="K33" i="25"/>
  <c r="E71" i="25"/>
  <c r="AC32" i="25"/>
  <c r="V32" i="25"/>
  <c r="T32" i="25"/>
  <c r="K32" i="25"/>
  <c r="E70" i="25"/>
  <c r="AC31" i="25"/>
  <c r="V31" i="25"/>
  <c r="T31" i="25"/>
  <c r="K31" i="25"/>
  <c r="E69" i="25"/>
  <c r="Y30" i="25"/>
  <c r="T30" i="25"/>
  <c r="R58" i="25"/>
  <c r="K30" i="25"/>
  <c r="E68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Y29" i="25"/>
  <c r="T29" i="25"/>
  <c r="K29" i="25"/>
  <c r="E67" i="25"/>
  <c r="Y28" i="25"/>
  <c r="T28" i="25"/>
  <c r="K28" i="25"/>
  <c r="E66" i="25"/>
  <c r="Y27" i="25"/>
  <c r="T27" i="25"/>
  <c r="K27" i="25"/>
  <c r="E65" i="25"/>
  <c r="J24" i="25"/>
  <c r="I24" i="25"/>
  <c r="H24" i="25"/>
  <c r="G24" i="25"/>
  <c r="F24" i="25"/>
  <c r="E24" i="25"/>
  <c r="D24" i="25"/>
  <c r="C24" i="25"/>
  <c r="I22" i="25"/>
  <c r="G22" i="25"/>
  <c r="E22" i="25"/>
  <c r="C22" i="25"/>
  <c r="AD17" i="25"/>
  <c r="AC17" i="25"/>
  <c r="AC16" i="25"/>
  <c r="AD16" i="25"/>
  <c r="AC15" i="25"/>
  <c r="Y15" i="25"/>
  <c r="AC14" i="25"/>
  <c r="Y14" i="25"/>
  <c r="AC13" i="25"/>
  <c r="Y13" i="25"/>
  <c r="AC12" i="25"/>
  <c r="Y12" i="25"/>
  <c r="AB8" i="25"/>
  <c r="S8" i="25"/>
  <c r="T8" i="25"/>
  <c r="U8" i="25"/>
  <c r="AA8" i="25"/>
  <c r="R8" i="25"/>
  <c r="AB7" i="25"/>
  <c r="S7" i="25"/>
  <c r="AA7" i="25"/>
  <c r="R7" i="25"/>
  <c r="AB6" i="25"/>
  <c r="AA6" i="25"/>
  <c r="Z6" i="25"/>
  <c r="Q6" i="25"/>
  <c r="Y6" i="25"/>
  <c r="S6" i="25"/>
  <c r="P6" i="25"/>
  <c r="AB5" i="25"/>
  <c r="S14" i="25"/>
  <c r="H25" i="25"/>
  <c r="AA5" i="25"/>
  <c r="AC5" i="25"/>
  <c r="Z5" i="25"/>
  <c r="Q5" i="25"/>
  <c r="Y5" i="25"/>
  <c r="P5" i="25"/>
  <c r="AB4" i="25"/>
  <c r="AC4" i="25"/>
  <c r="Z4" i="25"/>
  <c r="Y4" i="25"/>
  <c r="P4" i="25"/>
  <c r="AB3" i="25"/>
  <c r="AC3" i="25"/>
  <c r="AA3" i="25"/>
  <c r="R12" i="25"/>
  <c r="C25" i="25"/>
  <c r="Z3" i="25"/>
  <c r="Y3" i="25"/>
  <c r="Q3" i="25"/>
  <c r="P3" i="25"/>
  <c r="B99" i="18"/>
  <c r="B98" i="18"/>
  <c r="B97" i="18"/>
  <c r="B96" i="18"/>
  <c r="B95" i="18"/>
  <c r="B94" i="18"/>
  <c r="B93" i="18"/>
  <c r="E92" i="18"/>
  <c r="B92" i="18"/>
  <c r="B91" i="18"/>
  <c r="E90" i="18"/>
  <c r="B90" i="18"/>
  <c r="B89" i="18"/>
  <c r="B88" i="18"/>
  <c r="B87" i="18"/>
  <c r="B86" i="18"/>
  <c r="B85" i="18"/>
  <c r="E84" i="18"/>
  <c r="B84" i="18"/>
  <c r="B83" i="18"/>
  <c r="E82" i="18"/>
  <c r="B82" i="18"/>
  <c r="E81" i="18"/>
  <c r="B81" i="18"/>
  <c r="B80" i="18"/>
  <c r="B79" i="18"/>
  <c r="E78" i="18"/>
  <c r="B78" i="18"/>
  <c r="E77" i="18"/>
  <c r="B77" i="18"/>
  <c r="B76" i="18"/>
  <c r="B75" i="18"/>
  <c r="E74" i="18"/>
  <c r="B74" i="18"/>
  <c r="B73" i="18"/>
  <c r="B72" i="18"/>
  <c r="B71" i="18"/>
  <c r="E70" i="18"/>
  <c r="B70" i="18"/>
  <c r="B69" i="18"/>
  <c r="E68" i="18"/>
  <c r="B68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B67" i="18"/>
  <c r="B66" i="18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B81" i="19"/>
  <c r="C81" i="19"/>
  <c r="E81" i="19"/>
  <c r="F81" i="19"/>
  <c r="B82" i="19"/>
  <c r="C82" i="19"/>
  <c r="E82" i="19"/>
  <c r="F82" i="19"/>
  <c r="B83" i="19"/>
  <c r="C83" i="19"/>
  <c r="E83" i="19"/>
  <c r="F83" i="19"/>
  <c r="B84" i="19"/>
  <c r="C84" i="19"/>
  <c r="E84" i="19"/>
  <c r="F84" i="19"/>
  <c r="B85" i="19"/>
  <c r="C85" i="19"/>
  <c r="E85" i="19"/>
  <c r="F85" i="19"/>
  <c r="B86" i="19"/>
  <c r="C86" i="19"/>
  <c r="E86" i="19"/>
  <c r="F86" i="19"/>
  <c r="B87" i="19"/>
  <c r="C87" i="19"/>
  <c r="E87" i="19"/>
  <c r="F87" i="19"/>
  <c r="B88" i="19"/>
  <c r="C88" i="19"/>
  <c r="E88" i="19"/>
  <c r="F88" i="19"/>
  <c r="B89" i="19"/>
  <c r="C89" i="19"/>
  <c r="E89" i="19"/>
  <c r="F89" i="19"/>
  <c r="B90" i="19"/>
  <c r="C90" i="19"/>
  <c r="E90" i="19"/>
  <c r="F90" i="19"/>
  <c r="B91" i="19"/>
  <c r="C91" i="19"/>
  <c r="E91" i="19"/>
  <c r="F91" i="19"/>
  <c r="B92" i="19"/>
  <c r="C92" i="19"/>
  <c r="E92" i="19"/>
  <c r="F92" i="19"/>
  <c r="B93" i="19"/>
  <c r="C93" i="19"/>
  <c r="E93" i="19"/>
  <c r="F93" i="19"/>
  <c r="B94" i="19"/>
  <c r="C94" i="19"/>
  <c r="E94" i="19"/>
  <c r="F94" i="19"/>
  <c r="B95" i="19"/>
  <c r="C95" i="19"/>
  <c r="E95" i="19"/>
  <c r="F95" i="19"/>
  <c r="B96" i="19"/>
  <c r="C96" i="19"/>
  <c r="E96" i="19"/>
  <c r="F96" i="19"/>
  <c r="B97" i="19"/>
  <c r="C97" i="19"/>
  <c r="E97" i="19"/>
  <c r="F97" i="19"/>
  <c r="B98" i="19"/>
  <c r="C98" i="19"/>
  <c r="E98" i="19"/>
  <c r="F98" i="19"/>
  <c r="B99" i="19"/>
  <c r="C99" i="19"/>
  <c r="E99" i="19"/>
  <c r="F99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B66" i="19"/>
  <c r="C66" i="19"/>
  <c r="B67" i="19"/>
  <c r="C67" i="19"/>
  <c r="B68" i="19"/>
  <c r="C68" i="19"/>
  <c r="B69" i="19"/>
  <c r="C69" i="19"/>
  <c r="B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C11" i="19"/>
  <c r="D11" i="19"/>
  <c r="L30" i="19"/>
  <c r="F68" i="19"/>
  <c r="L60" i="19"/>
  <c r="L56" i="19"/>
  <c r="L52" i="19"/>
  <c r="L48" i="19"/>
  <c r="L44" i="19"/>
  <c r="L38" i="19"/>
  <c r="F76" i="19"/>
  <c r="L34" i="19"/>
  <c r="F72" i="19"/>
  <c r="H9" i="9"/>
  <c r="E120" i="9"/>
  <c r="T32" i="19"/>
  <c r="W32" i="19"/>
  <c r="T31" i="19"/>
  <c r="T30" i="19"/>
  <c r="R58" i="19"/>
  <c r="T29" i="19"/>
  <c r="T28" i="19"/>
  <c r="R56" i="19"/>
  <c r="T27" i="19"/>
  <c r="K61" i="19"/>
  <c r="S60" i="19"/>
  <c r="T60" i="19"/>
  <c r="U60" i="19"/>
  <c r="K60" i="19"/>
  <c r="S59" i="19"/>
  <c r="T59" i="19"/>
  <c r="U59" i="19"/>
  <c r="K59" i="19"/>
  <c r="P58" i="19"/>
  <c r="K58" i="19"/>
  <c r="P57" i="19"/>
  <c r="K57" i="19"/>
  <c r="P56" i="19"/>
  <c r="K56" i="19"/>
  <c r="P55" i="19"/>
  <c r="K55" i="19"/>
  <c r="K54" i="19"/>
  <c r="K53" i="19"/>
  <c r="K52" i="19"/>
  <c r="K51" i="19"/>
  <c r="K50" i="19"/>
  <c r="W49" i="19"/>
  <c r="K49" i="19"/>
  <c r="K48" i="19"/>
  <c r="K47" i="19"/>
  <c r="K46" i="19"/>
  <c r="V45" i="19"/>
  <c r="W45" i="19"/>
  <c r="T45" i="19"/>
  <c r="K45" i="19"/>
  <c r="V44" i="19"/>
  <c r="T44" i="19"/>
  <c r="W44" i="19"/>
  <c r="K44" i="19"/>
  <c r="T43" i="19"/>
  <c r="K43" i="19"/>
  <c r="T42" i="19"/>
  <c r="K42" i="19"/>
  <c r="E80" i="19"/>
  <c r="T41" i="19"/>
  <c r="K41" i="19"/>
  <c r="E79" i="19"/>
  <c r="T40" i="19"/>
  <c r="K40" i="19"/>
  <c r="E78" i="19"/>
  <c r="K39" i="19"/>
  <c r="E77" i="19"/>
  <c r="Y38" i="19"/>
  <c r="K38" i="19"/>
  <c r="E76" i="19"/>
  <c r="Y37" i="19"/>
  <c r="K37" i="19"/>
  <c r="E75" i="19"/>
  <c r="Y36" i="19"/>
  <c r="W36" i="19"/>
  <c r="K36" i="19"/>
  <c r="E74" i="19"/>
  <c r="Y35" i="19"/>
  <c r="K35" i="19"/>
  <c r="E73" i="19"/>
  <c r="K34" i="19"/>
  <c r="E72" i="19"/>
  <c r="K33" i="19"/>
  <c r="E71" i="19"/>
  <c r="AC32" i="19"/>
  <c r="V32" i="19"/>
  <c r="K32" i="19"/>
  <c r="E70" i="19"/>
  <c r="AC31" i="19"/>
  <c r="V31" i="19"/>
  <c r="W31" i="19"/>
  <c r="K31" i="19"/>
  <c r="E69" i="19"/>
  <c r="Y30" i="19"/>
  <c r="K30" i="19"/>
  <c r="E68" i="19"/>
  <c r="Y29" i="19"/>
  <c r="R57" i="19"/>
  <c r="K29" i="19"/>
  <c r="E67" i="19"/>
  <c r="Y28" i="19"/>
  <c r="K28" i="19"/>
  <c r="E66" i="19"/>
  <c r="Y27" i="19"/>
  <c r="K27" i="19"/>
  <c r="J24" i="19"/>
  <c r="I24" i="19"/>
  <c r="H24" i="19"/>
  <c r="G24" i="19"/>
  <c r="F24" i="19"/>
  <c r="E24" i="19"/>
  <c r="D24" i="19"/>
  <c r="C24" i="19"/>
  <c r="I22" i="19"/>
  <c r="G22" i="19"/>
  <c r="E22" i="19"/>
  <c r="C22" i="19"/>
  <c r="AC17" i="19"/>
  <c r="AD17" i="19"/>
  <c r="AC16" i="19"/>
  <c r="AD16" i="19"/>
  <c r="AC15" i="19"/>
  <c r="Y15" i="19"/>
  <c r="AC14" i="19"/>
  <c r="Y14" i="19"/>
  <c r="AC13" i="19"/>
  <c r="Y13" i="19"/>
  <c r="AC12" i="19"/>
  <c r="Y12" i="19"/>
  <c r="AB8" i="19"/>
  <c r="AA8" i="19"/>
  <c r="R8" i="19"/>
  <c r="AB7" i="19"/>
  <c r="S7" i="19"/>
  <c r="AA7" i="19"/>
  <c r="AC7" i="19"/>
  <c r="AD7" i="19"/>
  <c r="AB6" i="19"/>
  <c r="AA6" i="19"/>
  <c r="AC6" i="19"/>
  <c r="Z6" i="19"/>
  <c r="Q6" i="19"/>
  <c r="Y6" i="19"/>
  <c r="S6" i="19"/>
  <c r="J25" i="19"/>
  <c r="P6" i="19"/>
  <c r="AB5" i="19"/>
  <c r="S5" i="19"/>
  <c r="AA5" i="19"/>
  <c r="R5" i="19"/>
  <c r="Z5" i="19"/>
  <c r="Q5" i="19"/>
  <c r="Y5" i="19"/>
  <c r="P5" i="19"/>
  <c r="AB4" i="19"/>
  <c r="S4" i="19"/>
  <c r="AA4" i="19"/>
  <c r="R4" i="19"/>
  <c r="Z4" i="19"/>
  <c r="Q4" i="19"/>
  <c r="L41" i="19"/>
  <c r="F79" i="19"/>
  <c r="Y4" i="19"/>
  <c r="P4" i="19"/>
  <c r="AB3" i="19"/>
  <c r="S3" i="19"/>
  <c r="AA3" i="19"/>
  <c r="R3" i="19"/>
  <c r="Z3" i="19"/>
  <c r="Q3" i="19"/>
  <c r="L32" i="19"/>
  <c r="F70" i="19"/>
  <c r="Y3" i="19"/>
  <c r="P3" i="19"/>
  <c r="O45" i="18"/>
  <c r="E83" i="18"/>
  <c r="O59" i="18"/>
  <c r="E97" i="18"/>
  <c r="O61" i="18"/>
  <c r="E99" i="18"/>
  <c r="AC6" i="18"/>
  <c r="AC5" i="18"/>
  <c r="AC4" i="18"/>
  <c r="AC3" i="18"/>
  <c r="X54" i="18"/>
  <c r="Y54" i="18"/>
  <c r="X53" i="18"/>
  <c r="Y53" i="18"/>
  <c r="X52" i="18"/>
  <c r="X51" i="18"/>
  <c r="X50" i="18"/>
  <c r="X49" i="18"/>
  <c r="AE7" i="18"/>
  <c r="AE4" i="18"/>
  <c r="X21" i="18"/>
  <c r="X20" i="18"/>
  <c r="X19" i="18"/>
  <c r="X18" i="18"/>
  <c r="X17" i="18"/>
  <c r="X16" i="18"/>
  <c r="AD5" i="18"/>
  <c r="AS48" i="4"/>
  <c r="S68" i="18"/>
  <c r="S67" i="18"/>
  <c r="S66" i="18"/>
  <c r="W63" i="18"/>
  <c r="W62" i="18"/>
  <c r="AA25" i="18"/>
  <c r="AP32" i="4"/>
  <c r="AQ48" i="4"/>
  <c r="AS32" i="4"/>
  <c r="L22" i="18"/>
  <c r="I22" i="18"/>
  <c r="F22" i="18"/>
  <c r="C22" i="18"/>
  <c r="V36" i="18"/>
  <c r="W36" i="18"/>
  <c r="X36" i="18"/>
  <c r="V35" i="18"/>
  <c r="W35" i="18"/>
  <c r="X35" i="18"/>
  <c r="AR16" i="4"/>
  <c r="M9" i="4"/>
  <c r="O35" i="18"/>
  <c r="E73" i="18"/>
  <c r="O33" i="18"/>
  <c r="E71" i="18"/>
  <c r="O31" i="18"/>
  <c r="E69" i="18"/>
  <c r="O28" i="18"/>
  <c r="E66" i="18"/>
  <c r="CD72" i="4"/>
  <c r="CE9" i="4"/>
  <c r="P25" i="2"/>
  <c r="O25" i="2"/>
  <c r="O23" i="2"/>
  <c r="P23" i="2"/>
  <c r="O22" i="2"/>
  <c r="P22" i="2"/>
  <c r="O21" i="2"/>
  <c r="P21" i="2"/>
  <c r="R20" i="2"/>
  <c r="K22" i="2"/>
  <c r="N22" i="2"/>
  <c r="K24" i="2"/>
  <c r="K23" i="2"/>
  <c r="N23" i="2"/>
  <c r="CD80" i="11"/>
  <c r="BV93" i="11"/>
  <c r="G39" i="2"/>
  <c r="H39" i="2"/>
  <c r="G25" i="2"/>
  <c r="H25" i="2"/>
  <c r="C21" i="2"/>
  <c r="C24" i="2"/>
  <c r="C23" i="2"/>
  <c r="G22" i="2"/>
  <c r="H22" i="2"/>
  <c r="C22" i="2"/>
  <c r="C36" i="2"/>
  <c r="C34" i="2"/>
  <c r="K11" i="2"/>
  <c r="N11" i="2"/>
  <c r="K10" i="2"/>
  <c r="K8" i="2"/>
  <c r="K6" i="2"/>
  <c r="K9" i="2"/>
  <c r="O11" i="2"/>
  <c r="P11" i="2"/>
  <c r="G11" i="2"/>
  <c r="H11" i="2"/>
  <c r="C10" i="2"/>
  <c r="C9" i="2"/>
  <c r="C7" i="2"/>
  <c r="BN3" i="5"/>
  <c r="BN3" i="4"/>
  <c r="BO72" i="8"/>
  <c r="CK80" i="11"/>
  <c r="CJ80" i="11"/>
  <c r="CI80" i="11"/>
  <c r="BI74" i="10"/>
  <c r="BH74" i="10"/>
  <c r="BG74" i="10"/>
  <c r="AJ6" i="9"/>
  <c r="AI6" i="9"/>
  <c r="E63" i="9"/>
  <c r="E69" i="9"/>
  <c r="E70" i="9"/>
  <c r="E89" i="9"/>
  <c r="E107" i="9"/>
  <c r="E108" i="9"/>
  <c r="AJ5" i="9"/>
  <c r="AJ4" i="9"/>
  <c r="AJ7" i="9"/>
  <c r="AJ33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I5" i="9"/>
  <c r="AH5" i="9"/>
  <c r="CD9" i="11"/>
  <c r="CD11" i="11"/>
  <c r="CD13" i="11"/>
  <c r="CD15" i="11"/>
  <c r="CD17" i="11"/>
  <c r="CD19" i="11"/>
  <c r="CD21" i="11"/>
  <c r="CD23" i="11"/>
  <c r="CD25" i="11"/>
  <c r="CD27" i="11"/>
  <c r="CD29" i="11"/>
  <c r="CD31" i="11"/>
  <c r="CD33" i="11"/>
  <c r="CD35" i="11"/>
  <c r="CD37" i="11"/>
  <c r="CD39" i="11"/>
  <c r="CD41" i="11"/>
  <c r="CD43" i="11"/>
  <c r="CD45" i="11"/>
  <c r="CD47" i="11"/>
  <c r="CD49" i="11"/>
  <c r="CD51" i="11"/>
  <c r="CD53" i="11"/>
  <c r="CD55" i="11"/>
  <c r="CD57" i="11"/>
  <c r="CD59" i="11"/>
  <c r="CD61" i="11"/>
  <c r="CD63" i="11"/>
  <c r="CD65" i="11"/>
  <c r="CD73" i="11"/>
  <c r="CD75" i="11"/>
  <c r="BB29" i="10"/>
  <c r="BB25" i="10"/>
  <c r="BB23" i="10"/>
  <c r="BB31" i="10"/>
  <c r="BB15" i="10"/>
  <c r="BB33" i="10"/>
  <c r="BB35" i="10"/>
  <c r="BB11" i="10"/>
  <c r="BB37" i="10"/>
  <c r="BB17" i="10"/>
  <c r="BB19" i="10"/>
  <c r="BB27" i="10"/>
  <c r="BB21" i="10"/>
  <c r="BN72" i="8"/>
  <c r="BN74" i="8"/>
  <c r="BP77" i="8"/>
  <c r="AI4" i="9"/>
  <c r="AH4" i="9"/>
  <c r="AF25" i="9"/>
  <c r="AB20" i="9"/>
  <c r="AV74" i="10"/>
  <c r="AW74" i="10"/>
  <c r="AX74" i="10"/>
  <c r="AY74" i="10"/>
  <c r="AZ74" i="10"/>
  <c r="BA74" i="10"/>
  <c r="BB13" i="10"/>
  <c r="BB61" i="10"/>
  <c r="BB63" i="10"/>
  <c r="BB65" i="10"/>
  <c r="BB67" i="10"/>
  <c r="BB69" i="10"/>
  <c r="BB71" i="10"/>
  <c r="AF4" i="9"/>
  <c r="AF5" i="9"/>
  <c r="AF6" i="9"/>
  <c r="AF33" i="9"/>
  <c r="H8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BI35" i="8"/>
  <c r="BH35" i="8"/>
  <c r="AD17" i="10"/>
  <c r="AD49" i="10"/>
  <c r="AD15" i="10"/>
  <c r="AD47" i="10"/>
  <c r="AV5" i="10"/>
  <c r="G25" i="10"/>
  <c r="J9" i="10"/>
  <c r="J11" i="10"/>
  <c r="J13" i="10"/>
  <c r="J15" i="10"/>
  <c r="J17" i="10"/>
  <c r="J19" i="10"/>
  <c r="J21" i="10"/>
  <c r="J23" i="10"/>
  <c r="J7" i="10"/>
  <c r="K7" i="10"/>
  <c r="CE72" i="7"/>
  <c r="CD21" i="4"/>
  <c r="AF33" i="10"/>
  <c r="AF31" i="10"/>
  <c r="AF17" i="10"/>
  <c r="AF49" i="10"/>
  <c r="BA5" i="10"/>
  <c r="AF15" i="10"/>
  <c r="AF47" i="10"/>
  <c r="AE17" i="10"/>
  <c r="AE49" i="10"/>
  <c r="AZ5" i="10"/>
  <c r="AE15" i="10"/>
  <c r="Q31" i="10"/>
  <c r="AC49" i="10"/>
  <c r="AC47" i="10"/>
  <c r="BC23" i="10"/>
  <c r="AC17" i="10"/>
  <c r="AC15" i="10"/>
  <c r="F11" i="10"/>
  <c r="F13" i="10"/>
  <c r="K13" i="10"/>
  <c r="F15" i="10"/>
  <c r="K15" i="10"/>
  <c r="F17" i="10"/>
  <c r="F19" i="10"/>
  <c r="Q33" i="10"/>
  <c r="F21" i="10"/>
  <c r="K21" i="10"/>
  <c r="F23" i="10"/>
  <c r="F9" i="10"/>
  <c r="I25" i="10"/>
  <c r="H25" i="10"/>
  <c r="P32" i="9"/>
  <c r="P31" i="9"/>
  <c r="P30" i="9"/>
  <c r="P29" i="9"/>
  <c r="P28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7" i="9"/>
  <c r="P6" i="9"/>
  <c r="P34" i="9"/>
  <c r="H4" i="9"/>
  <c r="P5" i="9"/>
  <c r="P4" i="9"/>
  <c r="L14" i="9"/>
  <c r="H3" i="9"/>
  <c r="T13" i="9"/>
  <c r="T12" i="9"/>
  <c r="T11" i="9"/>
  <c r="AD23" i="9"/>
  <c r="AD24" i="9"/>
  <c r="AD22" i="9"/>
  <c r="AD21" i="9"/>
  <c r="AD20" i="9"/>
  <c r="AD15" i="9"/>
  <c r="AD16" i="9"/>
  <c r="AD17" i="9"/>
  <c r="AD18" i="9"/>
  <c r="AD19" i="9"/>
  <c r="AD14" i="9"/>
  <c r="AD12" i="9"/>
  <c r="AD13" i="9"/>
  <c r="AD11" i="9"/>
  <c r="AD8" i="9"/>
  <c r="AD9" i="9"/>
  <c r="AD10" i="9"/>
  <c r="AD7" i="9"/>
  <c r="AD6" i="9"/>
  <c r="AD5" i="9"/>
  <c r="AD4" i="9"/>
  <c r="AB19" i="9"/>
  <c r="AB15" i="9"/>
  <c r="AB6" i="9"/>
  <c r="AB29" i="9"/>
  <c r="H7" i="9"/>
  <c r="X4" i="9"/>
  <c r="X5" i="9"/>
  <c r="AB4" i="9"/>
  <c r="AB18" i="9"/>
  <c r="AB17" i="9"/>
  <c r="AB16" i="9"/>
  <c r="AB14" i="9"/>
  <c r="AB13" i="9"/>
  <c r="AB12" i="9"/>
  <c r="AB10" i="9"/>
  <c r="AB9" i="9"/>
  <c r="AB8" i="9"/>
  <c r="AB7" i="9"/>
  <c r="AB5" i="9"/>
  <c r="Z19" i="9"/>
  <c r="Z18" i="9"/>
  <c r="Z17" i="9"/>
  <c r="Z16" i="9"/>
  <c r="Z15" i="9"/>
  <c r="Z14" i="9"/>
  <c r="Z13" i="9"/>
  <c r="Z12" i="9"/>
  <c r="Z9" i="9"/>
  <c r="Z10" i="9"/>
  <c r="Z11" i="9"/>
  <c r="Z8" i="9"/>
  <c r="Z7" i="9"/>
  <c r="Z5" i="9"/>
  <c r="Z4" i="9"/>
  <c r="X16" i="9"/>
  <c r="X8" i="9"/>
  <c r="X6" i="9"/>
  <c r="AB11" i="9"/>
  <c r="V11" i="9"/>
  <c r="X19" i="9"/>
  <c r="X17" i="9"/>
  <c r="X15" i="9"/>
  <c r="X14" i="9"/>
  <c r="X13" i="9"/>
  <c r="X7" i="9"/>
  <c r="X9" i="9"/>
  <c r="X10" i="9"/>
  <c r="X11" i="9"/>
  <c r="X12" i="9"/>
  <c r="V19" i="9"/>
  <c r="V18" i="9"/>
  <c r="V17" i="9"/>
  <c r="V16" i="9"/>
  <c r="V15" i="9"/>
  <c r="V14" i="9"/>
  <c r="V13" i="9"/>
  <c r="V7" i="9"/>
  <c r="V8" i="9"/>
  <c r="V9" i="9"/>
  <c r="V10" i="9"/>
  <c r="V12" i="9"/>
  <c r="V6" i="9"/>
  <c r="V5" i="9"/>
  <c r="V4" i="9"/>
  <c r="T10" i="9"/>
  <c r="T14" i="9"/>
  <c r="T15" i="9"/>
  <c r="T16" i="9"/>
  <c r="T17" i="9"/>
  <c r="T18" i="9"/>
  <c r="T19" i="9"/>
  <c r="T8" i="9"/>
  <c r="T9" i="9"/>
  <c r="T7" i="9"/>
  <c r="T6" i="9"/>
  <c r="T5" i="9"/>
  <c r="T4" i="9"/>
  <c r="T20" i="9"/>
  <c r="H5" i="9"/>
  <c r="N6" i="9"/>
  <c r="N33" i="9"/>
  <c r="N32" i="9"/>
  <c r="N31" i="9"/>
  <c r="N29" i="9"/>
  <c r="N30" i="9"/>
  <c r="Z6" i="9"/>
  <c r="N28" i="9"/>
  <c r="N26" i="9"/>
  <c r="N2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7" i="9"/>
  <c r="N5" i="9"/>
  <c r="N4" i="9"/>
  <c r="P33" i="9"/>
  <c r="K19" i="10"/>
  <c r="K11" i="10"/>
  <c r="K23" i="10"/>
  <c r="J25" i="10"/>
  <c r="AG15" i="10"/>
  <c r="AG17" i="10"/>
  <c r="AH17" i="10"/>
  <c r="R17" i="10"/>
  <c r="S17" i="10"/>
  <c r="T17" i="10"/>
  <c r="AE47" i="10"/>
  <c r="R15" i="10"/>
  <c r="S15" i="10"/>
  <c r="AF39" i="10"/>
  <c r="K17" i="10"/>
  <c r="K9" i="10"/>
  <c r="V6" i="10"/>
  <c r="CE25" i="5"/>
  <c r="BW72" i="5"/>
  <c r="BX72" i="5"/>
  <c r="BY72" i="5"/>
  <c r="BZ72" i="5"/>
  <c r="CA72" i="5"/>
  <c r="CB72" i="5"/>
  <c r="CC72" i="5"/>
  <c r="BV72" i="5"/>
  <c r="BA72" i="8"/>
  <c r="BB72" i="8"/>
  <c r="BC72" i="8"/>
  <c r="BD72" i="8"/>
  <c r="BE72" i="8"/>
  <c r="BF72" i="8"/>
  <c r="BG72" i="8"/>
  <c r="AZ72" i="8"/>
  <c r="CJ72" i="7"/>
  <c r="CF72" i="7"/>
  <c r="BW72" i="7"/>
  <c r="BX72" i="7"/>
  <c r="BY72" i="7"/>
  <c r="BZ72" i="7"/>
  <c r="BV72" i="7"/>
  <c r="BW80" i="11"/>
  <c r="BX80" i="11"/>
  <c r="BX82" i="11"/>
  <c r="BY80" i="11"/>
  <c r="BY82" i="11"/>
  <c r="BZ80" i="11"/>
  <c r="CA80" i="11"/>
  <c r="CB80" i="11"/>
  <c r="CB82" i="11"/>
  <c r="CC80" i="11"/>
  <c r="BV80" i="11"/>
  <c r="J7" i="11"/>
  <c r="K7" i="11"/>
  <c r="J9" i="11"/>
  <c r="K9" i="11"/>
  <c r="J11" i="11"/>
  <c r="K11" i="11"/>
  <c r="J13" i="11"/>
  <c r="K13" i="11"/>
  <c r="J15" i="11"/>
  <c r="K15" i="11"/>
  <c r="J17" i="11"/>
  <c r="K17" i="11"/>
  <c r="K19" i="11"/>
  <c r="U7" i="11"/>
  <c r="V7" i="11"/>
  <c r="U9" i="11"/>
  <c r="V9" i="11"/>
  <c r="U11" i="11"/>
  <c r="V11" i="11"/>
  <c r="U13" i="11"/>
  <c r="V13" i="11"/>
  <c r="U15" i="11"/>
  <c r="V15" i="11"/>
  <c r="U17" i="11"/>
  <c r="V17" i="11"/>
  <c r="U19" i="11"/>
  <c r="V19" i="11"/>
  <c r="U21" i="11"/>
  <c r="V21" i="11"/>
  <c r="U23" i="11"/>
  <c r="V23" i="11"/>
  <c r="V25" i="11"/>
  <c r="AH11" i="11"/>
  <c r="AL6" i="11"/>
  <c r="AW5" i="10"/>
  <c r="AG23" i="10"/>
  <c r="AH15" i="10"/>
  <c r="AH23" i="10"/>
  <c r="R23" i="10"/>
  <c r="CE67" i="11"/>
  <c r="CE73" i="11"/>
  <c r="CE51" i="11"/>
  <c r="CC5" i="11"/>
  <c r="CB5" i="11"/>
  <c r="BV5" i="11"/>
  <c r="BE34" i="11"/>
  <c r="BE66" i="11"/>
  <c r="BD30" i="11"/>
  <c r="BD62" i="11"/>
  <c r="U82" i="11"/>
  <c r="CK72" i="7"/>
  <c r="CE53" i="11"/>
  <c r="CE45" i="11"/>
  <c r="CM11" i="11"/>
  <c r="BF36" i="11"/>
  <c r="BE30" i="11"/>
  <c r="BE62" i="11"/>
  <c r="BB30" i="11"/>
  <c r="AO20" i="11"/>
  <c r="V66" i="11"/>
  <c r="W66" i="11"/>
  <c r="V68" i="11"/>
  <c r="W68" i="11"/>
  <c r="V70" i="11"/>
  <c r="V72" i="11"/>
  <c r="W72" i="11"/>
  <c r="V74" i="11"/>
  <c r="W74" i="11"/>
  <c r="V76" i="11"/>
  <c r="W76" i="11"/>
  <c r="V80" i="11"/>
  <c r="W80" i="11"/>
  <c r="V64" i="11"/>
  <c r="W64" i="11"/>
  <c r="CE35" i="11"/>
  <c r="CE23" i="11"/>
  <c r="CE41" i="11"/>
  <c r="CE17" i="11"/>
  <c r="CE63" i="11"/>
  <c r="CE49" i="11"/>
  <c r="CE27" i="11"/>
  <c r="CE15" i="11"/>
  <c r="CE47" i="11"/>
  <c r="CE71" i="11"/>
  <c r="CE80" i="11"/>
  <c r="CE25" i="11"/>
  <c r="CE29" i="11"/>
  <c r="CE19" i="11"/>
  <c r="CE31" i="11"/>
  <c r="CE9" i="11"/>
  <c r="CE21" i="11"/>
  <c r="CE61" i="11"/>
  <c r="CE11" i="11"/>
  <c r="CE13" i="11"/>
  <c r="CE33" i="11"/>
  <c r="CE37" i="11"/>
  <c r="CE39" i="11"/>
  <c r="CE43" i="11"/>
  <c r="CE55" i="11"/>
  <c r="CE57" i="11"/>
  <c r="CE59" i="11"/>
  <c r="CE69" i="11"/>
  <c r="CE75" i="11"/>
  <c r="I76" i="11"/>
  <c r="H76" i="11"/>
  <c r="J74" i="11"/>
  <c r="K74" i="11"/>
  <c r="J72" i="11"/>
  <c r="K72" i="11"/>
  <c r="W70" i="11"/>
  <c r="J70" i="11"/>
  <c r="K70" i="11"/>
  <c r="AE68" i="11"/>
  <c r="AD68" i="11"/>
  <c r="J68" i="11"/>
  <c r="K68" i="11"/>
  <c r="AF66" i="11"/>
  <c r="AG66" i="11"/>
  <c r="J66" i="11"/>
  <c r="K66" i="11"/>
  <c r="AF64" i="11"/>
  <c r="AG64" i="11"/>
  <c r="AG68" i="11"/>
  <c r="J64" i="11"/>
  <c r="K64" i="11"/>
  <c r="T25" i="11"/>
  <c r="S25" i="11"/>
  <c r="I19" i="11"/>
  <c r="H19" i="11"/>
  <c r="BI11" i="8"/>
  <c r="BI13" i="8"/>
  <c r="BI17" i="8"/>
  <c r="BI25" i="8"/>
  <c r="BI21" i="8"/>
  <c r="BI72" i="8"/>
  <c r="BI23" i="8"/>
  <c r="BI19" i="8"/>
  <c r="BI15" i="8"/>
  <c r="BI27" i="8"/>
  <c r="BI29" i="8"/>
  <c r="BI37" i="8"/>
  <c r="BI39" i="8"/>
  <c r="BI41" i="8"/>
  <c r="BI43" i="8"/>
  <c r="BI45" i="8"/>
  <c r="BI47" i="8"/>
  <c r="BI49" i="8"/>
  <c r="BI51" i="8"/>
  <c r="BI53" i="8"/>
  <c r="BI55" i="8"/>
  <c r="BI57" i="8"/>
  <c r="BI59" i="8"/>
  <c r="BI61" i="8"/>
  <c r="BI63" i="8"/>
  <c r="BI65" i="8"/>
  <c r="BI67" i="8"/>
  <c r="BI69" i="8"/>
  <c r="BI9" i="8"/>
  <c r="CE45" i="7"/>
  <c r="CF45" i="7"/>
  <c r="CN23" i="7"/>
  <c r="CN27" i="7"/>
  <c r="CN29" i="7"/>
  <c r="CN25" i="7"/>
  <c r="W15" i="7"/>
  <c r="W21" i="7"/>
  <c r="AQ18" i="7"/>
  <c r="AR18" i="7"/>
  <c r="AS18" i="7"/>
  <c r="AQ34" i="7"/>
  <c r="AP20" i="7"/>
  <c r="AR20" i="7"/>
  <c r="AS16" i="6"/>
  <c r="AT16" i="6"/>
  <c r="AT24" i="6"/>
  <c r="BN8" i="6"/>
  <c r="AR16" i="6"/>
  <c r="K7" i="7"/>
  <c r="L7" i="7"/>
  <c r="K9" i="7"/>
  <c r="L9" i="7"/>
  <c r="K11" i="7"/>
  <c r="L11" i="7"/>
  <c r="K13" i="7"/>
  <c r="L13" i="7"/>
  <c r="K15" i="7"/>
  <c r="L15" i="7"/>
  <c r="K17" i="7"/>
  <c r="L17" i="7"/>
  <c r="K19" i="7"/>
  <c r="L19" i="7"/>
  <c r="K21" i="7"/>
  <c r="L21" i="7"/>
  <c r="K23" i="7"/>
  <c r="L23" i="7"/>
  <c r="K25" i="7"/>
  <c r="L25" i="7"/>
  <c r="K27" i="7"/>
  <c r="L27" i="7"/>
  <c r="K29" i="7"/>
  <c r="L29" i="7"/>
  <c r="K31" i="7"/>
  <c r="L31" i="7"/>
  <c r="K33" i="7"/>
  <c r="L33" i="7"/>
  <c r="K35" i="7"/>
  <c r="L35" i="7"/>
  <c r="W7" i="7"/>
  <c r="X7" i="7"/>
  <c r="W9" i="7"/>
  <c r="X9" i="7"/>
  <c r="W11" i="7"/>
  <c r="X11" i="7"/>
  <c r="W13" i="7"/>
  <c r="X13" i="7"/>
  <c r="W17" i="7"/>
  <c r="X17" i="7"/>
  <c r="W19" i="7"/>
  <c r="X19" i="7"/>
  <c r="X21" i="7"/>
  <c r="W23" i="7"/>
  <c r="W25" i="7"/>
  <c r="X25" i="7"/>
  <c r="W27" i="7"/>
  <c r="Y27" i="7"/>
  <c r="W29" i="7"/>
  <c r="X29" i="7"/>
  <c r="W31" i="7"/>
  <c r="Y31" i="7"/>
  <c r="W33" i="7"/>
  <c r="X33" i="7"/>
  <c r="W35" i="7"/>
  <c r="Y35" i="7"/>
  <c r="AH7" i="7"/>
  <c r="AJ7" i="7"/>
  <c r="AH9" i="7"/>
  <c r="AH11" i="7"/>
  <c r="AJ11" i="7"/>
  <c r="AI11" i="7"/>
  <c r="AH13" i="7"/>
  <c r="AI13" i="7"/>
  <c r="AH15" i="7"/>
  <c r="AJ15" i="7"/>
  <c r="AH17" i="7"/>
  <c r="AH19" i="7"/>
  <c r="AJ19" i="7"/>
  <c r="AI19" i="7"/>
  <c r="AH21" i="7"/>
  <c r="AI21" i="7"/>
  <c r="AH23" i="7"/>
  <c r="AJ23" i="7"/>
  <c r="AH25" i="7"/>
  <c r="AI25" i="7"/>
  <c r="AH27" i="7"/>
  <c r="AI27" i="7"/>
  <c r="AH29" i="7"/>
  <c r="AH31" i="7"/>
  <c r="AI31" i="7"/>
  <c r="AH33" i="7"/>
  <c r="AH35" i="7"/>
  <c r="AI35" i="7"/>
  <c r="K45" i="7"/>
  <c r="L45" i="7"/>
  <c r="K47" i="7"/>
  <c r="L47" i="7"/>
  <c r="K49" i="7"/>
  <c r="L49" i="7"/>
  <c r="K51" i="7"/>
  <c r="M51" i="7"/>
  <c r="L51" i="7"/>
  <c r="K53" i="7"/>
  <c r="L53" i="7"/>
  <c r="K55" i="7"/>
  <c r="M55" i="7"/>
  <c r="L55" i="7"/>
  <c r="K57" i="7"/>
  <c r="L57" i="7"/>
  <c r="K59" i="7"/>
  <c r="M59" i="7"/>
  <c r="L59" i="7"/>
  <c r="K61" i="7"/>
  <c r="L61" i="7"/>
  <c r="K63" i="7"/>
  <c r="M63" i="7"/>
  <c r="L63" i="7"/>
  <c r="K65" i="7"/>
  <c r="L65" i="7"/>
  <c r="K67" i="7"/>
  <c r="M67" i="7"/>
  <c r="L67" i="7"/>
  <c r="K69" i="7"/>
  <c r="L69" i="7"/>
  <c r="K71" i="7"/>
  <c r="L71" i="7"/>
  <c r="K73" i="7"/>
  <c r="L73" i="7"/>
  <c r="V45" i="7"/>
  <c r="W45" i="7"/>
  <c r="V47" i="7"/>
  <c r="X47" i="7"/>
  <c r="V49" i="7"/>
  <c r="W49" i="7"/>
  <c r="V51" i="7"/>
  <c r="W51" i="7"/>
  <c r="V53" i="7"/>
  <c r="W53" i="7"/>
  <c r="V55" i="7"/>
  <c r="W55" i="7"/>
  <c r="V57" i="7"/>
  <c r="W57" i="7"/>
  <c r="V59" i="7"/>
  <c r="W59" i="7"/>
  <c r="V61" i="7"/>
  <c r="W61" i="7"/>
  <c r="V63" i="7"/>
  <c r="X63" i="7"/>
  <c r="V65" i="7"/>
  <c r="V67" i="7"/>
  <c r="X67" i="7"/>
  <c r="W67" i="7"/>
  <c r="V69" i="7"/>
  <c r="V71" i="7"/>
  <c r="W71" i="7"/>
  <c r="V73" i="7"/>
  <c r="W73" i="7"/>
  <c r="AG45" i="7"/>
  <c r="AH45" i="7"/>
  <c r="AG47" i="7"/>
  <c r="AH47" i="7"/>
  <c r="AG49" i="7"/>
  <c r="AH49" i="7"/>
  <c r="AG51" i="7"/>
  <c r="AH51" i="7"/>
  <c r="AG53" i="7"/>
  <c r="AH53" i="7"/>
  <c r="AG55" i="7"/>
  <c r="AH55" i="7"/>
  <c r="AG57" i="7"/>
  <c r="AI57" i="7"/>
  <c r="AH57" i="7"/>
  <c r="AG59" i="7"/>
  <c r="AH59" i="7"/>
  <c r="AG61" i="7"/>
  <c r="AH61" i="7"/>
  <c r="AG63" i="7"/>
  <c r="AH63" i="7"/>
  <c r="AG65" i="7"/>
  <c r="AH65" i="7"/>
  <c r="AG67" i="7"/>
  <c r="AH67" i="7"/>
  <c r="AG69" i="7"/>
  <c r="AI69" i="7"/>
  <c r="AH69" i="7"/>
  <c r="AG71" i="7"/>
  <c r="AH71" i="7"/>
  <c r="AG73" i="7"/>
  <c r="AH73" i="7"/>
  <c r="AR6" i="7"/>
  <c r="BC16" i="7"/>
  <c r="BC48" i="7"/>
  <c r="BV5" i="7"/>
  <c r="CE37" i="7"/>
  <c r="CF37" i="7"/>
  <c r="BD68" i="11"/>
  <c r="BC68" i="11"/>
  <c r="BB68" i="11"/>
  <c r="BB66" i="11"/>
  <c r="BB64" i="11"/>
  <c r="BB62" i="11"/>
  <c r="BD52" i="11"/>
  <c r="BE68" i="11"/>
  <c r="BF68" i="11"/>
  <c r="BG68" i="11"/>
  <c r="BD50" i="11"/>
  <c r="BD48" i="11"/>
  <c r="BD46" i="11"/>
  <c r="BD54" i="11"/>
  <c r="BB36" i="11"/>
  <c r="BB32" i="11"/>
  <c r="CD5" i="5"/>
  <c r="CF25" i="7"/>
  <c r="CF23" i="7"/>
  <c r="CF39" i="7"/>
  <c r="CF31" i="7"/>
  <c r="CF27" i="7"/>
  <c r="CF29" i="7"/>
  <c r="CF51" i="7"/>
  <c r="CF33" i="7"/>
  <c r="CF21" i="7"/>
  <c r="CF15" i="7"/>
  <c r="CF43" i="7"/>
  <c r="CF9" i="7"/>
  <c r="CF19" i="7"/>
  <c r="CF11" i="7"/>
  <c r="CF47" i="7"/>
  <c r="CF17" i="7"/>
  <c r="CF41" i="7"/>
  <c r="CF13" i="7"/>
  <c r="CF35" i="7"/>
  <c r="CF53" i="7"/>
  <c r="CF55" i="7"/>
  <c r="CF57" i="7"/>
  <c r="CF59" i="7"/>
  <c r="CF61" i="7"/>
  <c r="CF63" i="7"/>
  <c r="CF65" i="7"/>
  <c r="CF67" i="7"/>
  <c r="CF69" i="7"/>
  <c r="BD18" i="7"/>
  <c r="BD50" i="7"/>
  <c r="BC18" i="7"/>
  <c r="BC50" i="7"/>
  <c r="BX5" i="7"/>
  <c r="BE34" i="7"/>
  <c r="BD32" i="7"/>
  <c r="BE32" i="7"/>
  <c r="BE40" i="7"/>
  <c r="BE18" i="7"/>
  <c r="BE50" i="7"/>
  <c r="BZ5" i="7"/>
  <c r="BD16" i="7"/>
  <c r="BD48" i="7"/>
  <c r="BW5" i="7"/>
  <c r="BE16" i="7"/>
  <c r="BE48" i="7"/>
  <c r="V37" i="7"/>
  <c r="S90" i="7"/>
  <c r="T90" i="7"/>
  <c r="U90" i="7"/>
  <c r="Y87" i="7"/>
  <c r="Q88" i="7"/>
  <c r="Q87" i="7"/>
  <c r="Q86" i="7"/>
  <c r="Q85" i="7"/>
  <c r="BH9" i="8"/>
  <c r="T41" i="8"/>
  <c r="W41" i="8"/>
  <c r="AR6" i="8"/>
  <c r="BP80" i="8"/>
  <c r="AH41" i="8"/>
  <c r="AH39" i="8"/>
  <c r="AH47" i="8"/>
  <c r="AF23" i="8"/>
  <c r="Q39" i="8"/>
  <c r="AH23" i="8"/>
  <c r="AG23" i="8"/>
  <c r="AG55" i="8"/>
  <c r="U43" i="8"/>
  <c r="W43" i="8"/>
  <c r="X9" i="5"/>
  <c r="W9" i="5"/>
  <c r="M9" i="5"/>
  <c r="L9" i="5"/>
  <c r="BD32" i="6"/>
  <c r="BN6" i="7"/>
  <c r="S21" i="7"/>
  <c r="S15" i="7"/>
  <c r="J9" i="8"/>
  <c r="I9" i="8"/>
  <c r="K7" i="8"/>
  <c r="U23" i="8"/>
  <c r="K9" i="8"/>
  <c r="BM72" i="8"/>
  <c r="BG74" i="8"/>
  <c r="BF74" i="8"/>
  <c r="BE74" i="8"/>
  <c r="BD74" i="8"/>
  <c r="BH69" i="8"/>
  <c r="BH67" i="8"/>
  <c r="BH65" i="8"/>
  <c r="BH63" i="8"/>
  <c r="BH61" i="8"/>
  <c r="AH61" i="8"/>
  <c r="AG61" i="8"/>
  <c r="AI61" i="8"/>
  <c r="AJ61" i="8"/>
  <c r="AF61" i="8"/>
  <c r="BH59" i="8"/>
  <c r="AH59" i="8"/>
  <c r="AG59" i="8"/>
  <c r="AF59" i="8"/>
  <c r="BH57" i="8"/>
  <c r="AH57" i="8"/>
  <c r="BC5" i="8"/>
  <c r="AG57" i="8"/>
  <c r="BB5" i="8"/>
  <c r="AF57" i="8"/>
  <c r="BH55" i="8"/>
  <c r="AH55" i="8"/>
  <c r="BA5" i="8"/>
  <c r="AF55" i="8"/>
  <c r="BH53" i="8"/>
  <c r="BH51" i="8"/>
  <c r="BH49" i="8"/>
  <c r="BH47" i="8"/>
  <c r="BH45" i="8"/>
  <c r="BH43" i="8"/>
  <c r="BH41" i="8"/>
  <c r="BH39" i="8"/>
  <c r="BH37" i="8"/>
  <c r="BH33" i="8"/>
  <c r="BH29" i="8"/>
  <c r="BH31" i="8"/>
  <c r="BH27" i="8"/>
  <c r="BH15" i="8"/>
  <c r="BH19" i="8"/>
  <c r="AI25" i="8"/>
  <c r="AF25" i="8"/>
  <c r="AJ25" i="8"/>
  <c r="BH23" i="8"/>
  <c r="BH21" i="8"/>
  <c r="BH25" i="8"/>
  <c r="BH17" i="8"/>
  <c r="AH14" i="8"/>
  <c r="AR8" i="8"/>
  <c r="BP82" i="8"/>
  <c r="BH13" i="8"/>
  <c r="BH11" i="8"/>
  <c r="AF75" i="7"/>
  <c r="AE75" i="7"/>
  <c r="U75" i="7"/>
  <c r="T75" i="7"/>
  <c r="J75" i="7"/>
  <c r="I75" i="7"/>
  <c r="AI73" i="7"/>
  <c r="M73" i="7"/>
  <c r="CL72" i="7"/>
  <c r="CK74" i="7"/>
  <c r="AI71" i="7"/>
  <c r="X71" i="7"/>
  <c r="M71" i="7"/>
  <c r="CE69" i="7"/>
  <c r="CE67" i="7"/>
  <c r="CE65" i="7"/>
  <c r="M65" i="7"/>
  <c r="CE63" i="7"/>
  <c r="AI63" i="7"/>
  <c r="CE61" i="7"/>
  <c r="CE59" i="7"/>
  <c r="AI59" i="7"/>
  <c r="CE57" i="7"/>
  <c r="X57" i="7"/>
  <c r="CE55" i="7"/>
  <c r="BC54" i="7"/>
  <c r="CC5" i="7"/>
  <c r="BB54" i="7"/>
  <c r="CE53" i="7"/>
  <c r="X53" i="7"/>
  <c r="BF52" i="7"/>
  <c r="BB52" i="7"/>
  <c r="BG52" i="7"/>
  <c r="CE35" i="7"/>
  <c r="AI51" i="7"/>
  <c r="X51" i="7"/>
  <c r="BB50" i="7"/>
  <c r="CE49" i="7"/>
  <c r="X49" i="7"/>
  <c r="BB48" i="7"/>
  <c r="CE13" i="7"/>
  <c r="M47" i="7"/>
  <c r="CE41" i="7"/>
  <c r="CE17" i="7"/>
  <c r="CE47" i="7"/>
  <c r="CE11" i="7"/>
  <c r="AG37" i="7"/>
  <c r="AF37" i="7"/>
  <c r="U37" i="7"/>
  <c r="T37" i="7"/>
  <c r="J37" i="7"/>
  <c r="I37" i="7"/>
  <c r="CE19" i="7"/>
  <c r="M35" i="7"/>
  <c r="CE9" i="7"/>
  <c r="CE43" i="7"/>
  <c r="CE15" i="7"/>
  <c r="M29" i="7"/>
  <c r="M27" i="7"/>
  <c r="CE21" i="7"/>
  <c r="AJ25" i="7"/>
  <c r="M25" i="7"/>
  <c r="CE33" i="7"/>
  <c r="M23" i="7"/>
  <c r="BF22" i="7"/>
  <c r="BB22" i="7"/>
  <c r="CE51" i="7"/>
  <c r="M21" i="7"/>
  <c r="BF20" i="7"/>
  <c r="BB20" i="7"/>
  <c r="CE29" i="7"/>
  <c r="Y19" i="7"/>
  <c r="BB18" i="7"/>
  <c r="CE27" i="7"/>
  <c r="Y17" i="7"/>
  <c r="M17" i="7"/>
  <c r="BB16" i="7"/>
  <c r="CE31" i="7"/>
  <c r="M15" i="7"/>
  <c r="CE39" i="7"/>
  <c r="Y13" i="7"/>
  <c r="CE23" i="7"/>
  <c r="Y11" i="7"/>
  <c r="M11" i="7"/>
  <c r="CE25" i="7"/>
  <c r="Y9" i="7"/>
  <c r="CD5" i="7"/>
  <c r="CB5" i="7"/>
  <c r="CA5" i="7"/>
  <c r="CB74" i="6"/>
  <c r="CK72" i="6"/>
  <c r="CJ72" i="6"/>
  <c r="CI72" i="6"/>
  <c r="CJ74" i="6"/>
  <c r="CL77" i="6"/>
  <c r="CC72" i="6"/>
  <c r="CC74" i="6"/>
  <c r="CB72" i="6"/>
  <c r="CA72" i="6"/>
  <c r="CA74" i="6"/>
  <c r="BZ72" i="6"/>
  <c r="BZ74" i="6"/>
  <c r="BY72" i="6"/>
  <c r="BX72" i="6"/>
  <c r="BW72" i="6"/>
  <c r="BV72" i="6"/>
  <c r="CE69" i="6"/>
  <c r="CD69" i="6"/>
  <c r="CE67" i="6"/>
  <c r="CD67" i="6"/>
  <c r="CE65" i="6"/>
  <c r="CD65" i="6"/>
  <c r="CE63" i="6"/>
  <c r="CD63" i="6"/>
  <c r="CE61" i="6"/>
  <c r="CD61" i="6"/>
  <c r="CE59" i="6"/>
  <c r="CD59" i="6"/>
  <c r="CE57" i="6"/>
  <c r="CD57" i="6"/>
  <c r="CE55" i="6"/>
  <c r="CD55" i="6"/>
  <c r="CE53" i="6"/>
  <c r="CD53" i="6"/>
  <c r="CE51" i="6"/>
  <c r="CD51" i="6"/>
  <c r="BD50" i="6"/>
  <c r="BB50" i="6"/>
  <c r="CE49" i="6"/>
  <c r="CD49" i="6"/>
  <c r="BB48" i="6"/>
  <c r="CE47" i="6"/>
  <c r="CD47" i="6"/>
  <c r="CE45" i="6"/>
  <c r="CD45" i="6"/>
  <c r="CE43" i="6"/>
  <c r="CD43" i="6"/>
  <c r="CE41" i="6"/>
  <c r="CD41" i="6"/>
  <c r="BD40" i="6"/>
  <c r="CE39" i="6"/>
  <c r="CD39" i="6"/>
  <c r="CE37" i="6"/>
  <c r="CD37" i="6"/>
  <c r="CE35" i="6"/>
  <c r="CD35" i="6"/>
  <c r="BD34" i="6"/>
  <c r="AP34" i="6"/>
  <c r="CE33" i="6"/>
  <c r="CD33" i="6"/>
  <c r="CE31" i="6"/>
  <c r="CD31" i="6"/>
  <c r="CE29" i="6"/>
  <c r="CD29" i="6"/>
  <c r="CE27" i="6"/>
  <c r="CD27" i="6"/>
  <c r="CE25" i="6"/>
  <c r="CD25" i="6"/>
  <c r="CE23" i="6"/>
  <c r="CD23" i="6"/>
  <c r="CE21" i="6"/>
  <c r="CD21" i="6"/>
  <c r="CE19" i="6"/>
  <c r="CD19" i="6"/>
  <c r="BD18" i="6"/>
  <c r="BC18" i="6"/>
  <c r="BC50" i="6"/>
  <c r="BB18" i="6"/>
  <c r="AQ18" i="6"/>
  <c r="AR18" i="6"/>
  <c r="AS18" i="6"/>
  <c r="AQ34" i="6"/>
  <c r="AS34" i="6"/>
  <c r="CE17" i="6"/>
  <c r="CD17" i="6"/>
  <c r="BE16" i="6"/>
  <c r="BD16" i="6"/>
  <c r="BD48" i="6"/>
  <c r="BW5" i="6"/>
  <c r="BW74" i="6"/>
  <c r="BC16" i="6"/>
  <c r="BC48" i="6"/>
  <c r="BB16" i="6"/>
  <c r="BF16" i="6"/>
  <c r="AQ16" i="6"/>
  <c r="CE15" i="6"/>
  <c r="CD15" i="6"/>
  <c r="CE13" i="6"/>
  <c r="CD13" i="6"/>
  <c r="CE11" i="6"/>
  <c r="CD11" i="6"/>
  <c r="U11" i="6"/>
  <c r="T11" i="6"/>
  <c r="K11" i="6"/>
  <c r="J11" i="6"/>
  <c r="I11" i="6"/>
  <c r="CE9" i="6"/>
  <c r="CE72" i="6"/>
  <c r="CD9" i="6"/>
  <c r="CD72" i="6"/>
  <c r="BV78" i="6"/>
  <c r="X9" i="6"/>
  <c r="V9" i="6"/>
  <c r="W9" i="6"/>
  <c r="M9" i="6"/>
  <c r="L9" i="6"/>
  <c r="K9" i="6"/>
  <c r="X7" i="6"/>
  <c r="X11" i="6"/>
  <c r="V7" i="6"/>
  <c r="W7" i="6"/>
  <c r="W11" i="6"/>
  <c r="M7" i="6"/>
  <c r="M11" i="6"/>
  <c r="L7" i="6"/>
  <c r="L11" i="6"/>
  <c r="K7" i="6"/>
  <c r="BN6" i="6"/>
  <c r="BY5" i="6"/>
  <c r="BY74" i="6"/>
  <c r="AF75" i="5"/>
  <c r="AE75" i="5"/>
  <c r="U75" i="5"/>
  <c r="T75" i="5"/>
  <c r="J75" i="5"/>
  <c r="I75" i="5"/>
  <c r="AI73" i="5"/>
  <c r="AG73" i="5"/>
  <c r="AH73" i="5"/>
  <c r="X73" i="5"/>
  <c r="W73" i="5"/>
  <c r="V73" i="5"/>
  <c r="K73" i="5"/>
  <c r="L73" i="5"/>
  <c r="CK72" i="5"/>
  <c r="BE71" i="5"/>
  <c r="AG71" i="5"/>
  <c r="AH71" i="5"/>
  <c r="V71" i="5"/>
  <c r="X71" i="5"/>
  <c r="M71" i="5"/>
  <c r="K71" i="5"/>
  <c r="L71" i="5"/>
  <c r="CE69" i="5"/>
  <c r="CD69" i="5"/>
  <c r="BE69" i="5"/>
  <c r="AI69" i="5"/>
  <c r="AG69" i="5"/>
  <c r="AH69" i="5"/>
  <c r="X69" i="5"/>
  <c r="W69" i="5"/>
  <c r="V69" i="5"/>
  <c r="K69" i="5"/>
  <c r="L69" i="5"/>
  <c r="CE67" i="5"/>
  <c r="CD67" i="5"/>
  <c r="BE67" i="5"/>
  <c r="AI67" i="5"/>
  <c r="AH67" i="5"/>
  <c r="AG67" i="5"/>
  <c r="V67" i="5"/>
  <c r="W67" i="5"/>
  <c r="K67" i="5"/>
  <c r="M67" i="5"/>
  <c r="CE65" i="5"/>
  <c r="CD65" i="5"/>
  <c r="BE65" i="5"/>
  <c r="BE73" i="5"/>
  <c r="AG65" i="5"/>
  <c r="AI65" i="5"/>
  <c r="X65" i="5"/>
  <c r="V65" i="5"/>
  <c r="W65" i="5"/>
  <c r="M65" i="5"/>
  <c r="L65" i="5"/>
  <c r="K65" i="5"/>
  <c r="CE63" i="5"/>
  <c r="CD63" i="5"/>
  <c r="AG63" i="5"/>
  <c r="AI63" i="5"/>
  <c r="X63" i="5"/>
  <c r="V63" i="5"/>
  <c r="W63" i="5"/>
  <c r="M63" i="5"/>
  <c r="L63" i="5"/>
  <c r="K63" i="5"/>
  <c r="CE61" i="5"/>
  <c r="CD61" i="5"/>
  <c r="AI61" i="5"/>
  <c r="AG61" i="5"/>
  <c r="AH61" i="5"/>
  <c r="X61" i="5"/>
  <c r="W61" i="5"/>
  <c r="V61" i="5"/>
  <c r="K61" i="5"/>
  <c r="L61" i="5"/>
  <c r="CE59" i="5"/>
  <c r="CD59" i="5"/>
  <c r="AI59" i="5"/>
  <c r="AG59" i="5"/>
  <c r="AH59" i="5"/>
  <c r="X59" i="5"/>
  <c r="W59" i="5"/>
  <c r="V59" i="5"/>
  <c r="K59" i="5"/>
  <c r="L59" i="5"/>
  <c r="CE57" i="5"/>
  <c r="CD57" i="5"/>
  <c r="AI57" i="5"/>
  <c r="AH57" i="5"/>
  <c r="AG57" i="5"/>
  <c r="V57" i="5"/>
  <c r="W57" i="5"/>
  <c r="K57" i="5"/>
  <c r="M57" i="5"/>
  <c r="CE55" i="5"/>
  <c r="CD55" i="5"/>
  <c r="AG55" i="5"/>
  <c r="AI55" i="5"/>
  <c r="X55" i="5"/>
  <c r="V55" i="5"/>
  <c r="W55" i="5"/>
  <c r="M55" i="5"/>
  <c r="L55" i="5"/>
  <c r="K55" i="5"/>
  <c r="BB54" i="5"/>
  <c r="BB71" i="5"/>
  <c r="BF71" i="5"/>
  <c r="CE53" i="5"/>
  <c r="CD53" i="5"/>
  <c r="AI53" i="5"/>
  <c r="AG53" i="5"/>
  <c r="AH53" i="5"/>
  <c r="X53" i="5"/>
  <c r="W53" i="5"/>
  <c r="V53" i="5"/>
  <c r="K53" i="5"/>
  <c r="L53" i="5"/>
  <c r="BB52" i="5"/>
  <c r="BB69" i="5"/>
  <c r="BF69" i="5"/>
  <c r="CE51" i="5"/>
  <c r="CD51" i="5"/>
  <c r="AI51" i="5"/>
  <c r="AG51" i="5"/>
  <c r="AH51" i="5"/>
  <c r="X51" i="5"/>
  <c r="W51" i="5"/>
  <c r="V51" i="5"/>
  <c r="K51" i="5"/>
  <c r="L51" i="5"/>
  <c r="BB50" i="5"/>
  <c r="CE49" i="5"/>
  <c r="CD49" i="5"/>
  <c r="AI49" i="5"/>
  <c r="AH49" i="5"/>
  <c r="AG49" i="5"/>
  <c r="V49" i="5"/>
  <c r="W49" i="5"/>
  <c r="K49" i="5"/>
  <c r="M49" i="5"/>
  <c r="BB48" i="5"/>
  <c r="BB65" i="5"/>
  <c r="BF65" i="5"/>
  <c r="CE47" i="5"/>
  <c r="CD47" i="5"/>
  <c r="AI47" i="5"/>
  <c r="AH47" i="5"/>
  <c r="AG47" i="5"/>
  <c r="V47" i="5"/>
  <c r="W47" i="5"/>
  <c r="K47" i="5"/>
  <c r="M47" i="5"/>
  <c r="CE45" i="5"/>
  <c r="CD45" i="5"/>
  <c r="AG45" i="5"/>
  <c r="AH45" i="5"/>
  <c r="V45" i="5"/>
  <c r="X45" i="5"/>
  <c r="M45" i="5"/>
  <c r="K45" i="5"/>
  <c r="K75" i="5"/>
  <c r="CE43" i="5"/>
  <c r="CD43" i="5"/>
  <c r="CE41" i="5"/>
  <c r="CD41" i="5"/>
  <c r="CE17" i="5"/>
  <c r="CD17" i="5"/>
  <c r="BD38" i="5"/>
  <c r="CE39" i="5"/>
  <c r="CD39" i="5"/>
  <c r="AF37" i="5"/>
  <c r="AE37" i="5"/>
  <c r="U37" i="5"/>
  <c r="T37" i="5"/>
  <c r="J37" i="5"/>
  <c r="I37" i="5"/>
  <c r="BD36" i="5"/>
  <c r="CE37" i="5"/>
  <c r="CD37" i="5"/>
  <c r="AI35" i="5"/>
  <c r="AH35" i="5"/>
  <c r="AG35" i="5"/>
  <c r="V35" i="5"/>
  <c r="W35" i="5"/>
  <c r="K35" i="5"/>
  <c r="M35" i="5"/>
  <c r="BD34" i="5"/>
  <c r="CE23" i="5"/>
  <c r="CD23" i="5"/>
  <c r="AI33" i="5"/>
  <c r="AH33" i="5"/>
  <c r="AG33" i="5"/>
  <c r="V33" i="5"/>
  <c r="W33" i="5"/>
  <c r="K33" i="5"/>
  <c r="M33" i="5"/>
  <c r="BD32" i="5"/>
  <c r="BD40" i="5"/>
  <c r="CE35" i="5"/>
  <c r="CD35" i="5"/>
  <c r="AI31" i="5"/>
  <c r="AG31" i="5"/>
  <c r="AH31" i="5"/>
  <c r="X31" i="5"/>
  <c r="W31" i="5"/>
  <c r="V31" i="5"/>
  <c r="K31" i="5"/>
  <c r="L31" i="5"/>
  <c r="CE27" i="5"/>
  <c r="CD27" i="5"/>
  <c r="AI29" i="5"/>
  <c r="AH29" i="5"/>
  <c r="AG29" i="5"/>
  <c r="V29" i="5"/>
  <c r="W29" i="5"/>
  <c r="K29" i="5"/>
  <c r="M29" i="5"/>
  <c r="CD25" i="5"/>
  <c r="AH27" i="5"/>
  <c r="AG27" i="5"/>
  <c r="AI27" i="5"/>
  <c r="V27" i="5"/>
  <c r="W27" i="5"/>
  <c r="K27" i="5"/>
  <c r="M27" i="5"/>
  <c r="CE21" i="5"/>
  <c r="CD21" i="5"/>
  <c r="AG25" i="5"/>
  <c r="AH25" i="5"/>
  <c r="V25" i="5"/>
  <c r="X25" i="5"/>
  <c r="M25" i="5"/>
  <c r="L25" i="5"/>
  <c r="K25" i="5"/>
  <c r="CE19" i="5"/>
  <c r="CD19" i="5"/>
  <c r="AG23" i="5"/>
  <c r="AI23" i="5"/>
  <c r="V23" i="5"/>
  <c r="W23" i="5"/>
  <c r="M23" i="5"/>
  <c r="K23" i="5"/>
  <c r="L23" i="5"/>
  <c r="BE22" i="5"/>
  <c r="BD22" i="5"/>
  <c r="BD54" i="5"/>
  <c r="BN71" i="5"/>
  <c r="BC22" i="5"/>
  <c r="BC54" i="5"/>
  <c r="BB22" i="5"/>
  <c r="BF22" i="5"/>
  <c r="CE33" i="5"/>
  <c r="CD33" i="5"/>
  <c r="AI21" i="5"/>
  <c r="AH21" i="5"/>
  <c r="AG21" i="5"/>
  <c r="V21" i="5"/>
  <c r="X21" i="5"/>
  <c r="K21" i="5"/>
  <c r="L21" i="5"/>
  <c r="BD20" i="5"/>
  <c r="BD52" i="5"/>
  <c r="BN69" i="5"/>
  <c r="BC20" i="5"/>
  <c r="BC52" i="5"/>
  <c r="BB20" i="5"/>
  <c r="CE15" i="5"/>
  <c r="CD15" i="5"/>
  <c r="AI19" i="5"/>
  <c r="AG19" i="5"/>
  <c r="AH19" i="5"/>
  <c r="X19" i="5"/>
  <c r="W19" i="5"/>
  <c r="V19" i="5"/>
  <c r="K19" i="5"/>
  <c r="M19" i="5"/>
  <c r="BD18" i="5"/>
  <c r="BD50" i="5"/>
  <c r="BN67" i="5"/>
  <c r="BC18" i="5"/>
  <c r="BC50" i="5"/>
  <c r="BB18" i="5"/>
  <c r="AS18" i="5"/>
  <c r="AQ34" i="5"/>
  <c r="AS34" i="5"/>
  <c r="AR18" i="5"/>
  <c r="CE13" i="5"/>
  <c r="CD13" i="5"/>
  <c r="CD72" i="5"/>
  <c r="BV78" i="5"/>
  <c r="AI17" i="5"/>
  <c r="AG17" i="5"/>
  <c r="AH17" i="5"/>
  <c r="X17" i="5"/>
  <c r="W17" i="5"/>
  <c r="V17" i="5"/>
  <c r="AQ22" i="5"/>
  <c r="K17" i="5"/>
  <c r="M17" i="5"/>
  <c r="BD16" i="5"/>
  <c r="BD48" i="5"/>
  <c r="BN65" i="5"/>
  <c r="BC16" i="5"/>
  <c r="BC48" i="5"/>
  <c r="BB16" i="5"/>
  <c r="AR16" i="5"/>
  <c r="CE31" i="5"/>
  <c r="CD31" i="5"/>
  <c r="AG15" i="5"/>
  <c r="AH15" i="5"/>
  <c r="X15" i="5"/>
  <c r="V15" i="5"/>
  <c r="AQ20" i="5"/>
  <c r="M15" i="5"/>
  <c r="L15" i="5"/>
  <c r="K15" i="5"/>
  <c r="CE29" i="5"/>
  <c r="CD29" i="5"/>
  <c r="AG13" i="5"/>
  <c r="AH13" i="5"/>
  <c r="X13" i="5"/>
  <c r="W13" i="5"/>
  <c r="V13" i="5"/>
  <c r="M13" i="5"/>
  <c r="L13" i="5"/>
  <c r="K13" i="5"/>
  <c r="CE11" i="5"/>
  <c r="CD11" i="5"/>
  <c r="AH11" i="5"/>
  <c r="AG11" i="5"/>
  <c r="AI11" i="5"/>
  <c r="X11" i="5"/>
  <c r="V11" i="5"/>
  <c r="W11" i="5"/>
  <c r="M11" i="5"/>
  <c r="L11" i="5"/>
  <c r="K11" i="5"/>
  <c r="CE9" i="5"/>
  <c r="CD9" i="5"/>
  <c r="AG9" i="5"/>
  <c r="AH9" i="5"/>
  <c r="V9" i="5"/>
  <c r="K9" i="5"/>
  <c r="AQ16" i="5"/>
  <c r="AG7" i="5"/>
  <c r="AG37" i="5"/>
  <c r="X7" i="5"/>
  <c r="W7" i="5"/>
  <c r="V7" i="5"/>
  <c r="M7" i="5"/>
  <c r="L7" i="5"/>
  <c r="K7" i="5"/>
  <c r="K37" i="5"/>
  <c r="BN6" i="5"/>
  <c r="CC5" i="5"/>
  <c r="CC74" i="5"/>
  <c r="CB5" i="5"/>
  <c r="CB74" i="5"/>
  <c r="CA5" i="5"/>
  <c r="CA74" i="5"/>
  <c r="BZ5" i="5"/>
  <c r="BZ74" i="5"/>
  <c r="BY5" i="5"/>
  <c r="BY74" i="5"/>
  <c r="BX5" i="5"/>
  <c r="BX74" i="5"/>
  <c r="BW5" i="5"/>
  <c r="BW74" i="5"/>
  <c r="BV5" i="5"/>
  <c r="BV74" i="5"/>
  <c r="CL80" i="4"/>
  <c r="AF75" i="4"/>
  <c r="AE75" i="4"/>
  <c r="U75" i="4"/>
  <c r="T75" i="4"/>
  <c r="J75" i="4"/>
  <c r="I75" i="4"/>
  <c r="AI73" i="4"/>
  <c r="AG73" i="4"/>
  <c r="AH73" i="4"/>
  <c r="X73" i="4"/>
  <c r="W73" i="4"/>
  <c r="V73" i="4"/>
  <c r="K73" i="4"/>
  <c r="M73" i="4"/>
  <c r="CK72" i="4"/>
  <c r="CJ72" i="4"/>
  <c r="CI72" i="4"/>
  <c r="CC72" i="4"/>
  <c r="CC74" i="4"/>
  <c r="CB72" i="4"/>
  <c r="CB74" i="4"/>
  <c r="CA72" i="4"/>
  <c r="BZ72" i="4"/>
  <c r="BY72" i="4"/>
  <c r="BY74" i="4"/>
  <c r="BX72" i="4"/>
  <c r="BX74" i="4"/>
  <c r="BW72" i="4"/>
  <c r="BV72" i="4"/>
  <c r="AG71" i="4"/>
  <c r="AI71" i="4"/>
  <c r="V71" i="4"/>
  <c r="X71" i="4"/>
  <c r="K71" i="4"/>
  <c r="L71" i="4"/>
  <c r="CE69" i="4"/>
  <c r="CD69" i="4"/>
  <c r="AG69" i="4"/>
  <c r="AI69" i="4"/>
  <c r="V69" i="4"/>
  <c r="W69" i="4"/>
  <c r="M69" i="4"/>
  <c r="L69" i="4"/>
  <c r="K69" i="4"/>
  <c r="CE67" i="4"/>
  <c r="CD67" i="4"/>
  <c r="AG67" i="4"/>
  <c r="AH67" i="4"/>
  <c r="X67" i="4"/>
  <c r="W67" i="4"/>
  <c r="V67" i="4"/>
  <c r="M67" i="4"/>
  <c r="L67" i="4"/>
  <c r="K67" i="4"/>
  <c r="CE65" i="4"/>
  <c r="CD65" i="4"/>
  <c r="AI65" i="4"/>
  <c r="AH65" i="4"/>
  <c r="AG65" i="4"/>
  <c r="X65" i="4"/>
  <c r="W65" i="4"/>
  <c r="V65" i="4"/>
  <c r="K65" i="4"/>
  <c r="M65" i="4"/>
  <c r="CE63" i="4"/>
  <c r="CD63" i="4"/>
  <c r="AG63" i="4"/>
  <c r="AI63" i="4"/>
  <c r="V63" i="4"/>
  <c r="X63" i="4"/>
  <c r="K63" i="4"/>
  <c r="L63" i="4"/>
  <c r="CE61" i="4"/>
  <c r="CD61" i="4"/>
  <c r="AG61" i="4"/>
  <c r="AI61" i="4"/>
  <c r="V61" i="4"/>
  <c r="W61" i="4"/>
  <c r="M61" i="4"/>
  <c r="L61" i="4"/>
  <c r="K61" i="4"/>
  <c r="CE59" i="4"/>
  <c r="CD59" i="4"/>
  <c r="AI59" i="4"/>
  <c r="AG59" i="4"/>
  <c r="AH59" i="4"/>
  <c r="X59" i="4"/>
  <c r="W59" i="4"/>
  <c r="V59" i="4"/>
  <c r="K59" i="4"/>
  <c r="M59" i="4"/>
  <c r="CE57" i="4"/>
  <c r="CD57" i="4"/>
  <c r="AI57" i="4"/>
  <c r="AH57" i="4"/>
  <c r="AG57" i="4"/>
  <c r="V57" i="4"/>
  <c r="X57" i="4"/>
  <c r="L57" i="4"/>
  <c r="K57" i="4"/>
  <c r="M57" i="4"/>
  <c r="CE55" i="4"/>
  <c r="CD55" i="4"/>
  <c r="AG55" i="4"/>
  <c r="AH55" i="4"/>
  <c r="X55" i="4"/>
  <c r="W55" i="4"/>
  <c r="V55" i="4"/>
  <c r="K55" i="4"/>
  <c r="M55" i="4"/>
  <c r="BD54" i="4"/>
  <c r="CC5" i="4"/>
  <c r="BC54" i="4"/>
  <c r="BE54" i="4"/>
  <c r="BB54" i="4"/>
  <c r="CE53" i="4"/>
  <c r="CD53" i="4"/>
  <c r="AI53" i="4"/>
  <c r="AH53" i="4"/>
  <c r="AG53" i="4"/>
  <c r="V53" i="4"/>
  <c r="X53" i="4"/>
  <c r="L53" i="4"/>
  <c r="K53" i="4"/>
  <c r="M53" i="4"/>
  <c r="BD52" i="4"/>
  <c r="BC52" i="4"/>
  <c r="BE52" i="4"/>
  <c r="BF52" i="4"/>
  <c r="BB52" i="4"/>
  <c r="CE51" i="4"/>
  <c r="CD51" i="4"/>
  <c r="AG51" i="4"/>
  <c r="AI51" i="4"/>
  <c r="V51" i="4"/>
  <c r="X51" i="4"/>
  <c r="K51" i="4"/>
  <c r="L51" i="4"/>
  <c r="BD50" i="4"/>
  <c r="BC50" i="4"/>
  <c r="BE50" i="4"/>
  <c r="BB50" i="4"/>
  <c r="BF50" i="4"/>
  <c r="CE49" i="4"/>
  <c r="CD49" i="4"/>
  <c r="AG49" i="4"/>
  <c r="AI49" i="4"/>
  <c r="X49" i="4"/>
  <c r="V49" i="4"/>
  <c r="W49" i="4"/>
  <c r="M49" i="4"/>
  <c r="L49" i="4"/>
  <c r="K49" i="4"/>
  <c r="BD48" i="4"/>
  <c r="BB48" i="4"/>
  <c r="CE47" i="4"/>
  <c r="CD47" i="4"/>
  <c r="AG47" i="4"/>
  <c r="AH47" i="4"/>
  <c r="X47" i="4"/>
  <c r="W47" i="4"/>
  <c r="V47" i="4"/>
  <c r="K47" i="4"/>
  <c r="M47" i="4"/>
  <c r="CE45" i="4"/>
  <c r="CD45" i="4"/>
  <c r="AI45" i="4"/>
  <c r="AH45" i="4"/>
  <c r="AG45" i="4"/>
  <c r="V45" i="4"/>
  <c r="V75" i="4"/>
  <c r="K45" i="4"/>
  <c r="M45" i="4"/>
  <c r="CE43" i="4"/>
  <c r="CD43" i="4"/>
  <c r="CE41" i="4"/>
  <c r="CD41" i="4"/>
  <c r="BD40" i="4"/>
  <c r="CE39" i="4"/>
  <c r="CD39" i="4"/>
  <c r="BD38" i="4"/>
  <c r="AP38" i="4"/>
  <c r="CE37" i="4"/>
  <c r="CD37" i="4"/>
  <c r="AF37" i="4"/>
  <c r="AE37" i="4"/>
  <c r="U37" i="4"/>
  <c r="T37" i="4"/>
  <c r="J37" i="4"/>
  <c r="I37" i="4"/>
  <c r="BD36" i="4"/>
  <c r="AP36" i="4"/>
  <c r="CE35" i="4"/>
  <c r="CD35" i="4"/>
  <c r="AI35" i="4"/>
  <c r="AH35" i="4"/>
  <c r="AG35" i="4"/>
  <c r="V35" i="4"/>
  <c r="X35" i="4"/>
  <c r="M35" i="4"/>
  <c r="K35" i="4"/>
  <c r="L35" i="4"/>
  <c r="BD34" i="4"/>
  <c r="AP34" i="4"/>
  <c r="CE33" i="4"/>
  <c r="CD33" i="4"/>
  <c r="AI33" i="4"/>
  <c r="AH33" i="4"/>
  <c r="AG33" i="4"/>
  <c r="V33" i="4"/>
  <c r="X33" i="4"/>
  <c r="L33" i="4"/>
  <c r="K33" i="4"/>
  <c r="M33" i="4"/>
  <c r="BD32" i="4"/>
  <c r="CE31" i="4"/>
  <c r="CD31" i="4"/>
  <c r="AG31" i="4"/>
  <c r="AI31" i="4"/>
  <c r="X31" i="4"/>
  <c r="V31" i="4"/>
  <c r="W31" i="4"/>
  <c r="M31" i="4"/>
  <c r="L31" i="4"/>
  <c r="K31" i="4"/>
  <c r="CE29" i="4"/>
  <c r="CD29" i="4"/>
  <c r="AG29" i="4"/>
  <c r="AH29" i="4"/>
  <c r="X29" i="4"/>
  <c r="W29" i="4"/>
  <c r="V29" i="4"/>
  <c r="M29" i="4"/>
  <c r="K29" i="4"/>
  <c r="L29" i="4"/>
  <c r="CE27" i="4"/>
  <c r="CD27" i="4"/>
  <c r="AG27" i="4"/>
  <c r="AH27" i="4"/>
  <c r="X27" i="4"/>
  <c r="W27" i="4"/>
  <c r="V27" i="4"/>
  <c r="K27" i="4"/>
  <c r="M27" i="4"/>
  <c r="CE25" i="4"/>
  <c r="CD25" i="4"/>
  <c r="AI25" i="4"/>
  <c r="AH25" i="4"/>
  <c r="AG25" i="4"/>
  <c r="V25" i="4"/>
  <c r="X25" i="4"/>
  <c r="K25" i="4"/>
  <c r="M25" i="4"/>
  <c r="CE23" i="4"/>
  <c r="CD23" i="4"/>
  <c r="AG23" i="4"/>
  <c r="AH23" i="4"/>
  <c r="X23" i="4"/>
  <c r="W23" i="4"/>
  <c r="V23" i="4"/>
  <c r="K23" i="4"/>
  <c r="M23" i="4"/>
  <c r="BC22" i="4"/>
  <c r="BE22" i="4"/>
  <c r="BB22" i="4"/>
  <c r="CE21" i="4"/>
  <c r="AI21" i="4"/>
  <c r="AH21" i="4"/>
  <c r="AG21" i="4"/>
  <c r="X21" i="4"/>
  <c r="V21" i="4"/>
  <c r="W21" i="4"/>
  <c r="K21" i="4"/>
  <c r="M21" i="4"/>
  <c r="BC20" i="4"/>
  <c r="BE20" i="4"/>
  <c r="BB20" i="4"/>
  <c r="BF20" i="4"/>
  <c r="AQ20" i="4"/>
  <c r="AR20" i="4"/>
  <c r="AS20" i="4"/>
  <c r="CE19" i="4"/>
  <c r="CD19" i="4"/>
  <c r="AI19" i="4"/>
  <c r="AH19" i="4"/>
  <c r="AG19" i="4"/>
  <c r="V19" i="4"/>
  <c r="X19" i="4"/>
  <c r="L19" i="4"/>
  <c r="K19" i="4"/>
  <c r="M19" i="4"/>
  <c r="BC18" i="4"/>
  <c r="BE18" i="4"/>
  <c r="BB18" i="4"/>
  <c r="BF18" i="4"/>
  <c r="AQ18" i="4"/>
  <c r="CE17" i="4"/>
  <c r="CD17" i="4"/>
  <c r="AG17" i="4"/>
  <c r="AI17" i="4"/>
  <c r="V17" i="4"/>
  <c r="X17" i="4"/>
  <c r="K17" i="4"/>
  <c r="L17" i="4"/>
  <c r="BD16" i="4"/>
  <c r="BC16" i="4"/>
  <c r="BC48" i="4"/>
  <c r="BE48" i="4"/>
  <c r="BB16" i="4"/>
  <c r="AQ16" i="4"/>
  <c r="CE15" i="4"/>
  <c r="CD15" i="4"/>
  <c r="AG15" i="4"/>
  <c r="AH15" i="4"/>
  <c r="X15" i="4"/>
  <c r="W15" i="4"/>
  <c r="V15" i="4"/>
  <c r="K15" i="4"/>
  <c r="M15" i="4"/>
  <c r="CE13" i="4"/>
  <c r="CD13" i="4"/>
  <c r="AI13" i="4"/>
  <c r="AH13" i="4"/>
  <c r="AG13" i="4"/>
  <c r="V13" i="4"/>
  <c r="X13" i="4"/>
  <c r="K13" i="4"/>
  <c r="M13" i="4"/>
  <c r="CE11" i="4"/>
  <c r="CE72" i="4"/>
  <c r="CD11" i="4"/>
  <c r="AG11" i="4"/>
  <c r="AH11" i="4"/>
  <c r="X11" i="4"/>
  <c r="W11" i="4"/>
  <c r="V11" i="4"/>
  <c r="M11" i="4"/>
  <c r="L11" i="4"/>
  <c r="K11" i="4"/>
  <c r="CD9" i="4"/>
  <c r="AI9" i="4"/>
  <c r="AH9" i="4"/>
  <c r="AG9" i="4"/>
  <c r="X9" i="4"/>
  <c r="W9" i="4"/>
  <c r="V9" i="4"/>
  <c r="K9" i="4"/>
  <c r="AG7" i="4"/>
  <c r="AG37" i="4"/>
  <c r="V7" i="4"/>
  <c r="K7" i="4"/>
  <c r="L7" i="4"/>
  <c r="BN6" i="4"/>
  <c r="CA5" i="4"/>
  <c r="CA74" i="4"/>
  <c r="BZ5" i="4"/>
  <c r="BZ74" i="4"/>
  <c r="BY5" i="4"/>
  <c r="BW5" i="4"/>
  <c r="BW74" i="4"/>
  <c r="BV5" i="4"/>
  <c r="BV74" i="4"/>
  <c r="Y23" i="7"/>
  <c r="Y25" i="7"/>
  <c r="Y33" i="7"/>
  <c r="M45" i="7"/>
  <c r="AI47" i="7"/>
  <c r="AI49" i="7"/>
  <c r="AI55" i="7"/>
  <c r="AI67" i="7"/>
  <c r="M53" i="7"/>
  <c r="AI61" i="7"/>
  <c r="M57" i="7"/>
  <c r="Y15" i="7"/>
  <c r="V86" i="7"/>
  <c r="V85" i="7"/>
  <c r="W86" i="7"/>
  <c r="T85" i="7"/>
  <c r="U85" i="7"/>
  <c r="AJ31" i="7"/>
  <c r="AJ21" i="7"/>
  <c r="AI59" i="8"/>
  <c r="AJ59" i="8"/>
  <c r="AI57" i="8"/>
  <c r="AJ57" i="8"/>
  <c r="U45" i="8"/>
  <c r="W45" i="8"/>
  <c r="AQ38" i="7"/>
  <c r="AS38" i="7"/>
  <c r="Y7" i="7"/>
  <c r="M9" i="7"/>
  <c r="AJ13" i="7"/>
  <c r="M19" i="7"/>
  <c r="Y21" i="7"/>
  <c r="AJ27" i="7"/>
  <c r="Y29" i="7"/>
  <c r="M31" i="7"/>
  <c r="AJ35" i="7"/>
  <c r="AI45" i="7"/>
  <c r="M49" i="7"/>
  <c r="AI53" i="7"/>
  <c r="X55" i="7"/>
  <c r="X59" i="7"/>
  <c r="M61" i="7"/>
  <c r="AI65" i="7"/>
  <c r="M69" i="7"/>
  <c r="X73" i="7"/>
  <c r="CM80" i="7"/>
  <c r="M7" i="7"/>
  <c r="BE50" i="6"/>
  <c r="BX5" i="6"/>
  <c r="BX74" i="6"/>
  <c r="AR24" i="6"/>
  <c r="AL6" i="6"/>
  <c r="AU6" i="6"/>
  <c r="BV5" i="6"/>
  <c r="BE48" i="6"/>
  <c r="BE56" i="6"/>
  <c r="BF50" i="6"/>
  <c r="AO6" i="6"/>
  <c r="AQ50" i="6"/>
  <c r="BE34" i="6"/>
  <c r="BF34" i="6"/>
  <c r="V11" i="6"/>
  <c r="AX6" i="6"/>
  <c r="CL80" i="6"/>
  <c r="AT18" i="6"/>
  <c r="BE18" i="6"/>
  <c r="BF18" i="6"/>
  <c r="BF24" i="6"/>
  <c r="AQ24" i="6"/>
  <c r="AI7" i="5"/>
  <c r="AQ24" i="5"/>
  <c r="BO65" i="5"/>
  <c r="BE48" i="5"/>
  <c r="BM69" i="5"/>
  <c r="BO69" i="5"/>
  <c r="BP69" i="5"/>
  <c r="BE52" i="5"/>
  <c r="AR20" i="5"/>
  <c r="AS20" i="5"/>
  <c r="AQ36" i="5"/>
  <c r="AS36" i="5"/>
  <c r="BM67" i="5"/>
  <c r="BO67" i="5"/>
  <c r="BP67" i="5"/>
  <c r="BE50" i="5"/>
  <c r="BF50" i="5"/>
  <c r="AS16" i="5"/>
  <c r="AQ32" i="5"/>
  <c r="AS32" i="5"/>
  <c r="BE54" i="5"/>
  <c r="BM71" i="5"/>
  <c r="BO71" i="5"/>
  <c r="BP71" i="5"/>
  <c r="BM81" i="5"/>
  <c r="V37" i="5"/>
  <c r="AH7" i="5"/>
  <c r="AH37" i="5"/>
  <c r="AI9" i="5"/>
  <c r="AI13" i="5"/>
  <c r="AR22" i="5"/>
  <c r="AS22" i="5"/>
  <c r="AQ38" i="5"/>
  <c r="AS38" i="5"/>
  <c r="AQ50" i="5"/>
  <c r="BE34" i="5"/>
  <c r="BF34" i="5"/>
  <c r="BF20" i="5"/>
  <c r="W15" i="5"/>
  <c r="W37" i="5"/>
  <c r="AI15" i="5"/>
  <c r="BE20" i="5"/>
  <c r="M21" i="5"/>
  <c r="M37" i="5"/>
  <c r="X23" i="5"/>
  <c r="W25" i="5"/>
  <c r="AI25" i="5"/>
  <c r="L27" i="5"/>
  <c r="X27" i="5"/>
  <c r="L29" i="5"/>
  <c r="X29" i="5"/>
  <c r="X37" i="5"/>
  <c r="M31" i="5"/>
  <c r="L33" i="5"/>
  <c r="X33" i="5"/>
  <c r="L35" i="5"/>
  <c r="X35" i="5"/>
  <c r="W45" i="5"/>
  <c r="AI45" i="5"/>
  <c r="L47" i="5"/>
  <c r="X47" i="5"/>
  <c r="X75" i="5"/>
  <c r="L49" i="5"/>
  <c r="X49" i="5"/>
  <c r="M51" i="5"/>
  <c r="M75" i="5"/>
  <c r="M53" i="5"/>
  <c r="BF54" i="5"/>
  <c r="AH55" i="5"/>
  <c r="L57" i="5"/>
  <c r="X57" i="5"/>
  <c r="M59" i="5"/>
  <c r="M61" i="5"/>
  <c r="AH63" i="5"/>
  <c r="AH75" i="5"/>
  <c r="AH65" i="5"/>
  <c r="L67" i="5"/>
  <c r="X67" i="5"/>
  <c r="BB67" i="5"/>
  <c r="BF67" i="5"/>
  <c r="BF73" i="5"/>
  <c r="M69" i="5"/>
  <c r="W71" i="5"/>
  <c r="AI71" i="5"/>
  <c r="M73" i="5"/>
  <c r="V75" i="5"/>
  <c r="L45" i="5"/>
  <c r="BF52" i="5"/>
  <c r="AG75" i="5"/>
  <c r="L17" i="5"/>
  <c r="L37" i="5"/>
  <c r="AT18" i="5"/>
  <c r="BE18" i="5"/>
  <c r="BF18" i="5"/>
  <c r="L19" i="5"/>
  <c r="W21" i="5"/>
  <c r="AH23" i="5"/>
  <c r="BF48" i="5"/>
  <c r="BE16" i="5"/>
  <c r="BE24" i="5"/>
  <c r="AQ36" i="4"/>
  <c r="AT20" i="4"/>
  <c r="AS34" i="4"/>
  <c r="BF16" i="4"/>
  <c r="AT18" i="4"/>
  <c r="AI75" i="4"/>
  <c r="BE56" i="4"/>
  <c r="AS36" i="4"/>
  <c r="BF48" i="4"/>
  <c r="BF56" i="4"/>
  <c r="BF54" i="4"/>
  <c r="M7" i="4"/>
  <c r="M37" i="4"/>
  <c r="AH7" i="4"/>
  <c r="AH37" i="4"/>
  <c r="BV78" i="4"/>
  <c r="W13" i="4"/>
  <c r="L15" i="4"/>
  <c r="M17" i="4"/>
  <c r="AH17" i="4"/>
  <c r="L21" i="4"/>
  <c r="BF22" i="4"/>
  <c r="L23" i="4"/>
  <c r="W25" i="4"/>
  <c r="L27" i="4"/>
  <c r="AI29" i="4"/>
  <c r="W45" i="4"/>
  <c r="L47" i="4"/>
  <c r="M51" i="4"/>
  <c r="AH51" i="4"/>
  <c r="L55" i="4"/>
  <c r="AH61" i="4"/>
  <c r="M63" i="4"/>
  <c r="AH63" i="4"/>
  <c r="X69" i="4"/>
  <c r="W71" i="4"/>
  <c r="L73" i="4"/>
  <c r="BX5" i="4"/>
  <c r="CB5" i="4"/>
  <c r="V37" i="4"/>
  <c r="X7" i="4"/>
  <c r="X37" i="4"/>
  <c r="AI7" i="4"/>
  <c r="L9" i="4"/>
  <c r="AI11" i="4"/>
  <c r="BE16" i="4"/>
  <c r="BE24" i="4"/>
  <c r="AR18" i="4"/>
  <c r="AS18" i="4"/>
  <c r="AQ34" i="4"/>
  <c r="W19" i="4"/>
  <c r="AQ22" i="4"/>
  <c r="AH31" i="4"/>
  <c r="W33" i="4"/>
  <c r="W35" i="4"/>
  <c r="M75" i="4"/>
  <c r="X45" i="4"/>
  <c r="AH49" i="4"/>
  <c r="AH75" i="4"/>
  <c r="W53" i="4"/>
  <c r="W57" i="4"/>
  <c r="L59" i="4"/>
  <c r="L65" i="4"/>
  <c r="AI67" i="4"/>
  <c r="K75" i="4"/>
  <c r="CD5" i="4"/>
  <c r="W7" i="4"/>
  <c r="W37" i="4"/>
  <c r="L13" i="4"/>
  <c r="L37" i="4"/>
  <c r="AI15" i="4"/>
  <c r="W17" i="4"/>
  <c r="AI23" i="4"/>
  <c r="L25" i="4"/>
  <c r="AI27" i="4"/>
  <c r="K37" i="4"/>
  <c r="L45" i="4"/>
  <c r="AG75" i="4"/>
  <c r="AI47" i="4"/>
  <c r="W51" i="4"/>
  <c r="AI55" i="4"/>
  <c r="X61" i="4"/>
  <c r="W63" i="4"/>
  <c r="AH69" i="4"/>
  <c r="M71" i="4"/>
  <c r="AH71" i="4"/>
  <c r="S6" i="8"/>
  <c r="AQ32" i="6"/>
  <c r="AS32" i="6"/>
  <c r="AS50" i="6"/>
  <c r="AR50" i="6"/>
  <c r="CD5" i="6"/>
  <c r="CD74" i="6"/>
  <c r="BV74" i="6"/>
  <c r="BF48" i="6"/>
  <c r="BF56" i="6"/>
  <c r="BN3" i="6"/>
  <c r="BE24" i="6"/>
  <c r="AQ54" i="5"/>
  <c r="BE38" i="5"/>
  <c r="BF38" i="5"/>
  <c r="AQ48" i="5"/>
  <c r="BE32" i="5"/>
  <c r="BF32" i="5"/>
  <c r="BF40" i="5"/>
  <c r="AQ52" i="5"/>
  <c r="BE36" i="5"/>
  <c r="BF36" i="5"/>
  <c r="AT16" i="5"/>
  <c r="AX6" i="5"/>
  <c r="BE56" i="5"/>
  <c r="BF16" i="5"/>
  <c r="BF24" i="5"/>
  <c r="BF56" i="5"/>
  <c r="AI75" i="5"/>
  <c r="AR50" i="5"/>
  <c r="AS50" i="5"/>
  <c r="BO73" i="5"/>
  <c r="BP65" i="5"/>
  <c r="BP73" i="5"/>
  <c r="BM78" i="5"/>
  <c r="AI37" i="5"/>
  <c r="AO6" i="5"/>
  <c r="L75" i="5"/>
  <c r="AL6" i="5"/>
  <c r="AU6" i="5"/>
  <c r="W75" i="5"/>
  <c r="AT22" i="5"/>
  <c r="CL80" i="5"/>
  <c r="AR24" i="5"/>
  <c r="AT20" i="5"/>
  <c r="AR22" i="4"/>
  <c r="AS22" i="4"/>
  <c r="AQ38" i="4"/>
  <c r="AS38" i="4"/>
  <c r="AS16" i="4"/>
  <c r="AQ50" i="4"/>
  <c r="BE34" i="4"/>
  <c r="BF34" i="4"/>
  <c r="L75" i="4"/>
  <c r="AX6" i="4"/>
  <c r="AQ52" i="4"/>
  <c r="BE36" i="4"/>
  <c r="BF36" i="4"/>
  <c r="BF24" i="4"/>
  <c r="X75" i="4"/>
  <c r="AO6" i="4"/>
  <c r="AI37" i="4"/>
  <c r="W75" i="4"/>
  <c r="AL6" i="4"/>
  <c r="AU6" i="4"/>
  <c r="AQ24" i="4"/>
  <c r="Y6" i="8"/>
  <c r="AS54" i="5"/>
  <c r="AR54" i="5"/>
  <c r="AT24" i="5"/>
  <c r="BN8" i="5"/>
  <c r="AS48" i="5"/>
  <c r="AR48" i="5"/>
  <c r="AR52" i="5"/>
  <c r="AS52" i="5"/>
  <c r="BE38" i="4"/>
  <c r="BF38" i="4"/>
  <c r="AQ54" i="4"/>
  <c r="AR50" i="4"/>
  <c r="AS50" i="4"/>
  <c r="AT22" i="4"/>
  <c r="AR24" i="4"/>
  <c r="AS52" i="4"/>
  <c r="AR52" i="4"/>
  <c r="AQ32" i="4"/>
  <c r="AT16" i="4"/>
  <c r="AT24" i="4"/>
  <c r="BN8" i="4"/>
  <c r="BM83" i="5"/>
  <c r="BN18" i="5"/>
  <c r="BN21" i="5"/>
  <c r="AS54" i="4"/>
  <c r="AR54" i="4"/>
  <c r="CL82" i="5"/>
  <c r="CL92" i="5"/>
  <c r="BM93" i="5"/>
  <c r="BM96" i="5"/>
  <c r="AI41" i="8"/>
  <c r="AJ41" i="8"/>
  <c r="U57" i="8"/>
  <c r="W57" i="8"/>
  <c r="M7" i="8"/>
  <c r="M9" i="8"/>
  <c r="S14" i="8"/>
  <c r="T39" i="8"/>
  <c r="AB14" i="8"/>
  <c r="L7" i="8"/>
  <c r="L9" i="8"/>
  <c r="P14" i="8"/>
  <c r="Y14" i="8"/>
  <c r="AI23" i="8"/>
  <c r="AI31" i="8"/>
  <c r="AJ23" i="8"/>
  <c r="AF68" i="11"/>
  <c r="AQ52" i="11"/>
  <c r="AS52" i="11"/>
  <c r="BE52" i="11"/>
  <c r="BG36" i="11"/>
  <c r="BV95" i="11"/>
  <c r="J76" i="11"/>
  <c r="U25" i="11"/>
  <c r="J19" i="11"/>
  <c r="BF52" i="11"/>
  <c r="CC82" i="11"/>
  <c r="BZ82" i="11"/>
  <c r="CA82" i="11"/>
  <c r="BV82" i="11"/>
  <c r="K76" i="11"/>
  <c r="BD32" i="11"/>
  <c r="BD64" i="11"/>
  <c r="T82" i="11"/>
  <c r="BD34" i="11"/>
  <c r="BD66" i="11"/>
  <c r="AE11" i="11"/>
  <c r="BE32" i="11"/>
  <c r="BE64" i="11"/>
  <c r="AG9" i="11"/>
  <c r="AQ30" i="11"/>
  <c r="BC30" i="11"/>
  <c r="BC32" i="11"/>
  <c r="V78" i="11"/>
  <c r="S82" i="11"/>
  <c r="AD11" i="11"/>
  <c r="BC34" i="11"/>
  <c r="AG7" i="11"/>
  <c r="AF11" i="11"/>
  <c r="AQ34" i="11"/>
  <c r="AG11" i="11"/>
  <c r="AU6" i="11"/>
  <c r="V82" i="11"/>
  <c r="AU13" i="11"/>
  <c r="W78" i="11"/>
  <c r="W82" i="11"/>
  <c r="AL13" i="11"/>
  <c r="AR13" i="11"/>
  <c r="BA13" i="11"/>
  <c r="AQ32" i="11"/>
  <c r="BC66" i="11"/>
  <c r="BF66" i="11"/>
  <c r="BG66" i="11"/>
  <c r="BF34" i="11"/>
  <c r="BG34" i="11"/>
  <c r="BF32" i="11"/>
  <c r="BG32" i="11"/>
  <c r="BC64" i="11"/>
  <c r="BF64" i="11"/>
  <c r="BG64" i="11"/>
  <c r="BF30" i="11"/>
  <c r="BC62" i="11"/>
  <c r="BF62" i="11"/>
  <c r="AR30" i="11"/>
  <c r="AQ38" i="11"/>
  <c r="AP48" i="11"/>
  <c r="AR32" i="11"/>
  <c r="AS32" i="11"/>
  <c r="AQ48" i="11"/>
  <c r="AS30" i="11"/>
  <c r="BF70" i="11"/>
  <c r="BG62" i="11"/>
  <c r="BG70" i="11"/>
  <c r="BN3" i="11"/>
  <c r="BG30" i="11"/>
  <c r="BG38" i="11"/>
  <c r="BF38" i="11"/>
  <c r="AR34" i="11"/>
  <c r="AS34" i="11"/>
  <c r="AQ50" i="11"/>
  <c r="AS48" i="11"/>
  <c r="BE48" i="11"/>
  <c r="BF48" i="11"/>
  <c r="AT34" i="11"/>
  <c r="AT32" i="11"/>
  <c r="AR38" i="11"/>
  <c r="AQ46" i="11"/>
  <c r="AT30" i="11"/>
  <c r="AQ64" i="11"/>
  <c r="AR64" i="11"/>
  <c r="AT38" i="11"/>
  <c r="BN8" i="11"/>
  <c r="AS64" i="11"/>
  <c r="CL90" i="11"/>
  <c r="CE72" i="5"/>
  <c r="CD74" i="5"/>
  <c r="BE32" i="6"/>
  <c r="BF32" i="6"/>
  <c r="BF40" i="6"/>
  <c r="BN18" i="6"/>
  <c r="BN21" i="6"/>
  <c r="CL82" i="6"/>
  <c r="CL92" i="6"/>
  <c r="BH72" i="8"/>
  <c r="AZ78" i="8"/>
  <c r="BB74" i="8"/>
  <c r="BA74" i="8"/>
  <c r="BZ74" i="7"/>
  <c r="BV74" i="7"/>
  <c r="BW74" i="7"/>
  <c r="M75" i="7"/>
  <c r="BV78" i="7"/>
  <c r="BF54" i="7"/>
  <c r="BG54" i="7"/>
  <c r="L75" i="7"/>
  <c r="W37" i="7"/>
  <c r="L37" i="7"/>
  <c r="BX74" i="7"/>
  <c r="K75" i="7"/>
  <c r="AI23" i="7"/>
  <c r="AI7" i="7"/>
  <c r="BG20" i="7"/>
  <c r="Q89" i="7"/>
  <c r="U89" i="7"/>
  <c r="W63" i="7"/>
  <c r="W47" i="7"/>
  <c r="AI15" i="7"/>
  <c r="X35" i="7"/>
  <c r="X37" i="7"/>
  <c r="X31" i="7"/>
  <c r="X27" i="7"/>
  <c r="X23" i="7"/>
  <c r="Y37" i="7"/>
  <c r="BF38" i="7"/>
  <c r="BG38" i="7"/>
  <c r="AQ54" i="7"/>
  <c r="BY5" i="7"/>
  <c r="BY74" i="7"/>
  <c r="BF50" i="7"/>
  <c r="BG50" i="7"/>
  <c r="X61" i="7"/>
  <c r="M13" i="7"/>
  <c r="AH75" i="7"/>
  <c r="W65" i="7"/>
  <c r="W75" i="7"/>
  <c r="X65" i="7"/>
  <c r="AI9" i="7"/>
  <c r="AJ9" i="7"/>
  <c r="AQ36" i="7"/>
  <c r="AS36" i="7"/>
  <c r="X45" i="7"/>
  <c r="V75" i="7"/>
  <c r="BF48" i="7"/>
  <c r="AG75" i="7"/>
  <c r="W69" i="7"/>
  <c r="X69" i="7"/>
  <c r="AI29" i="7"/>
  <c r="AJ29" i="7"/>
  <c r="AT18" i="7"/>
  <c r="AQ16" i="7"/>
  <c r="X15" i="7"/>
  <c r="AI75" i="7"/>
  <c r="AH37" i="7"/>
  <c r="K37" i="7"/>
  <c r="BG22" i="7"/>
  <c r="M33" i="7"/>
  <c r="BF18" i="7"/>
  <c r="BG18" i="7"/>
  <c r="BF16" i="7"/>
  <c r="AI33" i="7"/>
  <c r="AJ33" i="7"/>
  <c r="AI17" i="7"/>
  <c r="AJ17" i="7"/>
  <c r="AJ37" i="7"/>
  <c r="V23" i="8"/>
  <c r="AZ5" i="8"/>
  <c r="AI55" i="8"/>
  <c r="AI63" i="8"/>
  <c r="BC74" i="8"/>
  <c r="AJ31" i="8"/>
  <c r="V57" i="8"/>
  <c r="AZ74" i="8"/>
  <c r="BH5" i="8"/>
  <c r="AL20" i="11"/>
  <c r="AR20" i="11"/>
  <c r="BA20" i="11"/>
  <c r="BN6" i="11"/>
  <c r="AR6" i="11"/>
  <c r="BA6" i="11"/>
  <c r="CJ74" i="4"/>
  <c r="CL77" i="4"/>
  <c r="CD74" i="4"/>
  <c r="CL88" i="11"/>
  <c r="CL100" i="11"/>
  <c r="CL95" i="6"/>
  <c r="AS48" i="6"/>
  <c r="AR48" i="6"/>
  <c r="BH74" i="8"/>
  <c r="AZ80" i="8"/>
  <c r="X75" i="7"/>
  <c r="AI37" i="7"/>
  <c r="AL6" i="7"/>
  <c r="CE5" i="7"/>
  <c r="CE74" i="7"/>
  <c r="BV80" i="7"/>
  <c r="AR16" i="7"/>
  <c r="AQ24" i="7"/>
  <c r="BF24" i="7"/>
  <c r="BG16" i="7"/>
  <c r="BG24" i="7"/>
  <c r="AX6" i="7"/>
  <c r="M37" i="7"/>
  <c r="AO6" i="7"/>
  <c r="BF56" i="7"/>
  <c r="BG48" i="7"/>
  <c r="BG56" i="7"/>
  <c r="BN3" i="7"/>
  <c r="AQ52" i="7"/>
  <c r="BF36" i="7"/>
  <c r="BG36" i="7"/>
  <c r="AR54" i="7"/>
  <c r="AS54" i="7"/>
  <c r="W23" i="8"/>
  <c r="V25" i="8"/>
  <c r="AJ55" i="8"/>
  <c r="AJ63" i="8"/>
  <c r="AR3" i="8"/>
  <c r="AP46" i="11"/>
  <c r="AS46" i="11"/>
  <c r="AP50" i="11"/>
  <c r="AS50" i="11"/>
  <c r="BN18" i="11"/>
  <c r="BN21" i="11"/>
  <c r="AS52" i="7"/>
  <c r="AR52" i="7"/>
  <c r="AP34" i="7"/>
  <c r="AS34" i="7"/>
  <c r="AR24" i="7"/>
  <c r="AS16" i="7"/>
  <c r="U39" i="8"/>
  <c r="W39" i="8"/>
  <c r="X23" i="8"/>
  <c r="X25" i="8"/>
  <c r="BE50" i="11"/>
  <c r="BF50" i="11"/>
  <c r="AQ66" i="11"/>
  <c r="AQ62" i="11"/>
  <c r="BE46" i="11"/>
  <c r="BF46" i="11"/>
  <c r="BF54" i="11"/>
  <c r="BF34" i="7"/>
  <c r="BG34" i="7"/>
  <c r="AQ50" i="7"/>
  <c r="AQ32" i="7"/>
  <c r="AS32" i="7"/>
  <c r="AT16" i="7"/>
  <c r="BN8" i="7"/>
  <c r="CM82" i="7"/>
  <c r="CM92" i="7"/>
  <c r="CM95" i="7"/>
  <c r="AR10" i="8"/>
  <c r="U55" i="8"/>
  <c r="AI39" i="8"/>
  <c r="AJ39" i="8"/>
  <c r="AJ47" i="8"/>
  <c r="AR62" i="11"/>
  <c r="AS62" i="11"/>
  <c r="AS66" i="11"/>
  <c r="AR66" i="11"/>
  <c r="AQ48" i="7"/>
  <c r="BF32" i="7"/>
  <c r="BG32" i="7"/>
  <c r="BG40" i="7"/>
  <c r="BN18" i="7"/>
  <c r="BN21" i="7"/>
  <c r="AS50" i="7"/>
  <c r="AR50" i="7"/>
  <c r="V55" i="8"/>
  <c r="W55" i="8"/>
  <c r="AR18" i="8"/>
  <c r="AR21" i="8"/>
  <c r="BP84" i="8"/>
  <c r="BP92" i="8"/>
  <c r="AR48" i="7"/>
  <c r="AS48" i="7"/>
  <c r="BP95" i="8"/>
  <c r="R33" i="10"/>
  <c r="T33" i="10"/>
  <c r="U17" i="10"/>
  <c r="K25" i="10"/>
  <c r="M6" i="10"/>
  <c r="S6" i="10"/>
  <c r="AB6" i="10"/>
  <c r="AO6" i="10"/>
  <c r="AG47" i="10"/>
  <c r="AX5" i="10"/>
  <c r="AX76" i="10"/>
  <c r="AG49" i="10"/>
  <c r="AH49" i="10"/>
  <c r="AY5" i="10"/>
  <c r="AY76" i="10"/>
  <c r="S23" i="10"/>
  <c r="T15" i="10"/>
  <c r="BC69" i="10"/>
  <c r="BC61" i="10"/>
  <c r="BC57" i="10"/>
  <c r="BC43" i="10"/>
  <c r="BC39" i="10"/>
  <c r="BC37" i="10"/>
  <c r="BC33" i="10"/>
  <c r="BC51" i="10"/>
  <c r="BC67" i="10"/>
  <c r="BC13" i="10"/>
  <c r="BC55" i="10"/>
  <c r="BC53" i="10"/>
  <c r="BC49" i="10"/>
  <c r="BC11" i="10"/>
  <c r="BC15" i="10"/>
  <c r="BC25" i="10"/>
  <c r="BA76" i="10"/>
  <c r="AW76" i="10"/>
  <c r="BB74" i="10"/>
  <c r="BB76" i="10"/>
  <c r="BC29" i="10"/>
  <c r="BC65" i="10"/>
  <c r="BC59" i="10"/>
  <c r="BC47" i="10"/>
  <c r="BC41" i="10"/>
  <c r="BC19" i="10"/>
  <c r="BC9" i="10"/>
  <c r="BC31" i="10"/>
  <c r="AZ76" i="10"/>
  <c r="AV76" i="10"/>
  <c r="BC71" i="10"/>
  <c r="BC63" i="10"/>
  <c r="BC21" i="10"/>
  <c r="BC45" i="10"/>
  <c r="BC27" i="10"/>
  <c r="BC17" i="10"/>
  <c r="BC74" i="10"/>
  <c r="BC35" i="10"/>
  <c r="CJ82" i="11"/>
  <c r="CL85" i="11"/>
  <c r="CL103" i="11"/>
  <c r="X18" i="9"/>
  <c r="X20" i="9"/>
  <c r="H6" i="9"/>
  <c r="BH76" i="10"/>
  <c r="BL79" i="10"/>
  <c r="AH47" i="10"/>
  <c r="AH55" i="10"/>
  <c r="AO3" i="10"/>
  <c r="AG55" i="10"/>
  <c r="BL82" i="10"/>
  <c r="U15" i="10"/>
  <c r="U23" i="10"/>
  <c r="AO8" i="10"/>
  <c r="BL84" i="10"/>
  <c r="R31" i="10"/>
  <c r="T31" i="10"/>
  <c r="BB5" i="10"/>
  <c r="AG33" i="10"/>
  <c r="AH33" i="10"/>
  <c r="R49" i="10"/>
  <c r="BL94" i="10"/>
  <c r="S49" i="10"/>
  <c r="T49" i="10"/>
  <c r="AG31" i="10"/>
  <c r="AH31" i="10"/>
  <c r="AH39" i="10"/>
  <c r="R47" i="10"/>
  <c r="AO18" i="10"/>
  <c r="AO21" i="10"/>
  <c r="T47" i="10"/>
  <c r="S47" i="10"/>
  <c r="BL97" i="10"/>
  <c r="E148" i="20" a="1"/>
  <c r="E148" i="20"/>
  <c r="E151" i="20" a="1"/>
  <c r="E151" i="20"/>
  <c r="E153" i="20" a="1"/>
  <c r="E153" i="20"/>
  <c r="E146" i="20" a="1"/>
  <c r="E146" i="20"/>
  <c r="E154" i="20" a="1"/>
  <c r="E154" i="20"/>
  <c r="E155" i="20" a="1"/>
  <c r="E155" i="20"/>
  <c r="J25" i="31"/>
  <c r="D11" i="35"/>
  <c r="AE6" i="34"/>
  <c r="AC9" i="34"/>
  <c r="AE5" i="34"/>
  <c r="E2" i="20" a="1"/>
  <c r="E2" i="20"/>
  <c r="C28" i="35"/>
  <c r="K28" i="35"/>
  <c r="AH8" i="35"/>
  <c r="AI8" i="35"/>
  <c r="N28" i="35"/>
  <c r="E28" i="35"/>
  <c r="D28" i="35"/>
  <c r="X45" i="35"/>
  <c r="Y45" i="35"/>
  <c r="X55" i="35"/>
  <c r="I28" i="35"/>
  <c r="X42" i="35"/>
  <c r="Y42" i="35"/>
  <c r="G28" i="35"/>
  <c r="L28" i="35"/>
  <c r="O27" i="35"/>
  <c r="P27" i="35"/>
  <c r="H28" i="35"/>
  <c r="X41" i="35"/>
  <c r="Y41" i="35"/>
  <c r="AH4" i="35"/>
  <c r="AI4" i="35"/>
  <c r="AH3" i="35"/>
  <c r="AI3" i="35"/>
  <c r="X40" i="35"/>
  <c r="Y40" i="35"/>
  <c r="U37" i="35"/>
  <c r="V31" i="35"/>
  <c r="W31" i="35"/>
  <c r="U58" i="35"/>
  <c r="V32" i="35"/>
  <c r="W32" i="35"/>
  <c r="U59" i="35"/>
  <c r="AH5" i="35"/>
  <c r="AI5" i="35"/>
  <c r="V34" i="35"/>
  <c r="W34" i="35"/>
  <c r="U61" i="35"/>
  <c r="F28" i="35"/>
  <c r="AH6" i="35"/>
  <c r="AI6" i="35"/>
  <c r="Y43" i="35"/>
  <c r="P64" i="35"/>
  <c r="F100" i="35"/>
  <c r="P60" i="35"/>
  <c r="F96" i="35"/>
  <c r="P58" i="35"/>
  <c r="F94" i="35"/>
  <c r="P54" i="35"/>
  <c r="F90" i="35"/>
  <c r="P50" i="35"/>
  <c r="F86" i="35"/>
  <c r="P42" i="35"/>
  <c r="F78" i="35"/>
  <c r="P40" i="35"/>
  <c r="F76" i="35"/>
  <c r="P38" i="35"/>
  <c r="F74" i="35"/>
  <c r="P37" i="35"/>
  <c r="F73" i="35"/>
  <c r="P36" i="35"/>
  <c r="F72" i="35"/>
  <c r="P35" i="35"/>
  <c r="F71" i="35"/>
  <c r="P34" i="35"/>
  <c r="F70" i="35"/>
  <c r="P30" i="35"/>
  <c r="P61" i="35"/>
  <c r="F97" i="35"/>
  <c r="P57" i="35"/>
  <c r="F93" i="35"/>
  <c r="P55" i="35"/>
  <c r="F91" i="35"/>
  <c r="P51" i="35"/>
  <c r="F87" i="35"/>
  <c r="P49" i="35"/>
  <c r="F85" i="35"/>
  <c r="P48" i="35"/>
  <c r="F84" i="35"/>
  <c r="P47" i="35"/>
  <c r="F83" i="35"/>
  <c r="P45" i="35"/>
  <c r="F81" i="35"/>
  <c r="P43" i="35"/>
  <c r="F79" i="35"/>
  <c r="P62" i="35"/>
  <c r="F98" i="35"/>
  <c r="P56" i="35"/>
  <c r="F92" i="35"/>
  <c r="P52" i="35"/>
  <c r="F88" i="35"/>
  <c r="P39" i="35"/>
  <c r="F75" i="35"/>
  <c r="P63" i="35"/>
  <c r="F99" i="35"/>
  <c r="P59" i="35"/>
  <c r="F95" i="35"/>
  <c r="P53" i="35"/>
  <c r="F89" i="35"/>
  <c r="P46" i="35"/>
  <c r="F82" i="35"/>
  <c r="P44" i="35"/>
  <c r="F80" i="35"/>
  <c r="P41" i="35"/>
  <c r="F77" i="35"/>
  <c r="P33" i="35"/>
  <c r="F69" i="35"/>
  <c r="AH9" i="35"/>
  <c r="P32" i="35"/>
  <c r="F68" i="35"/>
  <c r="V33" i="35"/>
  <c r="W33" i="35"/>
  <c r="U60" i="35"/>
  <c r="X9" i="35"/>
  <c r="Y21" i="35"/>
  <c r="Z21" i="35"/>
  <c r="AA21" i="35"/>
  <c r="X22" i="35"/>
  <c r="X46" i="35"/>
  <c r="I22" i="34"/>
  <c r="L22" i="34"/>
  <c r="V19" i="34"/>
  <c r="T20" i="34"/>
  <c r="V21" i="34"/>
  <c r="T22" i="34"/>
  <c r="V23" i="34"/>
  <c r="T24" i="34"/>
  <c r="X24" i="34"/>
  <c r="M32" i="34"/>
  <c r="N32" i="34"/>
  <c r="M34" i="34"/>
  <c r="N34" i="34"/>
  <c r="M36" i="34"/>
  <c r="N36" i="34"/>
  <c r="Q23" i="34"/>
  <c r="T23" i="34"/>
  <c r="I24" i="34"/>
  <c r="L24" i="34"/>
  <c r="M5" i="34"/>
  <c r="N5" i="34"/>
  <c r="I6" i="34"/>
  <c r="L6" i="34"/>
  <c r="M6" i="34"/>
  <c r="N6" i="34"/>
  <c r="M7" i="34"/>
  <c r="N7" i="34"/>
  <c r="I8" i="34"/>
  <c r="L8" i="34"/>
  <c r="M8" i="34"/>
  <c r="N8" i="34"/>
  <c r="M9" i="34"/>
  <c r="N9" i="34"/>
  <c r="I10" i="34"/>
  <c r="L10" i="34"/>
  <c r="M10" i="34"/>
  <c r="N10" i="34"/>
  <c r="J13" i="34"/>
  <c r="M19" i="34"/>
  <c r="N19" i="34"/>
  <c r="U20" i="34"/>
  <c r="V20" i="34"/>
  <c r="U24" i="34"/>
  <c r="V24" i="34"/>
  <c r="K41" i="34"/>
  <c r="M41" i="34"/>
  <c r="N41" i="34"/>
  <c r="K13" i="34"/>
  <c r="I33" i="34"/>
  <c r="L33" i="34"/>
  <c r="E103" i="20" a="1"/>
  <c r="E103" i="20"/>
  <c r="X34" i="18"/>
  <c r="U61" i="18"/>
  <c r="U37" i="18"/>
  <c r="V31" i="18"/>
  <c r="W31" i="18"/>
  <c r="X32" i="18"/>
  <c r="U59" i="18"/>
  <c r="O24" i="18"/>
  <c r="P24" i="18"/>
  <c r="X40" i="18"/>
  <c r="AE3" i="18"/>
  <c r="X9" i="18"/>
  <c r="Y21" i="18"/>
  <c r="Z21" i="18"/>
  <c r="AA21" i="18"/>
  <c r="X43" i="18"/>
  <c r="Y43" i="18"/>
  <c r="AH8" i="18"/>
  <c r="AI8" i="18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AC18" i="31"/>
  <c r="AD4" i="31"/>
  <c r="AC3" i="31"/>
  <c r="AD3" i="31"/>
  <c r="G25" i="31"/>
  <c r="C25" i="31"/>
  <c r="E25" i="31"/>
  <c r="K24" i="31"/>
  <c r="AD5" i="31"/>
  <c r="S3" i="31"/>
  <c r="D25" i="31"/>
  <c r="S4" i="31"/>
  <c r="F25" i="31"/>
  <c r="S5" i="31"/>
  <c r="H25" i="31"/>
  <c r="Q6" i="31"/>
  <c r="T3" i="31"/>
  <c r="T4" i="31"/>
  <c r="U4" i="31"/>
  <c r="R6" i="31"/>
  <c r="S55" i="31"/>
  <c r="T55" i="31"/>
  <c r="AA27" i="31"/>
  <c r="S57" i="31"/>
  <c r="T57" i="31"/>
  <c r="AA29" i="31"/>
  <c r="U57" i="31"/>
  <c r="S58" i="31"/>
  <c r="T58" i="31"/>
  <c r="AA30" i="31"/>
  <c r="L61" i="31"/>
  <c r="F99" i="31"/>
  <c r="L59" i="31"/>
  <c r="F97" i="31"/>
  <c r="L58" i="31"/>
  <c r="F96" i="31"/>
  <c r="L57" i="31"/>
  <c r="F95" i="31"/>
  <c r="L56" i="31"/>
  <c r="F94" i="31"/>
  <c r="L55" i="31"/>
  <c r="F93" i="31"/>
  <c r="F85" i="31"/>
  <c r="F81" i="31"/>
  <c r="F77" i="31"/>
  <c r="F76" i="31"/>
  <c r="F75" i="31"/>
  <c r="F74" i="31"/>
  <c r="L30" i="31"/>
  <c r="F68" i="31"/>
  <c r="F86" i="31"/>
  <c r="F84" i="31"/>
  <c r="F82" i="31"/>
  <c r="F78" i="31"/>
  <c r="L31" i="31"/>
  <c r="F69" i="31"/>
  <c r="L28" i="31"/>
  <c r="F66" i="31"/>
  <c r="L60" i="31"/>
  <c r="F98" i="31"/>
  <c r="L53" i="31"/>
  <c r="F91" i="31"/>
  <c r="L52" i="31"/>
  <c r="F90" i="31"/>
  <c r="F89" i="31"/>
  <c r="F88" i="31"/>
  <c r="F87" i="31"/>
  <c r="F79" i="31"/>
  <c r="L34" i="31"/>
  <c r="F72" i="31"/>
  <c r="L32" i="31"/>
  <c r="F70" i="31"/>
  <c r="L54" i="31"/>
  <c r="F92" i="31"/>
  <c r="F83" i="31"/>
  <c r="F80" i="31"/>
  <c r="F73" i="31"/>
  <c r="L33" i="31"/>
  <c r="F71" i="31"/>
  <c r="L29" i="31"/>
  <c r="F67" i="31"/>
  <c r="L27" i="31"/>
  <c r="F65" i="31"/>
  <c r="R56" i="31"/>
  <c r="R61" i="31"/>
  <c r="U41" i="31"/>
  <c r="V41" i="31"/>
  <c r="W41" i="31"/>
  <c r="U42" i="31"/>
  <c r="V42" i="31"/>
  <c r="W42" i="31"/>
  <c r="U43" i="31"/>
  <c r="V43" i="31"/>
  <c r="W43" i="31"/>
  <c r="U40" i="31"/>
  <c r="V40" i="31"/>
  <c r="W40" i="31"/>
  <c r="W46" i="31"/>
  <c r="W50" i="31"/>
  <c r="W51" i="31"/>
  <c r="T33" i="31"/>
  <c r="BW82" i="11"/>
  <c r="AC18" i="30"/>
  <c r="AD5" i="30"/>
  <c r="Q5" i="30"/>
  <c r="L27" i="30"/>
  <c r="L29" i="30"/>
  <c r="L31" i="30"/>
  <c r="F69" i="30"/>
  <c r="L33" i="30"/>
  <c r="L35" i="30"/>
  <c r="F73" i="30"/>
  <c r="L37" i="30"/>
  <c r="L39" i="30"/>
  <c r="F77" i="30"/>
  <c r="L41" i="30"/>
  <c r="F79" i="30"/>
  <c r="L43" i="30"/>
  <c r="L45" i="30"/>
  <c r="F83" i="30"/>
  <c r="L47" i="30"/>
  <c r="F85" i="30"/>
  <c r="L49" i="30"/>
  <c r="F89" i="30"/>
  <c r="L53" i="30"/>
  <c r="F93" i="30"/>
  <c r="L59" i="30"/>
  <c r="L61" i="30"/>
  <c r="F99" i="30"/>
  <c r="L28" i="30"/>
  <c r="F66" i="30"/>
  <c r="L30" i="30"/>
  <c r="F68" i="30"/>
  <c r="L32" i="30"/>
  <c r="F70" i="30"/>
  <c r="F72" i="30"/>
  <c r="L36" i="30"/>
  <c r="L38" i="30"/>
  <c r="F76" i="30"/>
  <c r="L40" i="30"/>
  <c r="L42" i="30"/>
  <c r="F80" i="30"/>
  <c r="L44" i="30"/>
  <c r="F82" i="30"/>
  <c r="L46" i="30"/>
  <c r="F84" i="30"/>
  <c r="F88" i="30"/>
  <c r="F90" i="30"/>
  <c r="L54" i="30"/>
  <c r="L60" i="30"/>
  <c r="F98" i="30"/>
  <c r="S57" i="30"/>
  <c r="T57" i="30"/>
  <c r="H25" i="30"/>
  <c r="D25" i="30"/>
  <c r="K24" i="30"/>
  <c r="L24" i="30"/>
  <c r="J25" i="30"/>
  <c r="AC3" i="30"/>
  <c r="AC4" i="30"/>
  <c r="AD4" i="30"/>
  <c r="G25" i="30"/>
  <c r="T5" i="30"/>
  <c r="U5" i="30"/>
  <c r="R7" i="30"/>
  <c r="T7" i="30"/>
  <c r="U7" i="30"/>
  <c r="R55" i="30"/>
  <c r="T33" i="30"/>
  <c r="AC6" i="30"/>
  <c r="AD6" i="30"/>
  <c r="R6" i="30"/>
  <c r="T3" i="30"/>
  <c r="U3" i="30"/>
  <c r="T4" i="30"/>
  <c r="U4" i="30"/>
  <c r="S58" i="30"/>
  <c r="T58" i="30"/>
  <c r="U40" i="30"/>
  <c r="V40" i="30"/>
  <c r="F97" i="30"/>
  <c r="F81" i="30"/>
  <c r="F75" i="30"/>
  <c r="F74" i="30"/>
  <c r="F86" i="30"/>
  <c r="F78" i="30"/>
  <c r="F91" i="30"/>
  <c r="F87" i="30"/>
  <c r="F92" i="30"/>
  <c r="F71" i="30"/>
  <c r="F67" i="30"/>
  <c r="R56" i="30"/>
  <c r="T46" i="29"/>
  <c r="U40" i="29"/>
  <c r="E25" i="29"/>
  <c r="F25" i="29"/>
  <c r="D25" i="29"/>
  <c r="K24" i="29"/>
  <c r="L24" i="29"/>
  <c r="AD6" i="29"/>
  <c r="AC3" i="29"/>
  <c r="AC4" i="29"/>
  <c r="AD4" i="29"/>
  <c r="AC5" i="29"/>
  <c r="AD5" i="29"/>
  <c r="AC18" i="29"/>
  <c r="S55" i="29"/>
  <c r="T55" i="29"/>
  <c r="Q6" i="29"/>
  <c r="S57" i="29"/>
  <c r="T57" i="29"/>
  <c r="F73" i="29"/>
  <c r="L42" i="29"/>
  <c r="F80" i="29"/>
  <c r="T3" i="29"/>
  <c r="T4" i="29"/>
  <c r="U4" i="29"/>
  <c r="T5" i="29"/>
  <c r="U5" i="29"/>
  <c r="R6" i="29"/>
  <c r="S58" i="29"/>
  <c r="T58" i="29"/>
  <c r="L61" i="29"/>
  <c r="F99" i="29"/>
  <c r="L59" i="29"/>
  <c r="F97" i="29"/>
  <c r="L57" i="29"/>
  <c r="F95" i="29"/>
  <c r="L56" i="29"/>
  <c r="F94" i="29"/>
  <c r="L55" i="29"/>
  <c r="F93" i="29"/>
  <c r="L43" i="29"/>
  <c r="F81" i="29"/>
  <c r="L39" i="29"/>
  <c r="F77" i="29"/>
  <c r="F76" i="29"/>
  <c r="L36" i="29"/>
  <c r="F74" i="29"/>
  <c r="L48" i="29"/>
  <c r="F86" i="29"/>
  <c r="L46" i="29"/>
  <c r="F84" i="29"/>
  <c r="L40" i="29"/>
  <c r="F78" i="29"/>
  <c r="L31" i="29"/>
  <c r="F69" i="29"/>
  <c r="L28" i="29"/>
  <c r="F66" i="29"/>
  <c r="L53" i="29"/>
  <c r="F91" i="29"/>
  <c r="L52" i="29"/>
  <c r="F90" i="29"/>
  <c r="L51" i="29"/>
  <c r="F89" i="29"/>
  <c r="L50" i="29"/>
  <c r="F88" i="29"/>
  <c r="L49" i="29"/>
  <c r="F87" i="29"/>
  <c r="L41" i="29"/>
  <c r="F79" i="29"/>
  <c r="F72" i="29"/>
  <c r="F70" i="29"/>
  <c r="L54" i="29"/>
  <c r="F92" i="29"/>
  <c r="U3" i="29"/>
  <c r="L27" i="29"/>
  <c r="R56" i="29"/>
  <c r="R61" i="29"/>
  <c r="L45" i="29"/>
  <c r="F83" i="29"/>
  <c r="T33" i="29"/>
  <c r="W40" i="29"/>
  <c r="W51" i="29"/>
  <c r="E25" i="27"/>
  <c r="C25" i="27"/>
  <c r="F25" i="27"/>
  <c r="D25" i="27"/>
  <c r="J25" i="27"/>
  <c r="H25" i="27"/>
  <c r="K24" i="27"/>
  <c r="L24" i="27"/>
  <c r="AC18" i="27"/>
  <c r="AC4" i="27"/>
  <c r="AD4" i="27"/>
  <c r="AC3" i="27"/>
  <c r="AD6" i="27"/>
  <c r="T3" i="27"/>
  <c r="T4" i="27"/>
  <c r="T5" i="27"/>
  <c r="R6" i="27"/>
  <c r="R8" i="27"/>
  <c r="T8" i="27"/>
  <c r="U8" i="27"/>
  <c r="Q3" i="27"/>
  <c r="Q4" i="27"/>
  <c r="Q5" i="27"/>
  <c r="U42" i="27"/>
  <c r="V42" i="27"/>
  <c r="W42" i="27"/>
  <c r="U40" i="27"/>
  <c r="V40" i="27"/>
  <c r="W40" i="27"/>
  <c r="W31" i="27"/>
  <c r="U41" i="27"/>
  <c r="V41" i="27"/>
  <c r="S55" i="27"/>
  <c r="T55" i="27"/>
  <c r="AA27" i="27"/>
  <c r="R61" i="27"/>
  <c r="S56" i="27"/>
  <c r="T56" i="27"/>
  <c r="AA28" i="27"/>
  <c r="S57" i="27"/>
  <c r="T57" i="27"/>
  <c r="AA29" i="27"/>
  <c r="R58" i="27"/>
  <c r="T33" i="27"/>
  <c r="W41" i="27"/>
  <c r="U43" i="27"/>
  <c r="V43" i="27"/>
  <c r="W43" i="27"/>
  <c r="O20" i="2"/>
  <c r="P20" i="2"/>
  <c r="Q20" i="2"/>
  <c r="D25" i="26"/>
  <c r="C25" i="26"/>
  <c r="E25" i="26"/>
  <c r="F25" i="26"/>
  <c r="K24" i="26"/>
  <c r="L24" i="26"/>
  <c r="AC18" i="26"/>
  <c r="L58" i="26"/>
  <c r="F96" i="26"/>
  <c r="L47" i="26"/>
  <c r="F85" i="26"/>
  <c r="L37" i="26"/>
  <c r="F75" i="26"/>
  <c r="L46" i="26"/>
  <c r="F84" i="26"/>
  <c r="L28" i="26"/>
  <c r="F66" i="26"/>
  <c r="L51" i="26"/>
  <c r="F89" i="26"/>
  <c r="L34" i="26"/>
  <c r="F72" i="26"/>
  <c r="L42" i="26"/>
  <c r="F80" i="26"/>
  <c r="L27" i="26"/>
  <c r="AD3" i="26"/>
  <c r="AD4" i="26"/>
  <c r="AD5" i="26"/>
  <c r="T7" i="26"/>
  <c r="U7" i="26"/>
  <c r="S55" i="26"/>
  <c r="T55" i="26"/>
  <c r="AA27" i="26"/>
  <c r="T3" i="26"/>
  <c r="T4" i="26"/>
  <c r="U4" i="26"/>
  <c r="T5" i="26"/>
  <c r="U5" i="26"/>
  <c r="AC6" i="26"/>
  <c r="AD6" i="26"/>
  <c r="R6" i="26"/>
  <c r="S8" i="26"/>
  <c r="T8" i="26"/>
  <c r="U8" i="26"/>
  <c r="S57" i="26"/>
  <c r="T57" i="26"/>
  <c r="AA29" i="26"/>
  <c r="S58" i="26"/>
  <c r="T58" i="26"/>
  <c r="AA30" i="26"/>
  <c r="U58" i="26"/>
  <c r="Q6" i="26"/>
  <c r="AC7" i="26"/>
  <c r="AD7" i="26"/>
  <c r="U41" i="26"/>
  <c r="V41" i="26"/>
  <c r="W41" i="26"/>
  <c r="U42" i="26"/>
  <c r="V42" i="26"/>
  <c r="W42" i="26"/>
  <c r="U43" i="26"/>
  <c r="V43" i="26"/>
  <c r="W43" i="26"/>
  <c r="U40" i="26"/>
  <c r="V40" i="26"/>
  <c r="T33" i="26"/>
  <c r="R56" i="26"/>
  <c r="W40" i="26"/>
  <c r="J25" i="25"/>
  <c r="S15" i="25"/>
  <c r="R17" i="25"/>
  <c r="CL95" i="5"/>
  <c r="C20" i="2"/>
  <c r="F20" i="2"/>
  <c r="T46" i="25"/>
  <c r="U41" i="25"/>
  <c r="V41" i="25"/>
  <c r="W41" i="25"/>
  <c r="R14" i="25"/>
  <c r="R16" i="25"/>
  <c r="W32" i="25"/>
  <c r="S12" i="25"/>
  <c r="D25" i="25"/>
  <c r="S16" i="25"/>
  <c r="AC8" i="25"/>
  <c r="AD8" i="25"/>
  <c r="W31" i="25"/>
  <c r="W45" i="25"/>
  <c r="S13" i="25"/>
  <c r="S17" i="25"/>
  <c r="T17" i="25"/>
  <c r="U17" i="25"/>
  <c r="AD4" i="25"/>
  <c r="AC18" i="25"/>
  <c r="Q4" i="25"/>
  <c r="F88" i="25"/>
  <c r="AC6" i="25"/>
  <c r="AD6" i="25"/>
  <c r="AD5" i="25"/>
  <c r="T33" i="25"/>
  <c r="U30" i="25"/>
  <c r="V30" i="25"/>
  <c r="AD3" i="25"/>
  <c r="U43" i="25"/>
  <c r="V43" i="25"/>
  <c r="W43" i="25"/>
  <c r="K24" i="25"/>
  <c r="L24" i="25"/>
  <c r="W44" i="25"/>
  <c r="F89" i="25"/>
  <c r="R55" i="25"/>
  <c r="F99" i="25"/>
  <c r="T3" i="25"/>
  <c r="U3" i="25"/>
  <c r="AC7" i="25"/>
  <c r="AD7" i="25"/>
  <c r="L29" i="25"/>
  <c r="F67" i="25"/>
  <c r="L44" i="25"/>
  <c r="F82" i="25"/>
  <c r="T7" i="25"/>
  <c r="U7" i="25"/>
  <c r="F91" i="25"/>
  <c r="S56" i="25"/>
  <c r="T56" i="25"/>
  <c r="AA28" i="25"/>
  <c r="S58" i="25"/>
  <c r="T58" i="25"/>
  <c r="AA30" i="25"/>
  <c r="T5" i="25"/>
  <c r="U5" i="25"/>
  <c r="F90" i="25"/>
  <c r="R6" i="25"/>
  <c r="R15" i="25"/>
  <c r="T15" i="25"/>
  <c r="U15" i="25"/>
  <c r="L31" i="19"/>
  <c r="F69" i="19"/>
  <c r="L36" i="19"/>
  <c r="F74" i="19"/>
  <c r="L40" i="19"/>
  <c r="F78" i="19"/>
  <c r="L46" i="19"/>
  <c r="L50" i="19"/>
  <c r="L54" i="19"/>
  <c r="L58" i="19"/>
  <c r="L28" i="19"/>
  <c r="F66" i="19"/>
  <c r="L33" i="19"/>
  <c r="F71" i="19"/>
  <c r="L37" i="19"/>
  <c r="F75" i="19"/>
  <c r="L43" i="19"/>
  <c r="L47" i="19"/>
  <c r="L51" i="19"/>
  <c r="L55" i="19"/>
  <c r="L59" i="19"/>
  <c r="L29" i="19"/>
  <c r="L42" i="19"/>
  <c r="F80" i="19"/>
  <c r="L35" i="19"/>
  <c r="F73" i="19"/>
  <c r="L39" i="19"/>
  <c r="F77" i="19"/>
  <c r="L45" i="19"/>
  <c r="L49" i="19"/>
  <c r="L53" i="19"/>
  <c r="L57" i="19"/>
  <c r="L61" i="19"/>
  <c r="L27" i="19"/>
  <c r="F65" i="19"/>
  <c r="AC8" i="19"/>
  <c r="AD8" i="19"/>
  <c r="R7" i="19"/>
  <c r="T7" i="19"/>
  <c r="U7" i="19"/>
  <c r="S8" i="19"/>
  <c r="T8" i="19"/>
  <c r="U8" i="19"/>
  <c r="K24" i="19"/>
  <c r="H25" i="19"/>
  <c r="G25" i="19"/>
  <c r="F25" i="19"/>
  <c r="E25" i="19"/>
  <c r="D25" i="19"/>
  <c r="C25" i="19"/>
  <c r="AC18" i="19"/>
  <c r="T33" i="19"/>
  <c r="U27" i="19"/>
  <c r="V27" i="19"/>
  <c r="S56" i="19"/>
  <c r="T56" i="19"/>
  <c r="AA28" i="19"/>
  <c r="S58" i="19"/>
  <c r="T58" i="19"/>
  <c r="AA30" i="19"/>
  <c r="S57" i="19"/>
  <c r="T57" i="19"/>
  <c r="AA29" i="19"/>
  <c r="T3" i="19"/>
  <c r="U3" i="19"/>
  <c r="T4" i="19"/>
  <c r="U4" i="19"/>
  <c r="T5" i="19"/>
  <c r="U5" i="19"/>
  <c r="R6" i="19"/>
  <c r="T46" i="19"/>
  <c r="AD6" i="19"/>
  <c r="R55" i="19"/>
  <c r="AC3" i="19"/>
  <c r="AC4" i="19"/>
  <c r="AD4" i="19"/>
  <c r="AC5" i="19"/>
  <c r="AD5" i="19"/>
  <c r="AH7" i="18"/>
  <c r="AI7" i="18"/>
  <c r="AH5" i="18"/>
  <c r="AI5" i="18"/>
  <c r="AH4" i="18"/>
  <c r="AI4" i="18"/>
  <c r="X41" i="18"/>
  <c r="Y41" i="18"/>
  <c r="X45" i="18"/>
  <c r="Y45" i="18"/>
  <c r="AE6" i="18"/>
  <c r="X44" i="18"/>
  <c r="Y44" i="18"/>
  <c r="X42" i="18"/>
  <c r="Y42" i="18"/>
  <c r="X55" i="18"/>
  <c r="X22" i="18"/>
  <c r="W33" i="18"/>
  <c r="U60" i="18"/>
  <c r="CL82" i="4"/>
  <c r="CL86" i="4"/>
  <c r="BN12" i="4"/>
  <c r="BE32" i="4"/>
  <c r="BF32" i="4"/>
  <c r="BF40" i="4"/>
  <c r="K21" i="2"/>
  <c r="N21" i="2"/>
  <c r="AV80" i="10"/>
  <c r="AV82" i="10"/>
  <c r="C38" i="2"/>
  <c r="O10" i="2"/>
  <c r="P10" i="2"/>
  <c r="F34" i="2"/>
  <c r="F22" i="2"/>
  <c r="O8" i="2"/>
  <c r="P8" i="2"/>
  <c r="O6" i="2"/>
  <c r="P6" i="2"/>
  <c r="G37" i="2"/>
  <c r="H37" i="2"/>
  <c r="N9" i="2"/>
  <c r="F23" i="2"/>
  <c r="G34" i="2"/>
  <c r="H34" i="2"/>
  <c r="G33" i="2"/>
  <c r="H33" i="2"/>
  <c r="K7" i="2"/>
  <c r="N7" i="2"/>
  <c r="F36" i="2"/>
  <c r="F21" i="2"/>
  <c r="G35" i="2"/>
  <c r="H35" i="2"/>
  <c r="G36" i="2"/>
  <c r="H36" i="2"/>
  <c r="G20" i="2"/>
  <c r="H20" i="2"/>
  <c r="N6" i="2"/>
  <c r="N10" i="2"/>
  <c r="N8" i="2"/>
  <c r="F9" i="2"/>
  <c r="C35" i="2"/>
  <c r="F35" i="2"/>
  <c r="C37" i="2"/>
  <c r="F37" i="2"/>
  <c r="G21" i="2"/>
  <c r="H21" i="2"/>
  <c r="G23" i="2"/>
  <c r="H23" i="2"/>
  <c r="O5" i="2"/>
  <c r="P5" i="2"/>
  <c r="O7" i="2"/>
  <c r="P7" i="2"/>
  <c r="O9" i="2"/>
  <c r="P9" i="2"/>
  <c r="G8" i="2"/>
  <c r="H8" i="2"/>
  <c r="G6" i="2"/>
  <c r="H6" i="2"/>
  <c r="G9" i="2"/>
  <c r="H9" i="2"/>
  <c r="G5" i="2"/>
  <c r="H5" i="2"/>
  <c r="L24" i="31"/>
  <c r="E38" i="2"/>
  <c r="O28" i="35"/>
  <c r="AI9" i="35"/>
  <c r="C6" i="35"/>
  <c r="C8" i="35"/>
  <c r="C21" i="35"/>
  <c r="Y18" i="35"/>
  <c r="Z18" i="35"/>
  <c r="AA18" i="35"/>
  <c r="Y17" i="35"/>
  <c r="Z17" i="35"/>
  <c r="AA17" i="35"/>
  <c r="Y46" i="35"/>
  <c r="Y20" i="35"/>
  <c r="Z20" i="35"/>
  <c r="AA20" i="35"/>
  <c r="F66" i="35"/>
  <c r="D8" i="35"/>
  <c r="X32" i="35"/>
  <c r="X33" i="35"/>
  <c r="X34" i="35"/>
  <c r="Y8" i="35"/>
  <c r="Z8" i="35"/>
  <c r="AA8" i="35"/>
  <c r="Y3" i="35"/>
  <c r="Z3" i="35"/>
  <c r="Y19" i="35"/>
  <c r="Z19" i="35"/>
  <c r="AA19" i="35"/>
  <c r="Y16" i="35"/>
  <c r="Z16" i="35"/>
  <c r="AA16" i="35"/>
  <c r="Y6" i="35"/>
  <c r="Z6" i="35"/>
  <c r="Y4" i="35"/>
  <c r="Z4" i="35"/>
  <c r="Y7" i="35"/>
  <c r="Z7" i="35"/>
  <c r="AA7" i="35"/>
  <c r="Y5" i="35"/>
  <c r="Z5" i="35"/>
  <c r="X31" i="35"/>
  <c r="M13" i="34"/>
  <c r="N13" i="34"/>
  <c r="X31" i="18"/>
  <c r="U58" i="18"/>
  <c r="AH3" i="18"/>
  <c r="Y5" i="18"/>
  <c r="Y17" i="18"/>
  <c r="Z17" i="18"/>
  <c r="AA17" i="18"/>
  <c r="Y6" i="18"/>
  <c r="Z6" i="18"/>
  <c r="T61" i="18"/>
  <c r="Y18" i="18"/>
  <c r="Z18" i="18"/>
  <c r="AA18" i="18"/>
  <c r="Y19" i="18"/>
  <c r="Z19" i="18"/>
  <c r="AA19" i="18"/>
  <c r="Y4" i="18"/>
  <c r="Z4" i="18"/>
  <c r="T59" i="18"/>
  <c r="Y20" i="18"/>
  <c r="Z20" i="18"/>
  <c r="AA20" i="18"/>
  <c r="Y3" i="18"/>
  <c r="Y8" i="18"/>
  <c r="Z8" i="18"/>
  <c r="AA8" i="18"/>
  <c r="Y16" i="18"/>
  <c r="Z16" i="18"/>
  <c r="AA16" i="18"/>
  <c r="Y7" i="18"/>
  <c r="Z7" i="18"/>
  <c r="AA7" i="18"/>
  <c r="Z3" i="18"/>
  <c r="T58" i="18"/>
  <c r="AD9" i="31"/>
  <c r="AC9" i="31"/>
  <c r="D6" i="31"/>
  <c r="D8" i="31"/>
  <c r="E10" i="2"/>
  <c r="S56" i="31"/>
  <c r="T56" i="31"/>
  <c r="AA28" i="31"/>
  <c r="I25" i="31"/>
  <c r="K25" i="31"/>
  <c r="T6" i="31"/>
  <c r="U29" i="31"/>
  <c r="V29" i="31"/>
  <c r="U27" i="31"/>
  <c r="V27" i="31"/>
  <c r="U30" i="31"/>
  <c r="V30" i="31"/>
  <c r="U28" i="31"/>
  <c r="V28" i="31"/>
  <c r="U3" i="31"/>
  <c r="U58" i="31"/>
  <c r="U55" i="31"/>
  <c r="T5" i="31"/>
  <c r="U5" i="31"/>
  <c r="U6" i="31"/>
  <c r="W40" i="30"/>
  <c r="Z29" i="30"/>
  <c r="AC29" i="30"/>
  <c r="AA37" i="30"/>
  <c r="AB37" i="30"/>
  <c r="AC37" i="30"/>
  <c r="AC9" i="30"/>
  <c r="S56" i="30"/>
  <c r="T56" i="30"/>
  <c r="AA28" i="30"/>
  <c r="F65" i="30"/>
  <c r="D6" i="30"/>
  <c r="D8" i="30"/>
  <c r="S55" i="30"/>
  <c r="T55" i="30"/>
  <c r="AA27" i="30"/>
  <c r="R61" i="30"/>
  <c r="AD3" i="30"/>
  <c r="AD9" i="30"/>
  <c r="U58" i="30"/>
  <c r="T9" i="30"/>
  <c r="W46" i="30"/>
  <c r="W50" i="30"/>
  <c r="U57" i="30"/>
  <c r="I25" i="30"/>
  <c r="K25" i="30"/>
  <c r="T6" i="30"/>
  <c r="U6" i="30"/>
  <c r="U9" i="30"/>
  <c r="C6" i="30"/>
  <c r="C8" i="30"/>
  <c r="U27" i="30"/>
  <c r="V27" i="30"/>
  <c r="U28" i="30"/>
  <c r="V28" i="30"/>
  <c r="W28" i="30"/>
  <c r="W46" i="29"/>
  <c r="F65" i="29"/>
  <c r="U27" i="29"/>
  <c r="V27" i="29"/>
  <c r="U57" i="29"/>
  <c r="U55" i="29"/>
  <c r="I25" i="29"/>
  <c r="K25" i="29"/>
  <c r="T6" i="29"/>
  <c r="T9" i="29"/>
  <c r="S56" i="29"/>
  <c r="T56" i="29"/>
  <c r="AC28" i="29"/>
  <c r="AA36" i="29"/>
  <c r="U6" i="29"/>
  <c r="U9" i="29"/>
  <c r="C6" i="29"/>
  <c r="C8" i="29"/>
  <c r="AC9" i="29"/>
  <c r="AD3" i="29"/>
  <c r="AD9" i="29"/>
  <c r="L60" i="29"/>
  <c r="F98" i="29"/>
  <c r="L44" i="29"/>
  <c r="F82" i="29"/>
  <c r="L37" i="29"/>
  <c r="F75" i="29"/>
  <c r="L47" i="29"/>
  <c r="F85" i="29"/>
  <c r="L58" i="29"/>
  <c r="F96" i="29"/>
  <c r="U58" i="29"/>
  <c r="F68" i="29"/>
  <c r="F67" i="29"/>
  <c r="L33" i="29"/>
  <c r="F71" i="29"/>
  <c r="U4" i="27"/>
  <c r="AC9" i="27"/>
  <c r="U56" i="27"/>
  <c r="AD3" i="27"/>
  <c r="U55" i="27"/>
  <c r="U5" i="27"/>
  <c r="I25" i="27"/>
  <c r="K25" i="27"/>
  <c r="T6" i="27"/>
  <c r="U6" i="27"/>
  <c r="W46" i="27"/>
  <c r="W50" i="27"/>
  <c r="W51" i="27"/>
  <c r="V29" i="27"/>
  <c r="Z29" i="27"/>
  <c r="U28" i="27"/>
  <c r="V28" i="27"/>
  <c r="S58" i="27"/>
  <c r="T58" i="27"/>
  <c r="AA30" i="27"/>
  <c r="F99" i="27"/>
  <c r="F97" i="27"/>
  <c r="F96" i="27"/>
  <c r="F95" i="27"/>
  <c r="F94" i="27"/>
  <c r="F93" i="27"/>
  <c r="F81" i="27"/>
  <c r="F77" i="27"/>
  <c r="F76" i="27"/>
  <c r="F75" i="27"/>
  <c r="F74" i="27"/>
  <c r="F86" i="27"/>
  <c r="F84" i="27"/>
  <c r="F82" i="27"/>
  <c r="F78" i="27"/>
  <c r="F98" i="27"/>
  <c r="F91" i="27"/>
  <c r="F90" i="27"/>
  <c r="F89" i="27"/>
  <c r="F88" i="27"/>
  <c r="F87" i="27"/>
  <c r="F79" i="27"/>
  <c r="F72" i="27"/>
  <c r="F92" i="27"/>
  <c r="F83" i="27"/>
  <c r="F80" i="27"/>
  <c r="F73" i="27"/>
  <c r="U3" i="27"/>
  <c r="U9" i="27"/>
  <c r="C6" i="27"/>
  <c r="C8" i="27"/>
  <c r="F71" i="27"/>
  <c r="AD9" i="27"/>
  <c r="V30" i="27"/>
  <c r="T9" i="27"/>
  <c r="U30" i="26"/>
  <c r="V30" i="26"/>
  <c r="U28" i="26"/>
  <c r="V28" i="26"/>
  <c r="AD9" i="26"/>
  <c r="W46" i="26"/>
  <c r="W50" i="26"/>
  <c r="W51" i="26"/>
  <c r="U6" i="26"/>
  <c r="I25" i="26"/>
  <c r="K25" i="26"/>
  <c r="T6" i="26"/>
  <c r="T9" i="26"/>
  <c r="L29" i="26"/>
  <c r="F67" i="26"/>
  <c r="L45" i="26"/>
  <c r="F83" i="26"/>
  <c r="L41" i="26"/>
  <c r="F79" i="26"/>
  <c r="L52" i="26"/>
  <c r="F90" i="26"/>
  <c r="L31" i="26"/>
  <c r="F69" i="26"/>
  <c r="L48" i="26"/>
  <c r="F86" i="26"/>
  <c r="L38" i="26"/>
  <c r="F76" i="26"/>
  <c r="L55" i="26"/>
  <c r="F93" i="26"/>
  <c r="L59" i="26"/>
  <c r="F97" i="26"/>
  <c r="F65" i="26"/>
  <c r="U27" i="26"/>
  <c r="V27" i="26"/>
  <c r="U29" i="26"/>
  <c r="V29" i="26"/>
  <c r="AC9" i="26"/>
  <c r="U57" i="26"/>
  <c r="U55" i="26"/>
  <c r="L33" i="26"/>
  <c r="F71" i="26"/>
  <c r="L54" i="26"/>
  <c r="F92" i="26"/>
  <c r="L49" i="26"/>
  <c r="F87" i="26"/>
  <c r="L53" i="26"/>
  <c r="F91" i="26"/>
  <c r="L40" i="26"/>
  <c r="F78" i="26"/>
  <c r="L30" i="26"/>
  <c r="F68" i="26"/>
  <c r="L39" i="26"/>
  <c r="F77" i="26"/>
  <c r="L56" i="26"/>
  <c r="F94" i="26"/>
  <c r="L61" i="26"/>
  <c r="F99" i="26"/>
  <c r="S56" i="26"/>
  <c r="T56" i="26"/>
  <c r="AA28" i="26"/>
  <c r="R61" i="26"/>
  <c r="U3" i="26"/>
  <c r="U9" i="26"/>
  <c r="C6" i="26"/>
  <c r="C8" i="26"/>
  <c r="L35" i="26"/>
  <c r="F73" i="26"/>
  <c r="L32" i="26"/>
  <c r="F70" i="26"/>
  <c r="L50" i="26"/>
  <c r="F88" i="26"/>
  <c r="L60" i="26"/>
  <c r="F98" i="26"/>
  <c r="L44" i="26"/>
  <c r="F82" i="26"/>
  <c r="L36" i="26"/>
  <c r="F74" i="26"/>
  <c r="L43" i="26"/>
  <c r="F81" i="26"/>
  <c r="L57" i="26"/>
  <c r="F95" i="26"/>
  <c r="L45" i="25"/>
  <c r="F83" i="25"/>
  <c r="U42" i="25"/>
  <c r="V42" i="25"/>
  <c r="W42" i="25"/>
  <c r="T12" i="25"/>
  <c r="U12" i="25"/>
  <c r="L41" i="25"/>
  <c r="F79" i="25"/>
  <c r="U40" i="25"/>
  <c r="V40" i="25"/>
  <c r="W40" i="25"/>
  <c r="L40" i="25"/>
  <c r="L42" i="25"/>
  <c r="T13" i="25"/>
  <c r="U13" i="25"/>
  <c r="U18" i="25"/>
  <c r="F25" i="25"/>
  <c r="T14" i="25"/>
  <c r="U14" i="25"/>
  <c r="G25" i="25"/>
  <c r="G19" i="2"/>
  <c r="H19" i="2"/>
  <c r="C6" i="2"/>
  <c r="F6" i="2"/>
  <c r="F95" i="25"/>
  <c r="L39" i="25"/>
  <c r="F77" i="25"/>
  <c r="L28" i="25"/>
  <c r="F66" i="25"/>
  <c r="L33" i="25"/>
  <c r="F71" i="25"/>
  <c r="F92" i="25"/>
  <c r="F96" i="25"/>
  <c r="L36" i="25"/>
  <c r="F74" i="25"/>
  <c r="L31" i="25"/>
  <c r="F69" i="25"/>
  <c r="F86" i="25"/>
  <c r="L35" i="25"/>
  <c r="F73" i="25"/>
  <c r="F87" i="25"/>
  <c r="F94" i="25"/>
  <c r="T16" i="25"/>
  <c r="U16" i="25"/>
  <c r="L38" i="25"/>
  <c r="F76" i="25"/>
  <c r="F78" i="25"/>
  <c r="F98" i="25"/>
  <c r="F97" i="25"/>
  <c r="F93" i="25"/>
  <c r="L30" i="25"/>
  <c r="F68" i="25"/>
  <c r="L27" i="25"/>
  <c r="F65" i="25"/>
  <c r="F80" i="25"/>
  <c r="F85" i="25"/>
  <c r="F84" i="25"/>
  <c r="L37" i="25"/>
  <c r="F75" i="25"/>
  <c r="L34" i="25"/>
  <c r="F72" i="25"/>
  <c r="L32" i="25"/>
  <c r="F70" i="25"/>
  <c r="L43" i="25"/>
  <c r="F81" i="25"/>
  <c r="AD9" i="25"/>
  <c r="U27" i="25"/>
  <c r="V27" i="25"/>
  <c r="U29" i="25"/>
  <c r="V29" i="25"/>
  <c r="Z29" i="25"/>
  <c r="T4" i="25"/>
  <c r="U4" i="25"/>
  <c r="U28" i="25"/>
  <c r="V28" i="25"/>
  <c r="U58" i="25"/>
  <c r="S57" i="25"/>
  <c r="T57" i="25"/>
  <c r="AA29" i="25"/>
  <c r="R61" i="25"/>
  <c r="S55" i="25"/>
  <c r="T55" i="25"/>
  <c r="AA27" i="25"/>
  <c r="W46" i="25"/>
  <c r="W50" i="25"/>
  <c r="W51" i="25"/>
  <c r="I25" i="25"/>
  <c r="K25" i="25"/>
  <c r="T6" i="25"/>
  <c r="U6" i="25"/>
  <c r="U56" i="25"/>
  <c r="Z30" i="25"/>
  <c r="AC30" i="25"/>
  <c r="AA38" i="25"/>
  <c r="W30" i="25"/>
  <c r="AC9" i="25"/>
  <c r="L24" i="19"/>
  <c r="E32" i="2"/>
  <c r="D6" i="19"/>
  <c r="E4" i="2"/>
  <c r="F67" i="19"/>
  <c r="Z5" i="18"/>
  <c r="T60" i="18"/>
  <c r="U29" i="19"/>
  <c r="V29" i="19"/>
  <c r="W29" i="19"/>
  <c r="U28" i="19"/>
  <c r="V28" i="19"/>
  <c r="Z28" i="19"/>
  <c r="AC28" i="19"/>
  <c r="AA36" i="19"/>
  <c r="Z13" i="19"/>
  <c r="AD13" i="19"/>
  <c r="U30" i="19"/>
  <c r="V30" i="19"/>
  <c r="Z30" i="19"/>
  <c r="AC30" i="19"/>
  <c r="AA38" i="19"/>
  <c r="AC9" i="19"/>
  <c r="U57" i="19"/>
  <c r="AD3" i="19"/>
  <c r="AD9" i="19"/>
  <c r="R61" i="19"/>
  <c r="S55" i="19"/>
  <c r="T55" i="19"/>
  <c r="AA27" i="19"/>
  <c r="U58" i="19"/>
  <c r="W27" i="19"/>
  <c r="Z27" i="19"/>
  <c r="U56" i="19"/>
  <c r="U42" i="19"/>
  <c r="V42" i="19"/>
  <c r="W42" i="19"/>
  <c r="U40" i="19"/>
  <c r="V40" i="19"/>
  <c r="W40" i="19"/>
  <c r="U43" i="19"/>
  <c r="V43" i="19"/>
  <c r="W43" i="19"/>
  <c r="U41" i="19"/>
  <c r="V41" i="19"/>
  <c r="W41" i="19"/>
  <c r="I25" i="19"/>
  <c r="K25" i="19"/>
  <c r="T6" i="19"/>
  <c r="U6" i="19"/>
  <c r="U9" i="19"/>
  <c r="C6" i="19"/>
  <c r="Z29" i="19"/>
  <c r="AC29" i="19"/>
  <c r="AA37" i="19"/>
  <c r="X46" i="18"/>
  <c r="AH6" i="18"/>
  <c r="AI6" i="18"/>
  <c r="X33" i="18"/>
  <c r="AR48" i="4"/>
  <c r="BN15" i="4"/>
  <c r="CL89" i="4"/>
  <c r="C11" i="2"/>
  <c r="F11" i="2"/>
  <c r="G10" i="2"/>
  <c r="H10" i="2"/>
  <c r="F10" i="2"/>
  <c r="C39" i="2"/>
  <c r="F39" i="2"/>
  <c r="G38" i="2"/>
  <c r="H38" i="2"/>
  <c r="F38" i="2"/>
  <c r="D21" i="35"/>
  <c r="X37" i="35"/>
  <c r="C10" i="35"/>
  <c r="AA22" i="35"/>
  <c r="AA26" i="35"/>
  <c r="Z27" i="35"/>
  <c r="T59" i="35"/>
  <c r="W59" i="35"/>
  <c r="U67" i="35"/>
  <c r="AA4" i="35"/>
  <c r="T58" i="35"/>
  <c r="W58" i="35"/>
  <c r="U66" i="35"/>
  <c r="AA3" i="35"/>
  <c r="T61" i="35"/>
  <c r="W61" i="35"/>
  <c r="U69" i="35"/>
  <c r="AA6" i="35"/>
  <c r="T60" i="35"/>
  <c r="W60" i="35"/>
  <c r="U68" i="35"/>
  <c r="AA5" i="35"/>
  <c r="AA3" i="18"/>
  <c r="AA5" i="18"/>
  <c r="AA6" i="18"/>
  <c r="AA4" i="18"/>
  <c r="AA22" i="18"/>
  <c r="AA26" i="18"/>
  <c r="Z27" i="18"/>
  <c r="W59" i="18"/>
  <c r="U67" i="18"/>
  <c r="T50" i="18"/>
  <c r="W60" i="18"/>
  <c r="U68" i="18"/>
  <c r="T51" i="18"/>
  <c r="W61" i="18"/>
  <c r="U69" i="18"/>
  <c r="T52" i="18"/>
  <c r="U9" i="31"/>
  <c r="C6" i="31"/>
  <c r="C8" i="31"/>
  <c r="Z29" i="31"/>
  <c r="AC29" i="31"/>
  <c r="AA37" i="31"/>
  <c r="W29" i="31"/>
  <c r="U56" i="31"/>
  <c r="U61" i="31"/>
  <c r="C10" i="31"/>
  <c r="D10" i="31"/>
  <c r="D19" i="31"/>
  <c r="Z28" i="31"/>
  <c r="AC28" i="31"/>
  <c r="AA36" i="31"/>
  <c r="W28" i="31"/>
  <c r="W30" i="31"/>
  <c r="Z30" i="31"/>
  <c r="AC30" i="31"/>
  <c r="AA38" i="31"/>
  <c r="Z27" i="31"/>
  <c r="AC27" i="31"/>
  <c r="AA35" i="31"/>
  <c r="W27" i="31"/>
  <c r="T9" i="31"/>
  <c r="Z14" i="30"/>
  <c r="AD14" i="30"/>
  <c r="Z28" i="30"/>
  <c r="AC28" i="30"/>
  <c r="AA36" i="30"/>
  <c r="Z27" i="30"/>
  <c r="AC27" i="30"/>
  <c r="AA35" i="30"/>
  <c r="W27" i="30"/>
  <c r="U56" i="30"/>
  <c r="U55" i="30"/>
  <c r="AB36" i="29"/>
  <c r="Z13" i="29"/>
  <c r="AD13" i="29"/>
  <c r="D6" i="29"/>
  <c r="D8" i="29"/>
  <c r="U56" i="29"/>
  <c r="U61" i="29"/>
  <c r="C10" i="29"/>
  <c r="D10" i="29"/>
  <c r="Z27" i="29"/>
  <c r="AC27" i="29"/>
  <c r="AA35" i="29"/>
  <c r="W27" i="29"/>
  <c r="D6" i="27"/>
  <c r="D8" i="27"/>
  <c r="E7" i="2"/>
  <c r="Z28" i="27"/>
  <c r="AC28" i="27"/>
  <c r="AA36" i="27"/>
  <c r="W28" i="27"/>
  <c r="U58" i="27"/>
  <c r="AC29" i="27"/>
  <c r="AA37" i="27"/>
  <c r="W29" i="27"/>
  <c r="U61" i="27"/>
  <c r="C10" i="27"/>
  <c r="D10" i="27"/>
  <c r="Z30" i="27"/>
  <c r="AC30" i="27"/>
  <c r="AA38" i="27"/>
  <c r="W30" i="27"/>
  <c r="Z27" i="27"/>
  <c r="AC27" i="27"/>
  <c r="AA35" i="27"/>
  <c r="W27" i="27"/>
  <c r="Z27" i="26"/>
  <c r="AC27" i="26"/>
  <c r="AA35" i="26"/>
  <c r="W27" i="26"/>
  <c r="U56" i="26"/>
  <c r="U61" i="26"/>
  <c r="C10" i="26"/>
  <c r="D10" i="26"/>
  <c r="D6" i="26"/>
  <c r="D8" i="26"/>
  <c r="Z28" i="26"/>
  <c r="AC28" i="26"/>
  <c r="AA36" i="26"/>
  <c r="W28" i="26"/>
  <c r="Z29" i="26"/>
  <c r="AC29" i="26"/>
  <c r="AA37" i="26"/>
  <c r="W29" i="26"/>
  <c r="W30" i="26"/>
  <c r="Z30" i="26"/>
  <c r="AC30" i="26"/>
  <c r="AA38" i="26"/>
  <c r="W29" i="25"/>
  <c r="K20" i="2"/>
  <c r="N20" i="2"/>
  <c r="O19" i="2"/>
  <c r="P19" i="2"/>
  <c r="T18" i="25"/>
  <c r="D6" i="25"/>
  <c r="D8" i="25"/>
  <c r="U9" i="25"/>
  <c r="AC29" i="25"/>
  <c r="AA37" i="25"/>
  <c r="AB37" i="25"/>
  <c r="AC37" i="25"/>
  <c r="Z27" i="25"/>
  <c r="AC27" i="25"/>
  <c r="AA35" i="25"/>
  <c r="AB35" i="25"/>
  <c r="AC35" i="25"/>
  <c r="W27" i="25"/>
  <c r="Z28" i="25"/>
  <c r="AC28" i="25"/>
  <c r="AA36" i="25"/>
  <c r="AB36" i="25"/>
  <c r="AC36" i="25"/>
  <c r="W28" i="25"/>
  <c r="AB38" i="25"/>
  <c r="AC38" i="25"/>
  <c r="Z15" i="25"/>
  <c r="AD15" i="25"/>
  <c r="T9" i="25"/>
  <c r="U57" i="25"/>
  <c r="U55" i="25"/>
  <c r="C8" i="19"/>
  <c r="D4" i="2"/>
  <c r="D13" i="2"/>
  <c r="F4" i="2"/>
  <c r="C5" i="2"/>
  <c r="F5" i="2"/>
  <c r="E41" i="2"/>
  <c r="F32" i="2"/>
  <c r="C33" i="2"/>
  <c r="F33" i="2"/>
  <c r="D8" i="19"/>
  <c r="W28" i="19"/>
  <c r="AB36" i="19"/>
  <c r="AC36" i="19"/>
  <c r="W30" i="19"/>
  <c r="W33" i="19"/>
  <c r="W37" i="19"/>
  <c r="AC27" i="19"/>
  <c r="AA35" i="19"/>
  <c r="AB35" i="19"/>
  <c r="AC35" i="19"/>
  <c r="Z15" i="19"/>
  <c r="AD15" i="19"/>
  <c r="AB38" i="19"/>
  <c r="AC38" i="19"/>
  <c r="W46" i="19"/>
  <c r="W50" i="19"/>
  <c r="W51" i="19"/>
  <c r="U55" i="19"/>
  <c r="Z14" i="19"/>
  <c r="AD14" i="19"/>
  <c r="AB37" i="19"/>
  <c r="AC37" i="19"/>
  <c r="T9" i="19"/>
  <c r="D32" i="2"/>
  <c r="D41" i="2"/>
  <c r="AH9" i="18"/>
  <c r="W58" i="18"/>
  <c r="U66" i="18"/>
  <c r="T49" i="18"/>
  <c r="X37" i="18"/>
  <c r="C10" i="18"/>
  <c r="D10" i="18"/>
  <c r="D10" i="35"/>
  <c r="C20" i="35"/>
  <c r="AA9" i="35"/>
  <c r="AA13" i="35"/>
  <c r="Z28" i="35"/>
  <c r="C9" i="35"/>
  <c r="C19" i="35"/>
  <c r="Y49" i="35"/>
  <c r="V66" i="35"/>
  <c r="W66" i="35"/>
  <c r="V68" i="35"/>
  <c r="W68" i="35"/>
  <c r="T51" i="35"/>
  <c r="Y51" i="35"/>
  <c r="V69" i="35"/>
  <c r="W69" i="35"/>
  <c r="T52" i="35"/>
  <c r="Y52" i="35"/>
  <c r="V67" i="35"/>
  <c r="W67" i="35"/>
  <c r="Y50" i="35"/>
  <c r="AA9" i="18"/>
  <c r="AA13" i="18"/>
  <c r="AA14" i="18"/>
  <c r="O25" i="18"/>
  <c r="V69" i="18"/>
  <c r="W69" i="18"/>
  <c r="Y51" i="18"/>
  <c r="V67" i="18"/>
  <c r="W67" i="18"/>
  <c r="Y50" i="18"/>
  <c r="V68" i="18"/>
  <c r="W68" i="18"/>
  <c r="Y52" i="18"/>
  <c r="W33" i="31"/>
  <c r="W37" i="31"/>
  <c r="AB38" i="31"/>
  <c r="AC38" i="31"/>
  <c r="Z15" i="31"/>
  <c r="AD15" i="31"/>
  <c r="W52" i="31"/>
  <c r="C9" i="31"/>
  <c r="W38" i="31"/>
  <c r="AB35" i="31"/>
  <c r="AC35" i="31"/>
  <c r="Z12" i="31"/>
  <c r="AD12" i="31"/>
  <c r="AB37" i="31"/>
  <c r="AC37" i="31"/>
  <c r="Z14" i="31"/>
  <c r="AD14" i="31"/>
  <c r="AB36" i="31"/>
  <c r="AC36" i="31"/>
  <c r="Z13" i="31"/>
  <c r="AD13" i="31"/>
  <c r="U61" i="30"/>
  <c r="C10" i="30"/>
  <c r="D10" i="30"/>
  <c r="D19" i="30"/>
  <c r="W33" i="30"/>
  <c r="W37" i="30"/>
  <c r="AD15" i="30"/>
  <c r="AB36" i="30"/>
  <c r="AC36" i="30"/>
  <c r="Z13" i="30"/>
  <c r="AD13" i="30"/>
  <c r="AB35" i="30"/>
  <c r="AC35" i="30"/>
  <c r="Z12" i="30"/>
  <c r="AD12" i="30"/>
  <c r="W33" i="29"/>
  <c r="W37" i="29"/>
  <c r="W38" i="29"/>
  <c r="D19" i="29"/>
  <c r="Z14" i="29"/>
  <c r="AD14" i="29"/>
  <c r="W52" i="29"/>
  <c r="C9" i="29"/>
  <c r="AB35" i="29"/>
  <c r="AC35" i="29"/>
  <c r="Z12" i="29"/>
  <c r="AD12" i="29"/>
  <c r="Z15" i="29"/>
  <c r="AD15" i="29"/>
  <c r="R21" i="2"/>
  <c r="C8" i="2"/>
  <c r="F8" i="2"/>
  <c r="F7" i="2"/>
  <c r="G7" i="2"/>
  <c r="H7" i="2"/>
  <c r="E13" i="2"/>
  <c r="G13" i="2"/>
  <c r="H13" i="2"/>
  <c r="AB35" i="27"/>
  <c r="AC35" i="27"/>
  <c r="Z12" i="27"/>
  <c r="AD12" i="27"/>
  <c r="AB36" i="27"/>
  <c r="AC36" i="27"/>
  <c r="Z13" i="27"/>
  <c r="AD13" i="27"/>
  <c r="AB37" i="27"/>
  <c r="AC37" i="27"/>
  <c r="Z14" i="27"/>
  <c r="AD14" i="27"/>
  <c r="AB38" i="27"/>
  <c r="AC38" i="27"/>
  <c r="Z15" i="27"/>
  <c r="AD15" i="27"/>
  <c r="W33" i="27"/>
  <c r="W37" i="27"/>
  <c r="D19" i="27"/>
  <c r="D19" i="26"/>
  <c r="AB38" i="26"/>
  <c r="AC38" i="26"/>
  <c r="Z15" i="26"/>
  <c r="AD15" i="26"/>
  <c r="W33" i="26"/>
  <c r="W37" i="26"/>
  <c r="AB36" i="26"/>
  <c r="AC36" i="26"/>
  <c r="Z13" i="26"/>
  <c r="AD13" i="26"/>
  <c r="AB35" i="26"/>
  <c r="AC35" i="26"/>
  <c r="Z12" i="26"/>
  <c r="AD12" i="26"/>
  <c r="AB37" i="26"/>
  <c r="AC37" i="26"/>
  <c r="Z14" i="26"/>
  <c r="AD14" i="26"/>
  <c r="C8" i="25"/>
  <c r="C6" i="25"/>
  <c r="Z14" i="25"/>
  <c r="AD14" i="25"/>
  <c r="Z13" i="25"/>
  <c r="AD13" i="25"/>
  <c r="W33" i="25"/>
  <c r="Z12" i="25"/>
  <c r="AD12" i="25"/>
  <c r="U61" i="25"/>
  <c r="C10" i="25"/>
  <c r="D10" i="25"/>
  <c r="D19" i="25"/>
  <c r="G4" i="2"/>
  <c r="H4" i="2"/>
  <c r="G32" i="2"/>
  <c r="H32" i="2"/>
  <c r="G41" i="2"/>
  <c r="H41" i="2"/>
  <c r="U61" i="19"/>
  <c r="C10" i="19"/>
  <c r="D10" i="19"/>
  <c r="D19" i="19"/>
  <c r="Z12" i="19"/>
  <c r="AD12" i="19"/>
  <c r="AD18" i="19"/>
  <c r="W52" i="19"/>
  <c r="C9" i="19"/>
  <c r="W38" i="19"/>
  <c r="Y49" i="18"/>
  <c r="D19" i="35"/>
  <c r="D20" i="35"/>
  <c r="AA14" i="35"/>
  <c r="Y55" i="35"/>
  <c r="D9" i="35"/>
  <c r="D14" i="35"/>
  <c r="Y55" i="18"/>
  <c r="Z28" i="18"/>
  <c r="C9" i="18"/>
  <c r="D9" i="18"/>
  <c r="D14" i="18"/>
  <c r="AD18" i="31"/>
  <c r="C14" i="31"/>
  <c r="C19" i="31"/>
  <c r="D9" i="31"/>
  <c r="D14" i="31"/>
  <c r="W52" i="30"/>
  <c r="C9" i="30"/>
  <c r="W38" i="30"/>
  <c r="AD18" i="30"/>
  <c r="AD18" i="29"/>
  <c r="C14" i="29"/>
  <c r="C19" i="29"/>
  <c r="D9" i="29"/>
  <c r="D14" i="29"/>
  <c r="W52" i="27"/>
  <c r="C9" i="27"/>
  <c r="W38" i="27"/>
  <c r="AD18" i="27"/>
  <c r="AD18" i="26"/>
  <c r="W52" i="26"/>
  <c r="C9" i="26"/>
  <c r="W38" i="26"/>
  <c r="W37" i="25"/>
  <c r="W38" i="25"/>
  <c r="AD18" i="25"/>
  <c r="C19" i="19"/>
  <c r="D9" i="19"/>
  <c r="D14" i="19"/>
  <c r="M4" i="2"/>
  <c r="C14" i="19"/>
  <c r="L4" i="2"/>
  <c r="D22" i="35"/>
  <c r="S4" i="34"/>
  <c r="D17" i="35"/>
  <c r="K18" i="34"/>
  <c r="C22" i="35"/>
  <c r="C17" i="35"/>
  <c r="J18" i="34"/>
  <c r="J27" i="34"/>
  <c r="C14" i="18"/>
  <c r="D20" i="31"/>
  <c r="M24" i="2"/>
  <c r="D17" i="31"/>
  <c r="E24" i="2"/>
  <c r="C20" i="31"/>
  <c r="C17" i="31"/>
  <c r="C14" i="30"/>
  <c r="C17" i="30"/>
  <c r="C19" i="30"/>
  <c r="D9" i="30"/>
  <c r="D14" i="30"/>
  <c r="D20" i="30"/>
  <c r="D20" i="29"/>
  <c r="D17" i="29"/>
  <c r="C20" i="29"/>
  <c r="C17" i="29"/>
  <c r="D9" i="27"/>
  <c r="D14" i="27"/>
  <c r="C19" i="27"/>
  <c r="C14" i="27"/>
  <c r="C14" i="26"/>
  <c r="C19" i="26"/>
  <c r="D9" i="26"/>
  <c r="D14" i="26"/>
  <c r="W52" i="25"/>
  <c r="K5" i="2"/>
  <c r="N5" i="2"/>
  <c r="N4" i="2"/>
  <c r="M13" i="2"/>
  <c r="M27" i="2"/>
  <c r="R27" i="2"/>
  <c r="O4" i="2"/>
  <c r="P4" i="2"/>
  <c r="L13" i="2"/>
  <c r="C20" i="19"/>
  <c r="C17" i="19"/>
  <c r="D18" i="2"/>
  <c r="D27" i="2"/>
  <c r="D20" i="19"/>
  <c r="D17" i="19"/>
  <c r="E18" i="2"/>
  <c r="K25" i="2"/>
  <c r="N25" i="2"/>
  <c r="O24" i="2"/>
  <c r="P24" i="2"/>
  <c r="N24" i="2"/>
  <c r="R24" i="2"/>
  <c r="C25" i="2"/>
  <c r="F25" i="2"/>
  <c r="G24" i="2"/>
  <c r="H24" i="2"/>
  <c r="F24" i="2"/>
  <c r="C23" i="35"/>
  <c r="R18" i="34"/>
  <c r="W18" i="34"/>
  <c r="D23" i="35"/>
  <c r="S18" i="34"/>
  <c r="I19" i="34"/>
  <c r="L19" i="34"/>
  <c r="L18" i="34"/>
  <c r="K27" i="34"/>
  <c r="M27" i="34"/>
  <c r="N27" i="34"/>
  <c r="M18" i="34"/>
  <c r="N18" i="34"/>
  <c r="W27" i="34"/>
  <c r="U4" i="34"/>
  <c r="V4" i="34"/>
  <c r="S13" i="34"/>
  <c r="Q5" i="34"/>
  <c r="T5" i="34"/>
  <c r="X18" i="34"/>
  <c r="T4" i="34"/>
  <c r="D17" i="30"/>
  <c r="C20" i="30"/>
  <c r="C20" i="27"/>
  <c r="C17" i="27"/>
  <c r="D20" i="27"/>
  <c r="D17" i="27"/>
  <c r="D20" i="26"/>
  <c r="D17" i="26"/>
  <c r="C20" i="26"/>
  <c r="C17" i="26"/>
  <c r="C9" i="25"/>
  <c r="F18" i="2"/>
  <c r="E27" i="2"/>
  <c r="G27" i="2"/>
  <c r="H27" i="2"/>
  <c r="C19" i="2"/>
  <c r="F19" i="2"/>
  <c r="G18" i="2"/>
  <c r="H18" i="2"/>
  <c r="O18" i="2"/>
  <c r="P18" i="2"/>
  <c r="K19" i="2"/>
  <c r="N19" i="2"/>
  <c r="N18" i="2"/>
  <c r="L27" i="2"/>
  <c r="O13" i="2"/>
  <c r="P13" i="2"/>
  <c r="Q19" i="34"/>
  <c r="T19" i="34"/>
  <c r="T18" i="34"/>
  <c r="U18" i="34"/>
  <c r="V18" i="34"/>
  <c r="U13" i="34"/>
  <c r="V13" i="34"/>
  <c r="S27" i="34"/>
  <c r="O27" i="2"/>
  <c r="P27" i="2"/>
  <c r="Q27" i="2"/>
  <c r="C19" i="25"/>
  <c r="C14" i="25"/>
  <c r="D9" i="25"/>
  <c r="D14" i="25"/>
  <c r="X27" i="34"/>
  <c r="U27" i="34"/>
  <c r="V27" i="34"/>
  <c r="C20" i="25"/>
  <c r="C17" i="25"/>
  <c r="D20" i="25"/>
  <c r="D17" i="25"/>
  <c r="W66" i="18"/>
  <c r="Y40" i="18"/>
  <c r="Y46" i="18"/>
  <c r="V66" i="18"/>
  <c r="AD3" i="18"/>
  <c r="P44" i="18"/>
  <c r="F82" i="18"/>
  <c r="P41" i="18"/>
  <c r="F79" i="18"/>
  <c r="P35" i="18"/>
  <c r="F73" i="18"/>
  <c r="P59" i="18"/>
  <c r="F97" i="18"/>
  <c r="P38" i="18"/>
  <c r="F76" i="18"/>
  <c r="P60" i="18"/>
  <c r="F98" i="18"/>
  <c r="P40" i="18"/>
  <c r="F78" i="18"/>
  <c r="P57" i="18"/>
  <c r="F95" i="18"/>
  <c r="P30" i="18"/>
  <c r="F68" i="18"/>
  <c r="P43" i="18"/>
  <c r="F81" i="18"/>
  <c r="P49" i="18"/>
  <c r="F87" i="18"/>
  <c r="P39" i="18"/>
  <c r="F77" i="18"/>
  <c r="P42" i="18"/>
  <c r="F80" i="18"/>
  <c r="P45" i="18"/>
  <c r="F83" i="18"/>
  <c r="P48" i="18"/>
  <c r="F86" i="18"/>
  <c r="P51" i="18"/>
  <c r="F89" i="18"/>
  <c r="P54" i="18"/>
  <c r="F92" i="18"/>
  <c r="P27" i="18"/>
  <c r="P29" i="18"/>
  <c r="F67" i="18"/>
  <c r="P46" i="18"/>
  <c r="F84" i="18"/>
  <c r="P55" i="18"/>
  <c r="F93" i="18"/>
  <c r="P28" i="18"/>
  <c r="F66" i="18"/>
  <c r="P34" i="18"/>
  <c r="F72" i="18"/>
  <c r="P56" i="18"/>
  <c r="F94" i="18"/>
  <c r="P53" i="18"/>
  <c r="F91" i="18"/>
  <c r="P52" i="18"/>
  <c r="F90" i="18"/>
  <c r="P32" i="18"/>
  <c r="F70" i="18"/>
  <c r="P50" i="18"/>
  <c r="F88" i="18"/>
  <c r="P33" i="18"/>
  <c r="F71" i="18"/>
  <c r="P36" i="18"/>
  <c r="F74" i="18"/>
  <c r="P58" i="18"/>
  <c r="F96" i="18"/>
  <c r="P61" i="18"/>
  <c r="F99" i="18"/>
  <c r="P31" i="18"/>
  <c r="F69" i="18"/>
  <c r="P47" i="18"/>
  <c r="F85" i="18"/>
  <c r="P37" i="18"/>
  <c r="F75" i="18"/>
  <c r="AI3" i="18"/>
  <c r="AI9" i="18"/>
  <c r="C6" i="18"/>
  <c r="C8" i="18"/>
  <c r="C20" i="18"/>
  <c r="C17" i="18"/>
  <c r="C19" i="18"/>
  <c r="F65" i="18"/>
  <c r="D6" i="18"/>
  <c r="D8" i="18"/>
  <c r="D17" i="18"/>
  <c r="D19" i="18"/>
  <c r="D20" i="18"/>
  <c r="U2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tc={05C037B6-4AFC-7349-9968-8630E11E0FAD}</author>
  </authors>
  <commentList>
    <comment ref="AL12" authorId="0" shapeId="0" xr:uid="{05C037B6-4AFC-7349-9968-8630E11E0FAD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tc={D30E98F0-0113-0642-87C7-A369751D9E48}</author>
    <author>tc={731425BF-741D-F148-B6DD-0286A8568C63}</author>
    <author>tc={6933B4E7-E637-B649-8B1F-13209BFCF976}</author>
  </authors>
  <commentList>
    <comment ref="AL12" authorId="0" shapeId="0" xr:uid="{D30E98F0-0113-0642-87C7-A369751D9E48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  <comment ref="AQ18" authorId="1" shapeId="0" xr:uid="{731425BF-741D-F148-B6DD-0286A8568C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COMPRAN 21, SE HACEN 17 A DOBLE CARA </t>
      </text>
    </comment>
    <comment ref="AQ20" authorId="2" shapeId="0" xr:uid="{6933B4E7-E637-B649-8B1F-13209BFCF976}">
      <text>
        <t>[Threaded comment]
Your version of Excel allows you to read this threaded comment; however, any edits to it will get removed if the file is opened in a newer version of Excel. Learn more: https://go.microsoft.com/fwlink/?linkid=870924
Comment:
    +1 DE PETER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tc={C717E17E-BCF8-DB40-9F55-9D882D578797}</author>
    <author>tc={1325F4C5-113F-304D-AB86-64019C3DE21D}</author>
  </authors>
  <commentList>
    <comment ref="AL12" authorId="0" shapeId="0" xr:uid="{C717E17E-BCF8-DB40-9F55-9D882D578797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  <comment ref="AL94" authorId="1" shapeId="0" xr:uid="{1325F4C5-113F-304D-AB86-64019C3DE21D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tc={9D20E395-AF41-4B43-ADB9-FCBC124C3F0D}</author>
    <author>tc={D24802AA-2221-2D4D-84DA-0FF3280EF224}</author>
    <author>tc={2CD92027-7C5D-5044-9632-C4BD2EFCF860}</author>
  </authors>
  <commentList>
    <comment ref="AL12" authorId="0" shapeId="0" xr:uid="{9D20E395-AF41-4B43-ADB9-FCBC124C3F0D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  <comment ref="BC16" authorId="1" shapeId="0" xr:uid="{D24802AA-2221-2D4D-84DA-0FF3280EF22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FALLO DE WORDANS HAY +1</t>
      </text>
    </comment>
    <comment ref="BD18" authorId="2" shapeId="0" xr:uid="{2CD92027-7C5D-5044-9632-C4BD2EFCF860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FALLO DE WORDANS HAY +1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tc={863A658A-3AB8-0C4F-807D-DF60A8C3632E}</author>
  </authors>
  <commentList>
    <comment ref="P19" authorId="0" shapeId="0" xr:uid="{863A658A-3AB8-0C4F-807D-DF60A8C3632E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tc={F29A548E-A5C9-1549-9A41-67D366254C59}</author>
  </authors>
  <commentList>
    <comment ref="AL26" authorId="0" shapeId="0" xr:uid="{F29A548E-A5C9-1549-9A41-67D366254C59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tc={7EE54911-2EB7-A845-8B57-8A7EB5D00FED}</author>
  </authors>
  <commentList>
    <comment ref="M11" authorId="0" shapeId="0" xr:uid="{7EE54911-2EB7-A845-8B57-8A7EB5D00FED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 MAS
- 2€ NEGRO
- 3€ BLANCO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<sst xmlns="http://schemas.openxmlformats.org/spreadsheetml/2006/main" count="3658" uniqueCount="484">
  <si>
    <t>CLIENTES</t>
  </si>
  <si>
    <t>CLIENTE</t>
  </si>
  <si>
    <t>TALLA 2</t>
  </si>
  <si>
    <t>TALLA</t>
  </si>
  <si>
    <t>UNIDADES</t>
  </si>
  <si>
    <t>INGRESO</t>
  </si>
  <si>
    <t>DROP</t>
  </si>
  <si>
    <t>AGO</t>
  </si>
  <si>
    <t>Etiquetas de fila</t>
  </si>
  <si>
    <t>Suma de INGRESO</t>
  </si>
  <si>
    <t>Suma de UNIDADES</t>
  </si>
  <si>
    <t>ALEX DELCAUX</t>
  </si>
  <si>
    <t>PETER</t>
  </si>
  <si>
    <t>L</t>
  </si>
  <si>
    <t>ALEX GARCIA</t>
  </si>
  <si>
    <t>A33 X NO ART</t>
  </si>
  <si>
    <t>M</t>
  </si>
  <si>
    <t>ALVARO GOMEZ</t>
  </si>
  <si>
    <t>DROP 1</t>
  </si>
  <si>
    <t>M, L</t>
  </si>
  <si>
    <t>ALVARO NISTAL</t>
  </si>
  <si>
    <t>DROP 2</t>
  </si>
  <si>
    <t>Total general</t>
  </si>
  <si>
    <t>ALVARO PEREZ</t>
  </si>
  <si>
    <t>DROP 3</t>
  </si>
  <si>
    <t>AMIGO ANGEL</t>
  </si>
  <si>
    <t>DROP 4</t>
  </si>
  <si>
    <t>ANA AMIGA JACO</t>
  </si>
  <si>
    <t>DROP 5</t>
  </si>
  <si>
    <t>ANGEL AMIGO JACO</t>
  </si>
  <si>
    <t>SUMMER DROP</t>
  </si>
  <si>
    <t>JAIME BUSTAMANTE</t>
  </si>
  <si>
    <t>ASTARLOA</t>
  </si>
  <si>
    <t>MUÑOZ</t>
  </si>
  <si>
    <t>BARALLOBRE</t>
  </si>
  <si>
    <t>JUANTO</t>
  </si>
  <si>
    <t>BARTA</t>
  </si>
  <si>
    <t>NICO RUIZ</t>
  </si>
  <si>
    <t>BRUNITO</t>
  </si>
  <si>
    <t>CAMACHO</t>
  </si>
  <si>
    <t>VINTED</t>
  </si>
  <si>
    <t>CANALES</t>
  </si>
  <si>
    <t>CHORVO</t>
  </si>
  <si>
    <t>CANDELA</t>
  </si>
  <si>
    <t>NACHO PEREZ</t>
  </si>
  <si>
    <t>CANTERO</t>
  </si>
  <si>
    <t>DOMINGUEZ</t>
  </si>
  <si>
    <t>CARLOTA DEL OLMO</t>
  </si>
  <si>
    <t>CASAPE</t>
  </si>
  <si>
    <t>CARMEN</t>
  </si>
  <si>
    <t>QUINTANA</t>
  </si>
  <si>
    <t>CASADO</t>
  </si>
  <si>
    <t>PUIG AMIGO JACO</t>
  </si>
  <si>
    <t>JUANMA</t>
  </si>
  <si>
    <t>CHIARRI</t>
  </si>
  <si>
    <t>JORGE PUIG</t>
  </si>
  <si>
    <t>CRIS ARTEAGA</t>
  </si>
  <si>
    <t>LUIS CANADA</t>
  </si>
  <si>
    <t>CUERVO</t>
  </si>
  <si>
    <t>IÑIGO</t>
  </si>
  <si>
    <t>DIEGO AMIGO JACO</t>
  </si>
  <si>
    <t>RUBINI</t>
  </si>
  <si>
    <t>DIEGUITO</t>
  </si>
  <si>
    <t>FORMARIZ</t>
  </si>
  <si>
    <t>DIRECTOR AMIGO JACO</t>
  </si>
  <si>
    <t>IAGO AMIGO JACO</t>
  </si>
  <si>
    <t>FELIX</t>
  </si>
  <si>
    <t>TITO</t>
  </si>
  <si>
    <t>GA</t>
  </si>
  <si>
    <t>GABRIEL</t>
  </si>
  <si>
    <t>JAIME MILL</t>
  </si>
  <si>
    <t>GENOVEVA</t>
  </si>
  <si>
    <t>MONICA AMIGA JACO</t>
  </si>
  <si>
    <t>JOSE AMIGO JACO</t>
  </si>
  <si>
    <t>JAIME RAMIREZ</t>
  </si>
  <si>
    <t>JAIME X</t>
  </si>
  <si>
    <t>JORGE CALVO</t>
  </si>
  <si>
    <t>PUPI</t>
  </si>
  <si>
    <t>WEITERS</t>
  </si>
  <si>
    <t>JP</t>
  </si>
  <si>
    <t>NACHO BENITO</t>
  </si>
  <si>
    <t>LAURA PUIG</t>
  </si>
  <si>
    <t>LUCAS MARTINEZ</t>
  </si>
  <si>
    <t>MARIO MIRON</t>
  </si>
  <si>
    <t>NATHAN</t>
  </si>
  <si>
    <t>MARQUINA</t>
  </si>
  <si>
    <t>MMEDRANO</t>
  </si>
  <si>
    <t>VICTOR PUJOL</t>
  </si>
  <si>
    <t>NICO DIAMANTO</t>
  </si>
  <si>
    <t>RODRI AMIGO JACO</t>
  </si>
  <si>
    <t>RITXI AMIGO JACO</t>
  </si>
  <si>
    <t>SAMUEL</t>
  </si>
  <si>
    <t>SESE</t>
  </si>
  <si>
    <t xml:space="preserve">SANDRO ROCCI </t>
  </si>
  <si>
    <t>SEANFUL</t>
  </si>
  <si>
    <t>SUAREZ</t>
  </si>
  <si>
    <t>TOMAS ACHA</t>
  </si>
  <si>
    <t>INVERSION</t>
  </si>
  <si>
    <t>INGRESOS</t>
  </si>
  <si>
    <t>GASTOS</t>
  </si>
  <si>
    <t>COSTES GENERALES</t>
  </si>
  <si>
    <t xml:space="preserve"> €/UND</t>
  </si>
  <si>
    <t>IVA</t>
  </si>
  <si>
    <t xml:space="preserve"> € PER UND</t>
  </si>
  <si>
    <t>DROP ANTERIOR</t>
  </si>
  <si>
    <t>PRESUPUESTO</t>
  </si>
  <si>
    <t>%VAR D/A</t>
  </si>
  <si>
    <t>%PPTO</t>
  </si>
  <si>
    <t>Packaging</t>
  </si>
  <si>
    <t>Etiquetas</t>
  </si>
  <si>
    <t>BENEFICIO</t>
  </si>
  <si>
    <t>COR</t>
  </si>
  <si>
    <t>SERIGRAFIA TOTAL</t>
  </si>
  <si>
    <t>TOTAL</t>
  </si>
  <si>
    <t>COR%</t>
  </si>
  <si>
    <t>DROP X</t>
  </si>
  <si>
    <t>BLANKS 1</t>
  </si>
  <si>
    <t xml:space="preserve"> UND€</t>
  </si>
  <si>
    <t>XL</t>
  </si>
  <si>
    <t>EXTRA</t>
  </si>
  <si>
    <t>INGRESOS FINALES</t>
  </si>
  <si>
    <t>PRECIO</t>
  </si>
  <si>
    <t>PPTO</t>
  </si>
  <si>
    <t>REAL</t>
  </si>
  <si>
    <t>Otros ingresos</t>
  </si>
  <si>
    <t>TOTAL INGRESOS</t>
  </si>
  <si>
    <t>Gasto Blanks 1</t>
  </si>
  <si>
    <t>INGRESOS TOTALES FINALES</t>
  </si>
  <si>
    <t>Gasto Serigrafia</t>
  </si>
  <si>
    <t>Envio</t>
  </si>
  <si>
    <t>Otros gastos</t>
  </si>
  <si>
    <t>TOTAL EXTRAS</t>
  </si>
  <si>
    <t>BLANKS TOTAL</t>
  </si>
  <si>
    <t>TOTAL GASTOS</t>
  </si>
  <si>
    <t>BLANKS 2</t>
  </si>
  <si>
    <t>RATIO DE BLANKS</t>
  </si>
  <si>
    <t>SOLD</t>
  </si>
  <si>
    <t>STOCK</t>
  </si>
  <si>
    <t>NOMBRE</t>
  </si>
  <si>
    <t>FECHA</t>
  </si>
  <si>
    <t>COSTE TOTAL BLANKS</t>
  </si>
  <si>
    <t>SERIGRAFIA</t>
  </si>
  <si>
    <t>INGRESOS TOTALES</t>
  </si>
  <si>
    <t>GON JACO</t>
  </si>
  <si>
    <t>COSTE</t>
  </si>
  <si>
    <t>COSTE TOTAL</t>
  </si>
  <si>
    <t>COSTE POR UND</t>
  </si>
  <si>
    <t>BLANKS</t>
  </si>
  <si>
    <t>BENEFICIO POR UND</t>
  </si>
  <si>
    <t>MARGEN</t>
  </si>
  <si>
    <t>A33</t>
  </si>
  <si>
    <t>TOPUP</t>
  </si>
  <si>
    <t>Current</t>
  </si>
  <si>
    <t>A33: 1 SUDAPA GRIS D1 (PETER)</t>
  </si>
  <si>
    <t>COMPRA RUE PORTER</t>
  </si>
  <si>
    <t>COMPRA WORDANS PRUEBA</t>
  </si>
  <si>
    <t>COMPRA PRUEBA STUDIOS TC</t>
  </si>
  <si>
    <t>A33: 1 CAMI MADRID D1 (LUISAN)</t>
  </si>
  <si>
    <t>COMPRA WORDANS</t>
  </si>
  <si>
    <t>TASAS RUE PORTER</t>
  </si>
  <si>
    <t>COMPRA MOOJI MOOJI</t>
  </si>
  <si>
    <t>DEVOLUCION A STUDIOS TC</t>
  </si>
  <si>
    <t>A33: 1 SUDAPA Y 1 CAMI (JAIME BUST)</t>
  </si>
  <si>
    <t>COMPRA DORTEX</t>
  </si>
  <si>
    <t>A33: 1 BALACLAVA L Y SKULL L (PETER)</t>
  </si>
  <si>
    <t>TASAS MOOJI MOOJI (PAGADO POR MAMA)</t>
  </si>
  <si>
    <t>REEMBOLSO DE STUDIOS TC</t>
  </si>
  <si>
    <t>A33: CAMI VERDE Y BLANCA Y SUDAPA (JAIME$) Y SUDAPA (LUISAN)</t>
  </si>
  <si>
    <t>AÑADE DINERO PARA SERIGRAFIA</t>
  </si>
  <si>
    <t>A33: 3 SAND XL (JUANMA, MUÑOZ Y PETER) 1 RUSA XL (PETER)</t>
  </si>
  <si>
    <t>A33: 1 BALACLAVA L (JP)</t>
  </si>
  <si>
    <t>DEVOLUCION RUE PORTER</t>
  </si>
  <si>
    <t>COMPRA WEEKDAY</t>
  </si>
  <si>
    <t>A33: SUDAPA (QUINTANA)</t>
  </si>
  <si>
    <t>A33: 1 RUSA XL (PETER)</t>
  </si>
  <si>
    <t>A33: 2 BALACLAVA M (PUPI, LUIS CAN) SKULL XL (SESE)</t>
  </si>
  <si>
    <t>A33: CREW N L (CASAPE), CAMI XL (JAIME RAMIEZ)</t>
  </si>
  <si>
    <t>A33: SUDAPA GRIS (GENO)</t>
  </si>
  <si>
    <t>APPLE PAY</t>
  </si>
  <si>
    <t>A33: 1 SAND L y 1 RUSA L (Nico)</t>
  </si>
  <si>
    <t>A33: 2 BALACLAVA L (Muñoz)</t>
  </si>
  <si>
    <t xml:space="preserve">COMPRA CAMISETAS FUTBOL </t>
  </si>
  <si>
    <t>COMPRA VELOUR GARMETS</t>
  </si>
  <si>
    <t>A33: 3 SUDAPAS 1 CAMI BLANCA (MUÑOZ) Y SUDAPA GRIS (AMIGA GENO)</t>
  </si>
  <si>
    <t>COMPRA PEGATINAS</t>
  </si>
  <si>
    <t>A33: 1 RUSA XL (ASTARLOA)</t>
  </si>
  <si>
    <t>A33: 1 BALACLAVA M  (Dominguez), 2 SKULL ML (N.Per y N.Ben)</t>
  </si>
  <si>
    <t>A33: MOOJI L (CARMEN)</t>
  </si>
  <si>
    <t>COMPRA STUDIOS TC</t>
  </si>
  <si>
    <t>A33: 1 SUDAPA, 3 CAMIS BLANCAS, 3 CAMIS VERDES (AMIGOS JACO)</t>
  </si>
  <si>
    <t>A33: CAMI TIRO L Y CAMI PIVA L (DOMINGEZ)</t>
  </si>
  <si>
    <t>A33: 1 MANOS XL (RUBINI)</t>
  </si>
  <si>
    <t>A33: 1 BALACLAVA L (C.Chorvo), 2 SKULL ML (C.chorv y cuervo)</t>
  </si>
  <si>
    <t>A33: FUTBOL XL (PETER)</t>
  </si>
  <si>
    <t>A33: CREW N M, CAMI L (PETER)</t>
  </si>
  <si>
    <t>CARD_PAYMENT</t>
  </si>
  <si>
    <t>A33: 1 SUDAPA TIRO D1 (PETER)</t>
  </si>
  <si>
    <t>A33: CAMI TIRO M (PETER)</t>
  </si>
  <si>
    <t>A33: 3 RUSAS L Y 1 XL (PUIG,JUANTO,BRABUS,DOMING), 1 MANOS L (JUANTO)</t>
  </si>
  <si>
    <t>A33: REVOLUTION L (IÑIGO)</t>
  </si>
  <si>
    <t>A33: CREW M L (LAURA), CREW N M (IAGO)</t>
  </si>
  <si>
    <t>A33: 1 SUDAPA CARA D1 (AMIGO JAIME)</t>
  </si>
  <si>
    <t>A33: EFECTIVO Y OTRO</t>
  </si>
  <si>
    <t>A33: 1 MANOS L (CHORBO)</t>
  </si>
  <si>
    <t>A33: 1 BALACLAVA M (Nistal), 2 SKULL ML (Juanto, Barallobre)</t>
  </si>
  <si>
    <t>A33: FUTBOL XL (ALEX DELCLAUX)</t>
  </si>
  <si>
    <t>A33: OTRO</t>
  </si>
  <si>
    <t>A33: 1 RUSA L (DIRECTOR)</t>
  </si>
  <si>
    <t>A33: 1 BALACLAVA M (GABRIEL)</t>
  </si>
  <si>
    <t>A33: FUTBOL XL (IAGO) REVOLUTION L (TITO)</t>
  </si>
  <si>
    <t>A33: 2 CREW N M (nico y juli), CAMI ML (Nico y weister)</t>
  </si>
  <si>
    <t>A33: SUDAPA M, CAMI MARRON M (PUIG)</t>
  </si>
  <si>
    <t>A33: 1 RUSA L (NACHO), RUSA XL MANOS XL (JOSE)</t>
  </si>
  <si>
    <t>A33: 1 BALACLAVA M (nathan)</t>
  </si>
  <si>
    <t>A33: REVOLUTION M (BRUNO)</t>
  </si>
  <si>
    <t>A33: 4 CAMI 3L 1M (FELIX, TITO, CASADO Y FORMAS)</t>
  </si>
  <si>
    <t>A33: 1 RUSA L Y XL (CASADO Y BARALLOBRE), MANOS L Y XL (IAGO Y BARALLOBRE)</t>
  </si>
  <si>
    <t>A33: 2 BALACLAVA M y L (Zorrila y Dani cris arte)</t>
  </si>
  <si>
    <t>A33: 2 REVOLUTION M Y L (JORDI Y PETER)</t>
  </si>
  <si>
    <t>A33: 2 CAMI L(PUPI y rubini) y SUDAPA M L (RUBAS)</t>
  </si>
  <si>
    <t>TRANSFER</t>
  </si>
  <si>
    <t>A33: SUDAPA M (FORMARIZ)</t>
  </si>
  <si>
    <t xml:space="preserve">A33: 1 MANOS L (JORDI) </t>
  </si>
  <si>
    <t>A33: 1 BALACLAVA L (JAIME), SKULL M (JAIME)</t>
  </si>
  <si>
    <t>A33: 1 FUTBOL L (SAMUEL)</t>
  </si>
  <si>
    <t>A33: 2 CAMI L(MONICA Y CAMA) y SUDAPA M M (ANNA)</t>
  </si>
  <si>
    <t>A33: SUDAPA L (STRIPE)</t>
  </si>
  <si>
    <t xml:space="preserve">A33: 1 MANOS XL Y RUSA XL (IÑIGO) </t>
  </si>
  <si>
    <t>A33: 1 BALACLAVA M (BRUNO)</t>
  </si>
  <si>
    <t>A33: 1 FUTBOL L (VICTOR)</t>
  </si>
  <si>
    <t>A33: 2 CAMI XL(MUÑOZ) y SUDAPA N M (CHIARRI)</t>
  </si>
  <si>
    <t>A33: CAMI MARRON L (MUÑOZ)</t>
  </si>
  <si>
    <t xml:space="preserve">A33: 1 MANOS L  (BRUNO) </t>
  </si>
  <si>
    <t>A33: 1 BALACLAVA L (BARALLOBRE)</t>
  </si>
  <si>
    <t>A33: 1 FUTBOL L (VINTED)</t>
  </si>
  <si>
    <t>A33: CAMI L (QUINTANA)</t>
  </si>
  <si>
    <t>A33: FUTBOL XL (VINTED)</t>
  </si>
  <si>
    <t>A33: SUDAPA N M (luisan)</t>
  </si>
  <si>
    <t>A33: CAMI TIRO L (RODRI)</t>
  </si>
  <si>
    <t>A33: CAMI L (JUANMA)</t>
  </si>
  <si>
    <t>A33: 1 SUDAPA OJOS L (TITO)</t>
  </si>
  <si>
    <t>A33: CAMI M y XL (NACHO.P Y MARQUINA)</t>
  </si>
  <si>
    <t>A33: SUDAPA L (ALVARO NISTAL)</t>
  </si>
  <si>
    <t>A33: CAMI M y sudapa M (CHORVO)</t>
  </si>
  <si>
    <t>A33: SUDAPA L (MARIO MIRON)</t>
  </si>
  <si>
    <t>A33: CAMI L (BARALLOBRE)</t>
  </si>
  <si>
    <t>A33: SUDAPA M (CHIARRI)</t>
  </si>
  <si>
    <t>A33: SUDAPA L M (RITXI)</t>
  </si>
  <si>
    <t>A33: SUDAPA M (AMIGO MUÑOZ)</t>
  </si>
  <si>
    <t>A33: VINTED</t>
  </si>
  <si>
    <t>A33: 2 CAMI TIRO M Y L, 2 CAMI PIVA M (JAIME Y AMIGO)</t>
  </si>
  <si>
    <t>A33: SUDAPA OJOS L (IÑIGO)</t>
  </si>
  <si>
    <t>A33: CAMI TIRO M (NICO)</t>
  </si>
  <si>
    <t>A33: CAMI TIRO M (BARTA)</t>
  </si>
  <si>
    <t>A33: CAMI TIRO L (QUINTANA)</t>
  </si>
  <si>
    <t>A33: CAMI MARRON L , CAMI TIRO M (CASAPE, SANZ = DEUDA JACO)</t>
  </si>
  <si>
    <t>EXCHANGE</t>
  </si>
  <si>
    <t>CARD_REFUND</t>
  </si>
  <si>
    <t>A33: 1 FUTBOL XL (JAIME BUSTAMANTE)</t>
  </si>
  <si>
    <t>A33: CAMI XL y sudapa NEGRA XL (JAIME BUSTAMANTE)</t>
  </si>
  <si>
    <t>A33: GRAF L Y BRAILE L (DOMINGUEZ)</t>
  </si>
  <si>
    <t>MIRILLA</t>
  </si>
  <si>
    <t>CARA</t>
  </si>
  <si>
    <t>AIRLINE</t>
  </si>
  <si>
    <t>MADRID</t>
  </si>
  <si>
    <t>HOODIES</t>
  </si>
  <si>
    <t>TEES</t>
  </si>
  <si>
    <t>CREWNECK</t>
  </si>
  <si>
    <t>TOTAL RUE PORTER $</t>
  </si>
  <si>
    <t>TOTAL RUE PORTER €</t>
  </si>
  <si>
    <t>ENVIO</t>
  </si>
  <si>
    <t>CANTIDAD</t>
  </si>
  <si>
    <t>COBRO</t>
  </si>
  <si>
    <t>PRICE $</t>
  </si>
  <si>
    <t>PRICE €</t>
  </si>
  <si>
    <t>UNITS</t>
  </si>
  <si>
    <t>TOTAL $</t>
  </si>
  <si>
    <t>TOTAL €</t>
  </si>
  <si>
    <t>RUE PORTER</t>
  </si>
  <si>
    <t>BLACK</t>
  </si>
  <si>
    <t>PAYMENT</t>
  </si>
  <si>
    <t>CASH</t>
  </si>
  <si>
    <t>CREDIT</t>
  </si>
  <si>
    <t>VINTAGE BLACK</t>
  </si>
  <si>
    <t>JAIME RICO</t>
  </si>
  <si>
    <t>120€ EFECTIVO</t>
  </si>
  <si>
    <t>REVOLUT</t>
  </si>
  <si>
    <t>ETIQUETAS</t>
  </si>
  <si>
    <t>GARMENT DYED</t>
  </si>
  <si>
    <t>105€ TARJETA</t>
  </si>
  <si>
    <t>HEATHER GREY</t>
  </si>
  <si>
    <t>50€ EFECTVO + 30€ TARJETA</t>
  </si>
  <si>
    <t>PER UNIT</t>
  </si>
  <si>
    <t>PRICE</t>
  </si>
  <si>
    <t>WHITE</t>
  </si>
  <si>
    <t>TOTAL FINAL</t>
  </si>
  <si>
    <t>JAIME BUST</t>
  </si>
  <si>
    <t>80€ TARJETA</t>
  </si>
  <si>
    <t>VINTAGE BROWN</t>
  </si>
  <si>
    <t>55€ TARJETA</t>
  </si>
  <si>
    <t>CAMEL</t>
  </si>
  <si>
    <t>195€ + ENVIO TARJETA</t>
  </si>
  <si>
    <t>KHAKI</t>
  </si>
  <si>
    <t>PUIG</t>
  </si>
  <si>
    <t>30€ EFECTIVO</t>
  </si>
  <si>
    <t>SAND</t>
  </si>
  <si>
    <t>CREAM</t>
  </si>
  <si>
    <t>PINK DUST</t>
  </si>
  <si>
    <t>COST PER UNIT</t>
  </si>
  <si>
    <t>GON Y JACO</t>
  </si>
  <si>
    <t>PASTEL BLUE</t>
  </si>
  <si>
    <t>JUANPA</t>
  </si>
  <si>
    <t>55€ EFECTIVO</t>
  </si>
  <si>
    <t>BLANK</t>
  </si>
  <si>
    <t xml:space="preserve">COST </t>
  </si>
  <si>
    <t>SAGE PURPLE</t>
  </si>
  <si>
    <t>DIEGO</t>
  </si>
  <si>
    <t>ORANGE</t>
  </si>
  <si>
    <t>FOREST GREEN</t>
  </si>
  <si>
    <t>GREEN</t>
  </si>
  <si>
    <t>GENO</t>
  </si>
  <si>
    <t>20€ EFECTIVO + 20€ TARJETA</t>
  </si>
  <si>
    <t>40€ TARJETA</t>
  </si>
  <si>
    <t>LONGSLEEVE</t>
  </si>
  <si>
    <t>SWEATPANTS</t>
  </si>
  <si>
    <t>SHORT SWEATPANTS</t>
  </si>
  <si>
    <t>AMIGO JAIME</t>
  </si>
  <si>
    <t>32€ TARJETA</t>
  </si>
  <si>
    <t>PROFFIT PER UNIT</t>
  </si>
  <si>
    <t>SALE</t>
  </si>
  <si>
    <t>COST</t>
  </si>
  <si>
    <t>PROFIT</t>
  </si>
  <si>
    <t>P.MARGIN</t>
  </si>
  <si>
    <t>Publicidad</t>
  </si>
  <si>
    <t>INGRESOS FINALES CON %</t>
  </si>
  <si>
    <t>OJOS</t>
  </si>
  <si>
    <t>SEÑORA</t>
  </si>
  <si>
    <t>CALAVERA</t>
  </si>
  <si>
    <t>ANGEL</t>
  </si>
  <si>
    <t>78€ EFECTIVO</t>
  </si>
  <si>
    <t>63€ EFECTIVO</t>
  </si>
  <si>
    <t>BOLSAS</t>
  </si>
  <si>
    <t>29€ EFECTIVO</t>
  </si>
  <si>
    <t>PEGATINAS</t>
  </si>
  <si>
    <t>63€ TARJETA</t>
  </si>
  <si>
    <t>PUBLICIDAD</t>
  </si>
  <si>
    <t>49€ TARJETA</t>
  </si>
  <si>
    <t>NACHO</t>
  </si>
  <si>
    <t>34€ EFECTIVO</t>
  </si>
  <si>
    <t>34€ TARJETA</t>
  </si>
  <si>
    <t>29€ TARJETA</t>
  </si>
  <si>
    <t>78€ TARJETA</t>
  </si>
  <si>
    <t>52,7€ STRIPE</t>
  </si>
  <si>
    <t>54,3€ STRIPE</t>
  </si>
  <si>
    <t>AMIGO MUÑOZ</t>
  </si>
  <si>
    <t>RODRI</t>
  </si>
  <si>
    <t>MIRON</t>
  </si>
  <si>
    <t>39€ TARJETA</t>
  </si>
  <si>
    <t>27€ TARJETA</t>
  </si>
  <si>
    <t>ALVARO (@alvaroonistal)</t>
  </si>
  <si>
    <t>BALTHAZAR (Paris)</t>
  </si>
  <si>
    <t>25€ VINTED</t>
  </si>
  <si>
    <t>TITOUAN</t>
  </si>
  <si>
    <t>JUST.JEANNE</t>
  </si>
  <si>
    <t>23€ VINTED</t>
  </si>
  <si>
    <t>% DISCOUNT %</t>
  </si>
  <si>
    <t>JAIME</t>
  </si>
  <si>
    <t>30€ EFECTIVO + 20€ TARJETA</t>
  </si>
  <si>
    <t>50€ TARJETA</t>
  </si>
  <si>
    <t>25€ TARJETA</t>
  </si>
  <si>
    <t>RUSA</t>
  </si>
  <si>
    <t>MANOS</t>
  </si>
  <si>
    <t xml:space="preserve">CABEZA </t>
  </si>
  <si>
    <t>PANTALLAS</t>
  </si>
  <si>
    <t>REVOLUTION 33</t>
  </si>
  <si>
    <t>FUTBOL</t>
  </si>
  <si>
    <t>CHOCOLATE</t>
  </si>
  <si>
    <t>OLIVE</t>
  </si>
  <si>
    <t>BRAILE</t>
  </si>
  <si>
    <t>GRAFITTI</t>
  </si>
  <si>
    <t>Blanco</t>
  </si>
  <si>
    <t>Negro</t>
  </si>
  <si>
    <t>RATIO DE SERIGRAFIA</t>
  </si>
  <si>
    <t>RATIO DE OTROS GASTOS</t>
  </si>
  <si>
    <t xml:space="preserve">70€ TARJETA </t>
  </si>
  <si>
    <t>35€ TARJETA</t>
  </si>
  <si>
    <t>CABEZA</t>
  </si>
  <si>
    <t>COLEGA DE CHORBO</t>
  </si>
  <si>
    <t>NISTAL</t>
  </si>
  <si>
    <t>NOVIO CRISARTEAGA</t>
  </si>
  <si>
    <t>PROFFIT</t>
  </si>
  <si>
    <t>BRUNO</t>
  </si>
  <si>
    <t>BLANCA</t>
  </si>
  <si>
    <t>KAKI</t>
  </si>
  <si>
    <t>NOART</t>
  </si>
  <si>
    <t>2XL</t>
  </si>
  <si>
    <t>TEE 1-11 UNIT</t>
  </si>
  <si>
    <t>TEE 12-35 UNIT</t>
  </si>
  <si>
    <t>TOTAL WORDANS $</t>
  </si>
  <si>
    <t>TOTAL WORDANS €</t>
  </si>
  <si>
    <t>WORDANS</t>
  </si>
  <si>
    <t>GI5000 - CHARCOAL</t>
  </si>
  <si>
    <t>GI5000 - ARENA</t>
  </si>
  <si>
    <t>19€ TARJETA</t>
  </si>
  <si>
    <t>38€ TARJETA</t>
  </si>
  <si>
    <t>19€ EFECTIVO</t>
  </si>
  <si>
    <t>NICO</t>
  </si>
  <si>
    <t>Insta (@NICODIAMANTO)</t>
  </si>
  <si>
    <t>CHORBO</t>
  </si>
  <si>
    <t>DIRECTOR</t>
  </si>
  <si>
    <t>JOSE</t>
  </si>
  <si>
    <t>38€ EFECTIVO</t>
  </si>
  <si>
    <t>BARLLOBRE</t>
  </si>
  <si>
    <t>IAGO</t>
  </si>
  <si>
    <t>JORDI</t>
  </si>
  <si>
    <t xml:space="preserve">IÑIGO </t>
  </si>
  <si>
    <t>38€ VINTED</t>
  </si>
  <si>
    <t>HOODIE</t>
  </si>
  <si>
    <t>TOTAL FUTBOL $</t>
  </si>
  <si>
    <t>TOTAL FUTBOL €</t>
  </si>
  <si>
    <t>CLASSIC HOODIE - AGED GREY</t>
  </si>
  <si>
    <t>MOOJI MOOJI</t>
  </si>
  <si>
    <t>KARMENTXU</t>
  </si>
  <si>
    <t>69€ TARJETA</t>
  </si>
  <si>
    <t>TOTAL MOOJI MOOJI $</t>
  </si>
  <si>
    <t>TOTAL MOOJI MOOJI €</t>
  </si>
  <si>
    <t xml:space="preserve">36€  Y 60€ TARJETA </t>
  </si>
  <si>
    <t>ALEX DELCLAUX</t>
  </si>
  <si>
    <t>33€ TARJETA</t>
  </si>
  <si>
    <t>30€ TARJETA</t>
  </si>
  <si>
    <t>VICTOR</t>
  </si>
  <si>
    <t>SEANAFFUL</t>
  </si>
  <si>
    <t>CAMA</t>
  </si>
  <si>
    <t>26€ TRAJETA</t>
  </si>
  <si>
    <r>
      <t>HOODIES (</t>
    </r>
    <r>
      <rPr>
        <sz val="22"/>
        <color rgb="FFFF0000"/>
        <rFont val="Calibri (Cuerpo)"/>
      </rPr>
      <t>5-19</t>
    </r>
    <r>
      <rPr>
        <sz val="22"/>
        <color theme="1"/>
        <rFont val="Calibri"/>
        <family val="2"/>
        <scheme val="minor"/>
      </rPr>
      <t>)</t>
    </r>
  </si>
  <si>
    <r>
      <t>TEES (</t>
    </r>
    <r>
      <rPr>
        <sz val="22"/>
        <color rgb="FFFF0000"/>
        <rFont val="Calibri (Cuerpo)"/>
      </rPr>
      <t>5-19</t>
    </r>
    <r>
      <rPr>
        <sz val="22"/>
        <color theme="1"/>
        <rFont val="Calibri"/>
        <family val="2"/>
        <scheme val="minor"/>
      </rPr>
      <t>)</t>
    </r>
  </si>
  <si>
    <r>
      <t>CREWNECK (</t>
    </r>
    <r>
      <rPr>
        <sz val="22"/>
        <color rgb="FFFF0000"/>
        <rFont val="Calibri (Cuerpo)"/>
      </rPr>
      <t>5-19</t>
    </r>
    <r>
      <rPr>
        <sz val="22"/>
        <color theme="1"/>
        <rFont val="Calibri"/>
        <family val="2"/>
        <scheme val="minor"/>
      </rPr>
      <t>)</t>
    </r>
  </si>
  <si>
    <t>TOTAL STUDIOS TC €</t>
  </si>
  <si>
    <t>TOTAL VELOUR €</t>
  </si>
  <si>
    <t>OLIVE GREEN</t>
  </si>
  <si>
    <t>44€ TARJETA</t>
  </si>
  <si>
    <t>BLUE</t>
  </si>
  <si>
    <t>LAURA</t>
  </si>
  <si>
    <t>DARK GREEN</t>
  </si>
  <si>
    <t>BABY BLUE</t>
  </si>
  <si>
    <t>DIEGITO</t>
  </si>
  <si>
    <t>WEISTER</t>
  </si>
  <si>
    <t>MINT</t>
  </si>
  <si>
    <t>76€ TARJETA</t>
  </si>
  <si>
    <t>ANA</t>
  </si>
  <si>
    <t>MONICA</t>
  </si>
  <si>
    <t xml:space="preserve"> </t>
  </si>
  <si>
    <r>
      <t>HOODIES (</t>
    </r>
    <r>
      <rPr>
        <sz val="22"/>
        <color rgb="FFFF0000"/>
        <rFont val="Calibri (Cuerpo)"/>
      </rPr>
      <t>5-25</t>
    </r>
    <r>
      <rPr>
        <sz val="22"/>
        <color theme="1"/>
        <rFont val="Calibri"/>
        <family val="2"/>
        <scheme val="minor"/>
      </rPr>
      <t>)</t>
    </r>
  </si>
  <si>
    <r>
      <t>TEES (</t>
    </r>
    <r>
      <rPr>
        <sz val="22"/>
        <color rgb="FFFF0000"/>
        <rFont val="Calibri (Cuerpo)"/>
      </rPr>
      <t>5-25</t>
    </r>
    <r>
      <rPr>
        <sz val="22"/>
        <color theme="1"/>
        <rFont val="Calibri"/>
        <family val="2"/>
        <scheme val="minor"/>
      </rPr>
      <t>)</t>
    </r>
  </si>
  <si>
    <r>
      <t>CREWNECK (</t>
    </r>
    <r>
      <rPr>
        <sz val="22"/>
        <color rgb="FFFF0000"/>
        <rFont val="Calibri (Cuerpo)"/>
      </rPr>
      <t>5-25</t>
    </r>
    <r>
      <rPr>
        <sz val="22"/>
        <color theme="1"/>
        <rFont val="Calibri"/>
        <family val="2"/>
        <scheme val="minor"/>
      </rPr>
      <t>)</t>
    </r>
  </si>
  <si>
    <t>RITXI</t>
  </si>
  <si>
    <t>24€ VINTED</t>
  </si>
  <si>
    <t>BRUNO Y JACO</t>
  </si>
  <si>
    <t>PEREZ</t>
  </si>
  <si>
    <t>YO</t>
  </si>
  <si>
    <t>comprado</t>
  </si>
  <si>
    <r>
      <t>TEES (</t>
    </r>
    <r>
      <rPr>
        <sz val="22"/>
        <color rgb="FFFF0000"/>
        <rFont val="Calibri"/>
        <family val="2"/>
        <scheme val="minor"/>
      </rPr>
      <t>20</t>
    </r>
    <r>
      <rPr>
        <sz val="22"/>
        <color rgb="FFFF0000"/>
        <rFont val="Calibri (Cuerpo)"/>
      </rPr>
      <t>-49</t>
    </r>
    <r>
      <rPr>
        <sz val="22"/>
        <color theme="1"/>
        <rFont val="Calibri"/>
        <family val="2"/>
        <scheme val="minor"/>
      </rPr>
      <t>)</t>
    </r>
  </si>
  <si>
    <t>66€ TARJETA</t>
  </si>
  <si>
    <t>TURISTAS (Millones)</t>
  </si>
  <si>
    <t>RESPECTO 2022 (%)</t>
  </si>
  <si>
    <t>EUROS (Millones de €)</t>
  </si>
  <si>
    <t>RESPECTO 2019 (%)</t>
  </si>
  <si>
    <t>REINO UNIDO</t>
  </si>
  <si>
    <t>JUAN BARALLOBRE</t>
  </si>
  <si>
    <t>FRANCIA</t>
  </si>
  <si>
    <t>ALEMANIA</t>
  </si>
  <si>
    <t>EEUU</t>
  </si>
  <si>
    <t>FORMAS</t>
  </si>
  <si>
    <t>GRAFITI</t>
  </si>
  <si>
    <t>CCAA</t>
  </si>
  <si>
    <t>CATALUÑA</t>
  </si>
  <si>
    <t>ISLAS BALEARES</t>
  </si>
  <si>
    <t>ISLAS CANARIAS</t>
  </si>
  <si>
    <t>VALENCIA</t>
  </si>
  <si>
    <t>GON PUIG</t>
  </si>
  <si>
    <t>ANDALUCÍA</t>
  </si>
  <si>
    <t>A GOMEZ</t>
  </si>
  <si>
    <t xml:space="preserve">SUAREZ </t>
  </si>
  <si>
    <t>SANDRO ROCCI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</si>
</sst>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C0A]_-;\-* #,##0.00\ [$€-C0A]_-;_-* &quot;-&quot;??\ [$€-C0A]_-;_-@_-"/>
    <numFmt numFmtId="165" formatCode="_-[$$-409]* #,##0.00_ ;_-[$$-409]* \-#,##0.00\ ;_-[$$-409]* &quot;-&quot;??_ ;_-@_ "/>
    <numFmt numFmtId="166" formatCode="[$-F800]dddd\,\ mmmm\ dd\,\ yyyy"/>
    <numFmt numFmtId="167" formatCode="_-* #,##0_-;\-* #,##0_-;_-* &quot;-&quot;??_-;_-@_-"/>
    <numFmt numFmtId="168" formatCode="0.0%"/>
    <numFmt numFmtId="169" formatCode="_-* #,##0.0\ &quot;€&quot;_-;\-* #,##0.0\ &quot;€&quot;_-;_-* &quot;-&quot;??\ &quot;€&quot;_-;_-@_-"/>
    <numFmt numFmtId="170" formatCode="_-* #,##0\ &quot;€&quot;_-;\-* #,##0\ &quot;€&quot;_-;_-* &quot;-&quot;??\ &quot;€&quot;_-;_-@_-"/>
  </numFmts>
  <fonts count="3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5.5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5.5"/>
      <color theme="1"/>
      <name val="Calibri"/>
      <family val="2"/>
      <scheme val="minor"/>
    </font>
    <font>
      <sz val="3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2"/>
      <color rgb="FFFF0000"/>
      <name val="Calibri (Cuerpo)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2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B79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CA4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FFDA"/>
        <bgColor indexed="64"/>
      </patternFill>
    </fill>
    <fill>
      <patternFill patternType="solid">
        <fgColor rgb="FFFEB5C7"/>
        <bgColor indexed="64"/>
      </patternFill>
    </fill>
    <fill>
      <patternFill patternType="solid">
        <fgColor rgb="FFD78D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6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3A06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28C5D"/>
        <bgColor indexed="64"/>
      </patternFill>
    </fill>
    <fill>
      <patternFill patternType="solid">
        <fgColor rgb="FFA9E3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B"/>
        <bgColor indexed="64"/>
      </patternFill>
    </fill>
    <fill>
      <patternFill patternType="solid">
        <fgColor rgb="FFE7FFE1"/>
        <bgColor indexed="64"/>
      </patternFill>
    </fill>
    <fill>
      <patternFill patternType="solid">
        <fgColor rgb="FFC6DBC3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medium">
        <color theme="1"/>
      </bottom>
      <diagonal/>
    </border>
    <border>
      <left style="dashed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/>
      <right/>
      <top style="medium">
        <color rgb="FF000000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  <border>
      <left/>
      <right style="dashed">
        <color theme="1"/>
      </right>
      <top style="medium">
        <color theme="1"/>
      </top>
      <bottom style="medium">
        <color theme="1"/>
      </bottom>
      <diagonal/>
    </border>
    <border>
      <left/>
      <right style="dashed">
        <color theme="1"/>
      </right>
      <top style="medium">
        <color theme="1"/>
      </top>
      <bottom/>
      <diagonal/>
    </border>
    <border>
      <left/>
      <right style="dashed">
        <color theme="1"/>
      </right>
      <top/>
      <bottom/>
      <diagonal/>
    </border>
    <border>
      <left/>
      <right style="dashed">
        <color theme="1"/>
      </right>
      <top/>
      <bottom style="medium">
        <color theme="1"/>
      </bottom>
      <diagonal/>
    </border>
    <border>
      <left/>
      <right/>
      <top/>
      <bottom style="dashed">
        <color theme="1"/>
      </bottom>
      <diagonal/>
    </border>
    <border>
      <left/>
      <right style="dashed">
        <color theme="1"/>
      </right>
      <top/>
      <bottom style="dashed">
        <color theme="1"/>
      </bottom>
      <diagonal/>
    </border>
    <border>
      <left/>
      <right style="medium">
        <color theme="1"/>
      </right>
      <top/>
      <bottom style="dashed">
        <color theme="1"/>
      </bottom>
      <diagonal/>
    </border>
    <border>
      <left style="medium">
        <color theme="1"/>
      </left>
      <right/>
      <top/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/>
      <top style="dashed">
        <color theme="1"/>
      </top>
      <bottom style="dashed">
        <color theme="1"/>
      </bottom>
      <diagonal/>
    </border>
    <border>
      <left style="medium">
        <color theme="1"/>
      </left>
      <right/>
      <top style="dashed">
        <color theme="1"/>
      </top>
      <bottom style="medium">
        <color theme="1"/>
      </bottom>
      <diagonal/>
    </border>
    <border>
      <left/>
      <right/>
      <top style="dashed">
        <color theme="1"/>
      </top>
      <bottom style="medium">
        <color theme="1"/>
      </bottom>
      <diagonal/>
    </border>
    <border>
      <left style="dashed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dashed">
        <color theme="1"/>
      </left>
      <right/>
      <top/>
      <bottom/>
      <diagonal/>
    </border>
    <border>
      <left style="dashed">
        <color theme="1"/>
      </left>
      <right/>
      <top style="medium">
        <color theme="1"/>
      </top>
      <bottom/>
      <diagonal/>
    </border>
    <border>
      <left style="dashed">
        <color theme="1"/>
      </left>
      <right/>
      <top/>
      <bottom style="medium">
        <color theme="1"/>
      </bottom>
      <diagonal/>
    </border>
    <border>
      <left style="dashed">
        <color theme="1"/>
      </left>
      <right style="dashed">
        <color theme="1"/>
      </right>
      <top/>
      <bottom/>
      <diagonal/>
    </border>
    <border>
      <left style="dashed">
        <color theme="1"/>
      </left>
      <right style="dashed">
        <color theme="1"/>
      </right>
      <top style="medium">
        <color theme="1"/>
      </top>
      <bottom/>
      <diagonal/>
    </border>
    <border>
      <left style="dashed">
        <color theme="1"/>
      </left>
      <right style="dashed">
        <color theme="1"/>
      </right>
      <top/>
      <bottom style="medium">
        <color theme="1"/>
      </bottom>
      <diagonal/>
    </border>
    <border>
      <left/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theme="1"/>
      </left>
      <right style="dashed">
        <color theme="1"/>
      </right>
      <top style="medium">
        <color theme="1"/>
      </top>
      <bottom/>
      <diagonal/>
    </border>
    <border>
      <left style="medium">
        <color theme="1"/>
      </left>
      <right style="dashed">
        <color theme="1"/>
      </right>
      <top/>
      <bottom/>
      <diagonal/>
    </border>
    <border>
      <left style="medium">
        <color theme="1"/>
      </left>
      <right style="dashed">
        <color theme="1"/>
      </right>
      <top/>
      <bottom style="medium">
        <color theme="1"/>
      </bottom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0"/>
      </bottom>
      <diagonal/>
    </border>
    <border>
      <left style="dashed">
        <color theme="1"/>
      </left>
      <right style="dashed">
        <color theme="1"/>
      </right>
      <top style="medium">
        <color theme="0"/>
      </top>
      <bottom/>
      <diagonal/>
    </border>
    <border>
      <left style="dashed">
        <color theme="1"/>
      </left>
      <right style="medium">
        <color theme="1"/>
      </right>
      <top/>
      <bottom/>
      <diagonal/>
    </border>
    <border>
      <left style="dashed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2">
    <xf numFmtId="0" fontId="0" fillId="0" borderId="0" xfId="0"/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/>
    <xf numFmtId="0" fontId="15" fillId="0" borderId="0" xfId="0" applyFont="1"/>
    <xf numFmtId="0" fontId="9" fillId="0" borderId="0" xfId="0" applyFont="1" applyAlignment="1">
      <alignment vertical="center"/>
    </xf>
    <xf numFmtId="164" fontId="0" fillId="0" borderId="0" xfId="0" applyNumberFormat="1"/>
    <xf numFmtId="0" fontId="8" fillId="0" borderId="0" xfId="0" applyFont="1" applyAlignment="1">
      <alignment vertical="center"/>
    </xf>
    <xf numFmtId="15" fontId="0" fillId="0" borderId="0" xfId="0" applyNumberFormat="1"/>
    <xf numFmtId="0" fontId="10" fillId="0" borderId="0" xfId="0" applyFont="1"/>
    <xf numFmtId="0" fontId="3" fillId="0" borderId="0" xfId="0" applyFont="1" applyAlignment="1">
      <alignment vertical="center"/>
    </xf>
    <xf numFmtId="164" fontId="9" fillId="0" borderId="0" xfId="1" applyNumberFormat="1" applyFont="1" applyFill="1" applyBorder="1" applyAlignment="1">
      <alignment vertical="center"/>
    </xf>
    <xf numFmtId="0" fontId="9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9" fillId="0" borderId="0" xfId="2" applyNumberFormat="1" applyFont="1" applyFill="1" applyBorder="1" applyAlignment="1">
      <alignment vertical="center"/>
    </xf>
    <xf numFmtId="164" fontId="9" fillId="0" borderId="0" xfId="2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44" fontId="0" fillId="0" borderId="0" xfId="2" applyFont="1" applyFill="1" applyBorder="1" applyAlignment="1"/>
    <xf numFmtId="44" fontId="0" fillId="0" borderId="0" xfId="2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9" fillId="0" borderId="0" xfId="0" applyFont="1"/>
    <xf numFmtId="0" fontId="18" fillId="0" borderId="0" xfId="0" applyFont="1"/>
    <xf numFmtId="44" fontId="9" fillId="0" borderId="0" xfId="2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5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44" fontId="0" fillId="0" borderId="0" xfId="2" applyFont="1"/>
    <xf numFmtId="44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0" fontId="4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5" fontId="10" fillId="0" borderId="0" xfId="2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44" fontId="0" fillId="0" borderId="0" xfId="2" applyFont="1" applyFill="1" applyBorder="1"/>
    <xf numFmtId="164" fontId="15" fillId="0" borderId="0" xfId="0" applyNumberFormat="1" applyFont="1"/>
    <xf numFmtId="164" fontId="9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 applyAlignment="1">
      <alignment vertical="center"/>
    </xf>
    <xf numFmtId="165" fontId="0" fillId="0" borderId="0" xfId="0" applyNumberFormat="1"/>
    <xf numFmtId="165" fontId="2" fillId="0" borderId="0" xfId="0" applyNumberFormat="1" applyFont="1"/>
    <xf numFmtId="0" fontId="11" fillId="0" borderId="0" xfId="0" applyFont="1"/>
    <xf numFmtId="0" fontId="0" fillId="8" borderId="0" xfId="0" applyFill="1" applyAlignment="1">
      <alignment horizontal="center"/>
    </xf>
    <xf numFmtId="0" fontId="25" fillId="0" borderId="0" xfId="0" applyFont="1" applyAlignment="1">
      <alignment vertical="center"/>
    </xf>
    <xf numFmtId="164" fontId="10" fillId="0" borderId="0" xfId="2" applyNumberFormat="1" applyFont="1" applyFill="1" applyBorder="1" applyAlignment="1">
      <alignment vertical="center"/>
    </xf>
    <xf numFmtId="9" fontId="9" fillId="0" borderId="0" xfId="3" applyFont="1" applyFill="1" applyBorder="1" applyAlignment="1">
      <alignment vertical="center"/>
    </xf>
    <xf numFmtId="9" fontId="0" fillId="0" borderId="0" xfId="3" applyFont="1" applyFill="1"/>
    <xf numFmtId="44" fontId="0" fillId="0" borderId="0" xfId="2" applyFont="1" applyFill="1"/>
    <xf numFmtId="0" fontId="11" fillId="4" borderId="1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2" applyFont="1" applyFill="1" applyBorder="1" applyAlignment="1">
      <alignment horizontal="center"/>
    </xf>
    <xf numFmtId="44" fontId="0" fillId="0" borderId="0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9" fillId="0" borderId="0" xfId="2" applyNumberFormat="1" applyFont="1" applyFill="1" applyBorder="1" applyAlignment="1">
      <alignment horizontal="center" vertical="center"/>
    </xf>
    <xf numFmtId="164" fontId="9" fillId="0" borderId="0" xfId="2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4" fontId="9" fillId="0" borderId="0" xfId="0" applyNumberFormat="1" applyFont="1" applyAlignment="1">
      <alignment horizontal="center" vertical="center"/>
    </xf>
    <xf numFmtId="0" fontId="0" fillId="42" borderId="0" xfId="0" applyFill="1"/>
    <xf numFmtId="0" fontId="0" fillId="25" borderId="0" xfId="0" applyFill="1"/>
    <xf numFmtId="22" fontId="0" fillId="0" borderId="0" xfId="0" applyNumberFormat="1"/>
    <xf numFmtId="44" fontId="26" fillId="0" borderId="0" xfId="2" applyFont="1" applyFill="1" applyAlignment="1">
      <alignment horizontal="left"/>
    </xf>
    <xf numFmtId="0" fontId="26" fillId="0" borderId="0" xfId="0" applyFont="1"/>
    <xf numFmtId="44" fontId="0" fillId="25" borderId="0" xfId="2" applyFont="1" applyFill="1"/>
    <xf numFmtId="44" fontId="0" fillId="42" borderId="0" xfId="2" applyFont="1" applyFill="1"/>
    <xf numFmtId="0" fontId="0" fillId="30" borderId="0" xfId="0" applyFill="1"/>
    <xf numFmtId="44" fontId="0" fillId="30" borderId="0" xfId="2" applyFont="1" applyFill="1"/>
    <xf numFmtId="0" fontId="0" fillId="31" borderId="0" xfId="0" applyFill="1"/>
    <xf numFmtId="44" fontId="0" fillId="31" borderId="0" xfId="2" applyFont="1" applyFill="1"/>
    <xf numFmtId="0" fontId="0" fillId="28" borderId="0" xfId="0" applyFill="1"/>
    <xf numFmtId="44" fontId="0" fillId="28" borderId="0" xfId="2" applyFont="1" applyFill="1"/>
    <xf numFmtId="0" fontId="0" fillId="37" borderId="0" xfId="0" applyFill="1"/>
    <xf numFmtId="44" fontId="0" fillId="37" borderId="0" xfId="2" applyFont="1" applyFill="1"/>
    <xf numFmtId="44" fontId="1" fillId="0" borderId="0" xfId="2" applyFont="1" applyFill="1" applyAlignment="1">
      <alignment horizontal="left"/>
    </xf>
    <xf numFmtId="44" fontId="1" fillId="37" borderId="0" xfId="2" applyFont="1" applyFill="1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15" fontId="0" fillId="0" borderId="0" xfId="0" applyNumberFormat="1" applyAlignment="1">
      <alignment vertical="center"/>
    </xf>
    <xf numFmtId="15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15" fontId="0" fillId="31" borderId="0" xfId="0" applyNumberFormat="1" applyFill="1"/>
    <xf numFmtId="15" fontId="0" fillId="28" borderId="0" xfId="0" applyNumberFormat="1" applyFill="1"/>
    <xf numFmtId="44" fontId="2" fillId="0" borderId="0" xfId="2" applyFont="1" applyFill="1" applyAlignment="1">
      <alignment horizontal="left"/>
    </xf>
    <xf numFmtId="44" fontId="2" fillId="0" borderId="0" xfId="2" applyFont="1" applyFill="1" applyBorder="1" applyAlignment="1">
      <alignment vertical="center"/>
    </xf>
    <xf numFmtId="0" fontId="0" fillId="25" borderId="11" xfId="0" applyFill="1" applyBorder="1" applyAlignment="1">
      <alignment horizontal="center"/>
    </xf>
    <xf numFmtId="44" fontId="2" fillId="0" borderId="11" xfId="2" applyFont="1" applyFill="1" applyBorder="1" applyAlignment="1"/>
    <xf numFmtId="15" fontId="0" fillId="10" borderId="1" xfId="0" applyNumberFormat="1" applyFill="1" applyBorder="1" applyAlignment="1">
      <alignment horizontal="center"/>
    </xf>
    <xf numFmtId="44" fontId="0" fillId="10" borderId="3" xfId="2" applyFont="1" applyFill="1" applyBorder="1" applyAlignment="1"/>
    <xf numFmtId="15" fontId="0" fillId="10" borderId="4" xfId="0" applyNumberFormat="1" applyFill="1" applyBorder="1" applyAlignment="1">
      <alignment horizontal="center"/>
    </xf>
    <xf numFmtId="44" fontId="0" fillId="10" borderId="5" xfId="2" applyFont="1" applyFill="1" applyBorder="1" applyAlignment="1"/>
    <xf numFmtId="15" fontId="0" fillId="10" borderId="6" xfId="0" applyNumberFormat="1" applyFill="1" applyBorder="1" applyAlignment="1">
      <alignment horizontal="center"/>
    </xf>
    <xf numFmtId="44" fontId="0" fillId="10" borderId="8" xfId="2" applyFont="1" applyFill="1" applyBorder="1" applyAlignment="1"/>
    <xf numFmtId="0" fontId="0" fillId="10" borderId="27" xfId="0" applyFill="1" applyBorder="1"/>
    <xf numFmtId="15" fontId="0" fillId="10" borderId="28" xfId="0" applyNumberFormat="1" applyFill="1" applyBorder="1"/>
    <xf numFmtId="0" fontId="0" fillId="10" borderId="28" xfId="0" applyFill="1" applyBorder="1"/>
    <xf numFmtId="15" fontId="0" fillId="10" borderId="29" xfId="0" applyNumberFormat="1" applyFill="1" applyBorder="1"/>
    <xf numFmtId="0" fontId="21" fillId="0" borderId="0" xfId="0" applyFont="1" applyAlignment="1">
      <alignment horizontal="center"/>
    </xf>
    <xf numFmtId="0" fontId="0" fillId="42" borderId="11" xfId="0" applyFill="1" applyBorder="1" applyAlignment="1">
      <alignment horizontal="center"/>
    </xf>
    <xf numFmtId="44" fontId="0" fillId="10" borderId="3" xfId="0" applyNumberFormat="1" applyFill="1" applyBorder="1"/>
    <xf numFmtId="44" fontId="0" fillId="10" borderId="5" xfId="0" applyNumberFormat="1" applyFill="1" applyBorder="1"/>
    <xf numFmtId="44" fontId="0" fillId="10" borderId="5" xfId="2" applyFont="1" applyFill="1" applyBorder="1"/>
    <xf numFmtId="44" fontId="0" fillId="10" borderId="8" xfId="0" applyNumberFormat="1" applyFill="1" applyBorder="1"/>
    <xf numFmtId="44" fontId="2" fillId="0" borderId="11" xfId="0" applyNumberFormat="1" applyFont="1" applyBorder="1"/>
    <xf numFmtId="0" fontId="0" fillId="10" borderId="29" xfId="0" applyFill="1" applyBorder="1"/>
    <xf numFmtId="44" fontId="2" fillId="0" borderId="11" xfId="2" applyFont="1" applyFill="1" applyBorder="1"/>
    <xf numFmtId="15" fontId="0" fillId="10" borderId="27" xfId="0" applyNumberFormat="1" applyFill="1" applyBorder="1"/>
    <xf numFmtId="44" fontId="0" fillId="10" borderId="3" xfId="2" applyFont="1" applyFill="1" applyBorder="1"/>
    <xf numFmtId="44" fontId="0" fillId="10" borderId="8" xfId="2" applyFont="1" applyFill="1" applyBorder="1"/>
    <xf numFmtId="0" fontId="0" fillId="37" borderId="11" xfId="0" applyFill="1" applyBorder="1" applyAlignment="1">
      <alignment horizontal="center"/>
    </xf>
    <xf numFmtId="0" fontId="0" fillId="31" borderId="11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30" borderId="11" xfId="0" applyFill="1" applyBorder="1" applyAlignment="1">
      <alignment horizontal="center"/>
    </xf>
    <xf numFmtId="44" fontId="2" fillId="0" borderId="0" xfId="0" applyNumberFormat="1" applyFont="1"/>
    <xf numFmtId="15" fontId="0" fillId="25" borderId="0" xfId="0" applyNumberFormat="1" applyFill="1"/>
    <xf numFmtId="15" fontId="0" fillId="25" borderId="0" xfId="0" applyNumberFormat="1" applyFill="1" applyAlignment="1">
      <alignment horizontal="center"/>
    </xf>
    <xf numFmtId="44" fontId="0" fillId="0" borderId="11" xfId="2" applyFont="1" applyFill="1" applyBorder="1" applyAlignment="1">
      <alignment horizontal="center"/>
    </xf>
    <xf numFmtId="44" fontId="0" fillId="0" borderId="9" xfId="2" applyFont="1" applyFill="1" applyBorder="1"/>
    <xf numFmtId="44" fontId="0" fillId="0" borderId="12" xfId="2" applyFont="1" applyFill="1" applyBorder="1"/>
    <xf numFmtId="44" fontId="0" fillId="0" borderId="10" xfId="2" applyFont="1" applyFill="1" applyBorder="1"/>
    <xf numFmtId="0" fontId="11" fillId="28" borderId="3" xfId="0" applyFont="1" applyFill="1" applyBorder="1" applyAlignment="1">
      <alignment horizontal="center" vertical="center"/>
    </xf>
    <xf numFmtId="0" fontId="11" fillId="28" borderId="17" xfId="0" applyFont="1" applyFill="1" applyBorder="1" applyAlignment="1">
      <alignment horizontal="center" vertical="center"/>
    </xf>
    <xf numFmtId="0" fontId="11" fillId="28" borderId="20" xfId="0" applyFont="1" applyFill="1" applyBorder="1" applyAlignment="1">
      <alignment horizontal="center" vertical="center"/>
    </xf>
    <xf numFmtId="0" fontId="11" fillId="28" borderId="8" xfId="0" applyFont="1" applyFill="1" applyBorder="1" applyAlignment="1">
      <alignment horizontal="center" vertical="center"/>
    </xf>
    <xf numFmtId="0" fontId="11" fillId="28" borderId="15" xfId="0" applyFont="1" applyFill="1" applyBorder="1" applyAlignment="1">
      <alignment horizontal="center" vertical="center"/>
    </xf>
    <xf numFmtId="0" fontId="11" fillId="28" borderId="24" xfId="0" applyFont="1" applyFill="1" applyBorder="1" applyAlignment="1">
      <alignment horizontal="center" vertical="center"/>
    </xf>
    <xf numFmtId="0" fontId="11" fillId="28" borderId="25" xfId="0" applyFont="1" applyFill="1" applyBorder="1" applyAlignment="1">
      <alignment horizontal="center" vertical="center"/>
    </xf>
    <xf numFmtId="15" fontId="0" fillId="42" borderId="0" xfId="0" applyNumberFormat="1" applyFill="1" applyAlignment="1">
      <alignment horizontal="center"/>
    </xf>
    <xf numFmtId="15" fontId="0" fillId="31" borderId="0" xfId="0" applyNumberFormat="1" applyFill="1" applyAlignment="1">
      <alignment horizontal="center"/>
    </xf>
    <xf numFmtId="15" fontId="0" fillId="37" borderId="0" xfId="0" applyNumberFormat="1" applyFill="1" applyAlignment="1">
      <alignment horizontal="center"/>
    </xf>
    <xf numFmtId="15" fontId="0" fillId="30" borderId="0" xfId="0" applyNumberFormat="1" applyFill="1" applyAlignment="1">
      <alignment horizontal="center"/>
    </xf>
    <xf numFmtId="15" fontId="0" fillId="28" borderId="0" xfId="0" applyNumberFormat="1" applyFill="1" applyAlignment="1">
      <alignment horizontal="center"/>
    </xf>
    <xf numFmtId="15" fontId="0" fillId="37" borderId="0" xfId="0" applyNumberFormat="1" applyFill="1"/>
    <xf numFmtId="0" fontId="11" fillId="10" borderId="17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0" fillId="40" borderId="0" xfId="0" applyFill="1"/>
    <xf numFmtId="15" fontId="0" fillId="40" borderId="0" xfId="0" applyNumberFormat="1" applyFill="1" applyAlignment="1">
      <alignment horizontal="center"/>
    </xf>
    <xf numFmtId="15" fontId="0" fillId="40" borderId="0" xfId="0" applyNumberFormat="1" applyFill="1"/>
    <xf numFmtId="44" fontId="1" fillId="40" borderId="0" xfId="2" applyFont="1" applyFill="1" applyAlignment="1">
      <alignment horizontal="left"/>
    </xf>
    <xf numFmtId="15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40" borderId="11" xfId="0" applyFill="1" applyBorder="1" applyAlignment="1">
      <alignment horizontal="center"/>
    </xf>
    <xf numFmtId="15" fontId="0" fillId="10" borderId="1" xfId="0" applyNumberFormat="1" applyFill="1" applyBorder="1" applyAlignment="1">
      <alignment horizontal="left"/>
    </xf>
    <xf numFmtId="0" fontId="0" fillId="10" borderId="30" xfId="0" applyFill="1" applyBorder="1" applyAlignment="1">
      <alignment horizontal="left"/>
    </xf>
    <xf numFmtId="15" fontId="0" fillId="10" borderId="30" xfId="0" applyNumberFormat="1" applyFill="1" applyBorder="1" applyAlignment="1">
      <alignment horizontal="left"/>
    </xf>
    <xf numFmtId="0" fontId="0" fillId="10" borderId="31" xfId="0" applyFill="1" applyBorder="1" applyAlignment="1">
      <alignment horizontal="left"/>
    </xf>
    <xf numFmtId="44" fontId="0" fillId="10" borderId="9" xfId="0" applyNumberFormat="1" applyFill="1" applyBorder="1" applyAlignment="1">
      <alignment horizontal="center"/>
    </xf>
    <xf numFmtId="44" fontId="0" fillId="10" borderId="12" xfId="2" applyFont="1" applyFill="1" applyBorder="1"/>
    <xf numFmtId="44" fontId="0" fillId="10" borderId="10" xfId="2" applyFont="1" applyFill="1" applyBorder="1"/>
    <xf numFmtId="15" fontId="0" fillId="10" borderId="4" xfId="0" applyNumberFormat="1" applyFill="1" applyBorder="1" applyAlignment="1">
      <alignment horizontal="left"/>
    </xf>
    <xf numFmtId="44" fontId="2" fillId="0" borderId="10" xfId="2" applyFont="1" applyFill="1" applyBorder="1"/>
    <xf numFmtId="44" fontId="0" fillId="10" borderId="12" xfId="0" applyNumberFormat="1" applyFill="1" applyBorder="1" applyAlignment="1">
      <alignment horizontal="center"/>
    </xf>
    <xf numFmtId="44" fontId="0" fillId="0" borderId="12" xfId="0" applyNumberFormat="1" applyBorder="1"/>
    <xf numFmtId="44" fontId="0" fillId="40" borderId="0" xfId="2" applyFont="1" applyFill="1"/>
    <xf numFmtId="10" fontId="0" fillId="0" borderId="0" xfId="0" applyNumberFormat="1"/>
    <xf numFmtId="9" fontId="0" fillId="0" borderId="0" xfId="0" applyNumberFormat="1"/>
    <xf numFmtId="0" fontId="0" fillId="43" borderId="0" xfId="0" applyFill="1"/>
    <xf numFmtId="0" fontId="0" fillId="29" borderId="0" xfId="0" applyFill="1"/>
    <xf numFmtId="0" fontId="0" fillId="0" borderId="0" xfId="0" applyAlignment="1">
      <alignment horizontal="left"/>
    </xf>
    <xf numFmtId="168" fontId="0" fillId="0" borderId="0" xfId="3" applyNumberFormat="1" applyFont="1"/>
    <xf numFmtId="168" fontId="0" fillId="0" borderId="0" xfId="3" applyNumberFormat="1" applyFont="1" applyAlignment="1">
      <alignment horizontal="center"/>
    </xf>
    <xf numFmtId="0" fontId="26" fillId="0" borderId="0" xfId="0" applyFont="1" applyAlignment="1">
      <alignment horizontal="center"/>
    </xf>
    <xf numFmtId="169" fontId="0" fillId="0" borderId="0" xfId="0" applyNumberFormat="1"/>
    <xf numFmtId="0" fontId="26" fillId="0" borderId="32" xfId="0" applyFont="1" applyBorder="1" applyAlignment="1">
      <alignment horizontal="center"/>
    </xf>
    <xf numFmtId="0" fontId="26" fillId="8" borderId="34" xfId="0" applyFont="1" applyFill="1" applyBorder="1" applyAlignment="1">
      <alignment horizontal="center"/>
    </xf>
    <xf numFmtId="0" fontId="26" fillId="8" borderId="35" xfId="0" applyFont="1" applyFill="1" applyBorder="1" applyAlignment="1">
      <alignment horizontal="center"/>
    </xf>
    <xf numFmtId="168" fontId="0" fillId="0" borderId="17" xfId="3" applyNumberFormat="1" applyFont="1" applyBorder="1" applyAlignment="1">
      <alignment horizontal="center"/>
    </xf>
    <xf numFmtId="168" fontId="0" fillId="0" borderId="20" xfId="3" applyNumberFormat="1" applyFont="1" applyBorder="1" applyAlignment="1">
      <alignment horizontal="center"/>
    </xf>
    <xf numFmtId="0" fontId="26" fillId="8" borderId="36" xfId="0" applyFont="1" applyFill="1" applyBorder="1"/>
    <xf numFmtId="44" fontId="26" fillId="8" borderId="37" xfId="0" applyNumberFormat="1" applyFont="1" applyFill="1" applyBorder="1"/>
    <xf numFmtId="170" fontId="26" fillId="8" borderId="37" xfId="0" applyNumberFormat="1" applyFont="1" applyFill="1" applyBorder="1"/>
    <xf numFmtId="168" fontId="26" fillId="8" borderId="37" xfId="3" applyNumberFormat="1" applyFont="1" applyFill="1" applyBorder="1" applyAlignment="1">
      <alignment horizontal="center"/>
    </xf>
    <xf numFmtId="168" fontId="26" fillId="8" borderId="38" xfId="3" applyNumberFormat="1" applyFont="1" applyFill="1" applyBorder="1" applyAlignment="1">
      <alignment horizontal="center"/>
    </xf>
    <xf numFmtId="0" fontId="26" fillId="8" borderId="39" xfId="0" applyFont="1" applyFill="1" applyBorder="1" applyAlignment="1">
      <alignment horizontal="center"/>
    </xf>
    <xf numFmtId="44" fontId="26" fillId="8" borderId="40" xfId="2" applyFont="1" applyFill="1" applyBorder="1" applyAlignment="1">
      <alignment horizontal="center"/>
    </xf>
    <xf numFmtId="0" fontId="26" fillId="8" borderId="40" xfId="0" applyFont="1" applyFill="1" applyBorder="1" applyAlignment="1">
      <alignment horizontal="center"/>
    </xf>
    <xf numFmtId="0" fontId="26" fillId="8" borderId="41" xfId="0" applyFont="1" applyFill="1" applyBorder="1" applyAlignment="1">
      <alignment horizontal="center"/>
    </xf>
    <xf numFmtId="170" fontId="0" fillId="0" borderId="42" xfId="2" applyNumberFormat="1" applyFont="1" applyBorder="1" applyAlignment="1">
      <alignment horizontal="center"/>
    </xf>
    <xf numFmtId="168" fontId="0" fillId="0" borderId="42" xfId="3" applyNumberFormat="1" applyFont="1" applyBorder="1" applyAlignment="1">
      <alignment horizontal="center"/>
    </xf>
    <xf numFmtId="169" fontId="0" fillId="0" borderId="42" xfId="2" applyNumberFormat="1" applyFont="1" applyBorder="1" applyAlignment="1">
      <alignment horizontal="center"/>
    </xf>
    <xf numFmtId="0" fontId="0" fillId="0" borderId="43" xfId="0" applyBorder="1" applyAlignment="1">
      <alignment horizontal="left"/>
    </xf>
    <xf numFmtId="169" fontId="0" fillId="0" borderId="44" xfId="2" applyNumberFormat="1" applyFont="1" applyBorder="1" applyAlignment="1">
      <alignment horizontal="center"/>
    </xf>
    <xf numFmtId="168" fontId="0" fillId="0" borderId="44" xfId="3" applyNumberFormat="1" applyFont="1" applyBorder="1" applyAlignment="1">
      <alignment horizontal="center"/>
    </xf>
    <xf numFmtId="168" fontId="0" fillId="0" borderId="45" xfId="3" applyNumberFormat="1" applyFont="1" applyBorder="1" applyAlignment="1">
      <alignment horizontal="center"/>
    </xf>
    <xf numFmtId="0" fontId="0" fillId="0" borderId="46" xfId="0" applyBorder="1" applyAlignment="1">
      <alignment horizontal="left"/>
    </xf>
    <xf numFmtId="168" fontId="0" fillId="0" borderId="47" xfId="3" applyNumberFormat="1" applyFont="1" applyBorder="1" applyAlignment="1">
      <alignment horizontal="center"/>
    </xf>
    <xf numFmtId="170" fontId="0" fillId="0" borderId="44" xfId="2" applyNumberFormat="1" applyFont="1" applyBorder="1" applyAlignment="1">
      <alignment horizontal="center"/>
    </xf>
    <xf numFmtId="0" fontId="0" fillId="44" borderId="46" xfId="0" applyFill="1" applyBorder="1" applyAlignment="1">
      <alignment horizontal="left"/>
    </xf>
    <xf numFmtId="170" fontId="0" fillId="44" borderId="42" xfId="2" applyNumberFormat="1" applyFont="1" applyFill="1" applyBorder="1" applyAlignment="1">
      <alignment horizontal="center"/>
    </xf>
    <xf numFmtId="168" fontId="0" fillId="44" borderId="42" xfId="3" applyNumberFormat="1" applyFont="1" applyFill="1" applyBorder="1" applyAlignment="1">
      <alignment horizontal="center"/>
    </xf>
    <xf numFmtId="168" fontId="0" fillId="44" borderId="47" xfId="3" applyNumberFormat="1" applyFont="1" applyFill="1" applyBorder="1" applyAlignment="1">
      <alignment horizontal="center"/>
    </xf>
    <xf numFmtId="169" fontId="0" fillId="44" borderId="42" xfId="2" applyNumberFormat="1" applyFont="1" applyFill="1" applyBorder="1" applyAlignment="1">
      <alignment horizontal="center"/>
    </xf>
    <xf numFmtId="169" fontId="26" fillId="8" borderId="37" xfId="0" applyNumberFormat="1" applyFont="1" applyFill="1" applyBorder="1"/>
    <xf numFmtId="0" fontId="0" fillId="44" borderId="48" xfId="0" applyFill="1" applyBorder="1" applyAlignment="1">
      <alignment horizontal="left"/>
    </xf>
    <xf numFmtId="170" fontId="0" fillId="44" borderId="49" xfId="2" applyNumberFormat="1" applyFont="1" applyFill="1" applyBorder="1" applyAlignment="1">
      <alignment horizontal="center"/>
    </xf>
    <xf numFmtId="168" fontId="0" fillId="44" borderId="49" xfId="3" applyNumberFormat="1" applyFont="1" applyFill="1" applyBorder="1" applyAlignment="1">
      <alignment horizontal="center"/>
    </xf>
    <xf numFmtId="168" fontId="0" fillId="44" borderId="50" xfId="3" applyNumberFormat="1" applyFont="1" applyFill="1" applyBorder="1" applyAlignment="1">
      <alignment horizontal="center"/>
    </xf>
    <xf numFmtId="169" fontId="0" fillId="44" borderId="49" xfId="2" applyNumberFormat="1" applyFont="1" applyFill="1" applyBorder="1" applyAlignment="1">
      <alignment horizontal="center"/>
    </xf>
    <xf numFmtId="167" fontId="0" fillId="0" borderId="44" xfId="1" applyNumberFormat="1" applyFont="1" applyBorder="1" applyAlignment="1">
      <alignment horizontal="center"/>
    </xf>
    <xf numFmtId="167" fontId="0" fillId="44" borderId="42" xfId="1" applyNumberFormat="1" applyFont="1" applyFill="1" applyBorder="1" applyAlignment="1">
      <alignment horizontal="center"/>
    </xf>
    <xf numFmtId="167" fontId="0" fillId="0" borderId="42" xfId="1" applyNumberFormat="1" applyFont="1" applyBorder="1" applyAlignment="1">
      <alignment horizontal="center"/>
    </xf>
    <xf numFmtId="167" fontId="0" fillId="44" borderId="49" xfId="1" applyNumberFormat="1" applyFont="1" applyFill="1" applyBorder="1" applyAlignment="1">
      <alignment horizontal="center"/>
    </xf>
    <xf numFmtId="167" fontId="0" fillId="0" borderId="0" xfId="1" applyNumberFormat="1" applyFont="1"/>
    <xf numFmtId="167" fontId="26" fillId="8" borderId="37" xfId="1" applyNumberFormat="1" applyFont="1" applyFill="1" applyBorder="1"/>
    <xf numFmtId="168" fontId="26" fillId="8" borderId="37" xfId="3" applyNumberFormat="1" applyFont="1" applyFill="1" applyBorder="1"/>
    <xf numFmtId="168" fontId="0" fillId="0" borderId="42" xfId="3" applyNumberFormat="1" applyFont="1" applyFill="1" applyBorder="1" applyAlignment="1">
      <alignment horizontal="center"/>
    </xf>
    <xf numFmtId="168" fontId="0" fillId="0" borderId="47" xfId="3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7" xfId="0" applyBorder="1"/>
    <xf numFmtId="0" fontId="0" fillId="0" borderId="20" xfId="0" applyBorder="1"/>
    <xf numFmtId="0" fontId="0" fillId="0" borderId="55" xfId="0" applyBorder="1"/>
    <xf numFmtId="0" fontId="0" fillId="0" borderId="56" xfId="0" applyBorder="1"/>
    <xf numFmtId="0" fontId="26" fillId="8" borderId="37" xfId="0" applyFont="1" applyFill="1" applyBorder="1"/>
    <xf numFmtId="44" fontId="0" fillId="0" borderId="15" xfId="2" applyFont="1" applyBorder="1"/>
    <xf numFmtId="44" fontId="0" fillId="0" borderId="17" xfId="2" applyFont="1" applyBorder="1"/>
    <xf numFmtId="44" fontId="0" fillId="0" borderId="20" xfId="2" applyFont="1" applyBorder="1"/>
    <xf numFmtId="169" fontId="0" fillId="0" borderId="55" xfId="2" applyNumberFormat="1" applyFont="1" applyBorder="1"/>
    <xf numFmtId="169" fontId="0" fillId="0" borderId="59" xfId="2" applyNumberFormat="1" applyFont="1" applyBorder="1"/>
    <xf numFmtId="169" fontId="0" fillId="0" borderId="60" xfId="2" applyNumberFormat="1" applyFont="1" applyBorder="1"/>
    <xf numFmtId="169" fontId="0" fillId="44" borderId="62" xfId="2" applyNumberFormat="1" applyFont="1" applyFill="1" applyBorder="1"/>
    <xf numFmtId="169" fontId="0" fillId="44" borderId="63" xfId="2" applyNumberFormat="1" applyFont="1" applyFill="1" applyBorder="1"/>
    <xf numFmtId="169" fontId="0" fillId="0" borderId="56" xfId="2" applyNumberFormat="1" applyFont="1" applyBorder="1"/>
    <xf numFmtId="169" fontId="0" fillId="0" borderId="17" xfId="2" applyNumberFormat="1" applyFont="1" applyBorder="1"/>
    <xf numFmtId="169" fontId="0" fillId="0" borderId="57" xfId="2" applyNumberFormat="1" applyFont="1" applyBorder="1"/>
    <xf numFmtId="169" fontId="0" fillId="0" borderId="20" xfId="2" applyNumberFormat="1" applyFont="1" applyBorder="1"/>
    <xf numFmtId="169" fontId="26" fillId="8" borderId="54" xfId="2" applyNumberFormat="1" applyFont="1" applyFill="1" applyBorder="1"/>
    <xf numFmtId="169" fontId="26" fillId="8" borderId="67" xfId="2" applyNumberFormat="1" applyFont="1" applyFill="1" applyBorder="1"/>
    <xf numFmtId="169" fontId="0" fillId="10" borderId="55" xfId="2" applyNumberFormat="1" applyFont="1" applyFill="1" applyBorder="1"/>
    <xf numFmtId="169" fontId="0" fillId="0" borderId="55" xfId="2" applyNumberFormat="1" applyFont="1" applyFill="1" applyBorder="1"/>
    <xf numFmtId="169" fontId="0" fillId="0" borderId="15" xfId="2" applyNumberFormat="1" applyFont="1" applyFill="1" applyBorder="1"/>
    <xf numFmtId="169" fontId="0" fillId="0" borderId="59" xfId="2" applyNumberFormat="1" applyFont="1" applyFill="1" applyBorder="1"/>
    <xf numFmtId="169" fontId="0" fillId="0" borderId="60" xfId="2" applyNumberFormat="1" applyFont="1" applyFill="1" applyBorder="1"/>
    <xf numFmtId="0" fontId="2" fillId="0" borderId="13" xfId="0" applyFont="1" applyBorder="1"/>
    <xf numFmtId="0" fontId="32" fillId="0" borderId="61" xfId="0" applyFont="1" applyBorder="1" applyAlignment="1">
      <alignment horizontal="left" indent="2"/>
    </xf>
    <xf numFmtId="0" fontId="32" fillId="0" borderId="16" xfId="0" applyFont="1" applyBorder="1" applyAlignment="1">
      <alignment horizontal="left" indent="2"/>
    </xf>
    <xf numFmtId="0" fontId="2" fillId="44" borderId="64" xfId="0" applyFont="1" applyFill="1" applyBorder="1"/>
    <xf numFmtId="0" fontId="0" fillId="0" borderId="65" xfId="0" applyBorder="1"/>
    <xf numFmtId="0" fontId="30" fillId="8" borderId="36" xfId="0" applyFont="1" applyFill="1" applyBorder="1" applyAlignment="1">
      <alignment horizontal="left"/>
    </xf>
    <xf numFmtId="43" fontId="29" fillId="0" borderId="0" xfId="1" applyFont="1"/>
    <xf numFmtId="0" fontId="0" fillId="0" borderId="13" xfId="0" applyBorder="1"/>
    <xf numFmtId="0" fontId="0" fillId="0" borderId="16" xfId="0" applyBorder="1"/>
    <xf numFmtId="0" fontId="0" fillId="0" borderId="18" xfId="0" applyBorder="1"/>
    <xf numFmtId="0" fontId="26" fillId="8" borderId="36" xfId="0" applyFont="1" applyFill="1" applyBorder="1" applyAlignment="1">
      <alignment horizontal="center"/>
    </xf>
    <xf numFmtId="0" fontId="26" fillId="8" borderId="37" xfId="0" applyFont="1" applyFill="1" applyBorder="1" applyAlignment="1">
      <alignment horizontal="center"/>
    </xf>
    <xf numFmtId="0" fontId="26" fillId="8" borderId="38" xfId="0" applyFont="1" applyFill="1" applyBorder="1" applyAlignment="1">
      <alignment horizontal="center"/>
    </xf>
    <xf numFmtId="0" fontId="26" fillId="8" borderId="14" xfId="0" applyFont="1" applyFill="1" applyBorder="1" applyAlignment="1">
      <alignment horizontal="center"/>
    </xf>
    <xf numFmtId="0" fontId="0" fillId="0" borderId="68" xfId="0" applyBorder="1"/>
    <xf numFmtId="0" fontId="26" fillId="8" borderId="13" xfId="0" applyFont="1" applyFill="1" applyBorder="1" applyAlignment="1">
      <alignment horizontal="center"/>
    </xf>
    <xf numFmtId="0" fontId="0" fillId="0" borderId="69" xfId="0" applyBorder="1"/>
    <xf numFmtId="43" fontId="0" fillId="0" borderId="70" xfId="1" applyFont="1" applyBorder="1"/>
    <xf numFmtId="43" fontId="0" fillId="0" borderId="57" xfId="1" applyFont="1" applyBorder="1"/>
    <xf numFmtId="43" fontId="0" fillId="0" borderId="20" xfId="1" applyFont="1" applyBorder="1"/>
    <xf numFmtId="167" fontId="0" fillId="0" borderId="70" xfId="1" applyNumberFormat="1" applyFont="1" applyBorder="1"/>
    <xf numFmtId="167" fontId="0" fillId="0" borderId="57" xfId="1" applyNumberFormat="1" applyFont="1" applyBorder="1"/>
    <xf numFmtId="167" fontId="0" fillId="0" borderId="20" xfId="1" applyNumberFormat="1" applyFont="1" applyBorder="1"/>
    <xf numFmtId="167" fontId="0" fillId="0" borderId="0" xfId="0" applyNumberFormat="1"/>
    <xf numFmtId="167" fontId="0" fillId="0" borderId="14" xfId="0" applyNumberFormat="1" applyBorder="1"/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57" xfId="0" applyBorder="1" applyAlignment="1">
      <alignment horizontal="center"/>
    </xf>
    <xf numFmtId="167" fontId="0" fillId="0" borderId="16" xfId="0" applyNumberFormat="1" applyBorder="1"/>
    <xf numFmtId="0" fontId="2" fillId="0" borderId="3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0" fillId="0" borderId="16" xfId="0" applyBorder="1" applyAlignment="1">
      <alignment horizontal="left" indent="2"/>
    </xf>
    <xf numFmtId="0" fontId="30" fillId="8" borderId="36" xfId="0" applyFont="1" applyFill="1" applyBorder="1"/>
    <xf numFmtId="44" fontId="26" fillId="8" borderId="38" xfId="0" applyNumberFormat="1" applyFont="1" applyFill="1" applyBorder="1"/>
    <xf numFmtId="0" fontId="2" fillId="44" borderId="36" xfId="0" applyFont="1" applyFill="1" applyBorder="1"/>
    <xf numFmtId="0" fontId="0" fillId="44" borderId="37" xfId="0" applyFill="1" applyBorder="1"/>
    <xf numFmtId="44" fontId="0" fillId="44" borderId="38" xfId="0" applyNumberFormat="1" applyFill="1" applyBorder="1"/>
    <xf numFmtId="0" fontId="0" fillId="0" borderId="58" xfId="0" applyBorder="1"/>
    <xf numFmtId="44" fontId="0" fillId="0" borderId="71" xfId="2" applyFont="1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61" xfId="0" applyBorder="1"/>
    <xf numFmtId="44" fontId="0" fillId="0" borderId="60" xfId="0" applyNumberFormat="1" applyBorder="1"/>
    <xf numFmtId="0" fontId="30" fillId="8" borderId="33" xfId="0" applyFont="1" applyFill="1" applyBorder="1"/>
    <xf numFmtId="44" fontId="0" fillId="0" borderId="71" xfId="0" applyNumberFormat="1" applyBorder="1"/>
    <xf numFmtId="0" fontId="0" fillId="0" borderId="7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3" xfId="0" applyBorder="1" applyAlignment="1">
      <alignment horizontal="center"/>
    </xf>
    <xf numFmtId="44" fontId="0" fillId="0" borderId="71" xfId="2" applyFont="1" applyBorder="1" applyAlignment="1">
      <alignment horizontal="center"/>
    </xf>
    <xf numFmtId="44" fontId="0" fillId="44" borderId="37" xfId="2" applyFont="1" applyFill="1" applyBorder="1"/>
    <xf numFmtId="167" fontId="0" fillId="0" borderId="15" xfId="0" applyNumberFormat="1" applyBorder="1"/>
    <xf numFmtId="44" fontId="0" fillId="0" borderId="17" xfId="2" applyFont="1" applyBorder="1" applyAlignment="1">
      <alignment horizontal="center"/>
    </xf>
    <xf numFmtId="44" fontId="0" fillId="0" borderId="20" xfId="2" applyFont="1" applyBorder="1" applyAlignment="1">
      <alignment horizontal="center"/>
    </xf>
    <xf numFmtId="0" fontId="0" fillId="0" borderId="66" xfId="0" applyBorder="1"/>
    <xf numFmtId="44" fontId="0" fillId="0" borderId="74" xfId="2" applyFont="1" applyBorder="1"/>
    <xf numFmtId="0" fontId="26" fillId="8" borderId="0" xfId="0" applyFont="1" applyFill="1" applyAlignment="1">
      <alignment horizontal="center"/>
    </xf>
    <xf numFmtId="44" fontId="0" fillId="0" borderId="73" xfId="2" applyFont="1" applyBorder="1"/>
    <xf numFmtId="44" fontId="0" fillId="0" borderId="58" xfId="2" applyFont="1" applyBorder="1"/>
    <xf numFmtId="168" fontId="0" fillId="0" borderId="17" xfId="3" applyNumberFormat="1" applyFont="1" applyBorder="1"/>
    <xf numFmtId="0" fontId="30" fillId="8" borderId="39" xfId="0" applyFont="1" applyFill="1" applyBorder="1"/>
    <xf numFmtId="44" fontId="0" fillId="0" borderId="72" xfId="0" applyNumberFormat="1" applyBorder="1"/>
    <xf numFmtId="0" fontId="0" fillId="44" borderId="37" xfId="2" applyNumberFormat="1" applyFont="1" applyFill="1" applyBorder="1"/>
    <xf numFmtId="167" fontId="0" fillId="0" borderId="75" xfId="0" applyNumberFormat="1" applyBorder="1"/>
    <xf numFmtId="167" fontId="0" fillId="0" borderId="76" xfId="1" applyNumberFormat="1" applyFont="1" applyBorder="1"/>
    <xf numFmtId="167" fontId="0" fillId="0" borderId="77" xfId="1" applyNumberFormat="1" applyFont="1" applyBorder="1"/>
    <xf numFmtId="0" fontId="26" fillId="8" borderId="78" xfId="0" applyFont="1" applyFill="1" applyBorder="1" applyAlignment="1">
      <alignment horizontal="center"/>
    </xf>
    <xf numFmtId="0" fontId="26" fillId="8" borderId="79" xfId="0" applyFont="1" applyFill="1" applyBorder="1" applyAlignment="1">
      <alignment horizontal="center"/>
    </xf>
    <xf numFmtId="0" fontId="0" fillId="46" borderId="13" xfId="0" applyFill="1" applyBorder="1"/>
    <xf numFmtId="167" fontId="0" fillId="46" borderId="69" xfId="1" applyNumberFormat="1" applyFont="1" applyFill="1" applyBorder="1" applyAlignment="1">
      <alignment horizontal="center"/>
    </xf>
    <xf numFmtId="167" fontId="0" fillId="46" borderId="55" xfId="1" applyNumberFormat="1" applyFont="1" applyFill="1" applyBorder="1" applyAlignment="1">
      <alignment horizontal="center"/>
    </xf>
    <xf numFmtId="167" fontId="0" fillId="46" borderId="15" xfId="1" applyNumberFormat="1" applyFont="1" applyFill="1" applyBorder="1" applyAlignment="1">
      <alignment horizontal="center"/>
    </xf>
    <xf numFmtId="0" fontId="0" fillId="46" borderId="16" xfId="0" applyFill="1" applyBorder="1"/>
    <xf numFmtId="167" fontId="0" fillId="46" borderId="68" xfId="1" applyNumberFormat="1" applyFont="1" applyFill="1" applyBorder="1" applyAlignment="1">
      <alignment horizontal="center"/>
    </xf>
    <xf numFmtId="167" fontId="0" fillId="46" borderId="56" xfId="1" applyNumberFormat="1" applyFont="1" applyFill="1" applyBorder="1" applyAlignment="1">
      <alignment horizontal="center"/>
    </xf>
    <xf numFmtId="167" fontId="0" fillId="46" borderId="17" xfId="1" applyNumberFormat="1" applyFont="1" applyFill="1" applyBorder="1" applyAlignment="1">
      <alignment horizontal="center"/>
    </xf>
    <xf numFmtId="0" fontId="0" fillId="46" borderId="18" xfId="0" applyFill="1" applyBorder="1"/>
    <xf numFmtId="167" fontId="0" fillId="46" borderId="70" xfId="1" applyNumberFormat="1" applyFont="1" applyFill="1" applyBorder="1" applyAlignment="1">
      <alignment horizontal="center"/>
    </xf>
    <xf numFmtId="167" fontId="0" fillId="46" borderId="57" xfId="1" applyNumberFormat="1" applyFont="1" applyFill="1" applyBorder="1" applyAlignment="1">
      <alignment horizontal="center"/>
    </xf>
    <xf numFmtId="167" fontId="0" fillId="46" borderId="20" xfId="1" applyNumberFormat="1" applyFont="1" applyFill="1" applyBorder="1" applyAlignment="1">
      <alignment horizontal="center"/>
    </xf>
    <xf numFmtId="0" fontId="0" fillId="46" borderId="15" xfId="0" applyFill="1" applyBorder="1"/>
    <xf numFmtId="0" fontId="0" fillId="46" borderId="17" xfId="0" applyFill="1" applyBorder="1"/>
    <xf numFmtId="0" fontId="0" fillId="46" borderId="20" xfId="0" applyFill="1" applyBorder="1"/>
    <xf numFmtId="0" fontId="0" fillId="46" borderId="13" xfId="0" applyFill="1" applyBorder="1" applyAlignment="1">
      <alignment horizontal="left" indent="2"/>
    </xf>
    <xf numFmtId="44" fontId="0" fillId="46" borderId="72" xfId="2" applyFont="1" applyFill="1" applyBorder="1"/>
    <xf numFmtId="0" fontId="0" fillId="46" borderId="72" xfId="0" applyFill="1" applyBorder="1"/>
    <xf numFmtId="0" fontId="0" fillId="46" borderId="16" xfId="0" applyFill="1" applyBorder="1" applyAlignment="1">
      <alignment horizontal="left" indent="2"/>
    </xf>
    <xf numFmtId="44" fontId="0" fillId="46" borderId="71" xfId="2" applyFont="1" applyFill="1" applyBorder="1"/>
    <xf numFmtId="0" fontId="0" fillId="46" borderId="71" xfId="0" applyFill="1" applyBorder="1"/>
    <xf numFmtId="0" fontId="0" fillId="46" borderId="73" xfId="0" applyFill="1" applyBorder="1"/>
    <xf numFmtId="0" fontId="0" fillId="46" borderId="0" xfId="0" applyFill="1"/>
    <xf numFmtId="44" fontId="0" fillId="46" borderId="17" xfId="2" applyFont="1" applyFill="1" applyBorder="1"/>
    <xf numFmtId="44" fontId="0" fillId="46" borderId="71" xfId="0" applyNumberFormat="1" applyFill="1" applyBorder="1"/>
    <xf numFmtId="0" fontId="33" fillId="0" borderId="0" xfId="0" applyFont="1"/>
    <xf numFmtId="167" fontId="33" fillId="0" borderId="0" xfId="0" applyNumberFormat="1" applyFont="1"/>
    <xf numFmtId="169" fontId="33" fillId="0" borderId="0" xfId="0" applyNumberFormat="1" applyFont="1"/>
    <xf numFmtId="0" fontId="0" fillId="0" borderId="0" xfId="0" pivotButton="1"/>
    <xf numFmtId="42" fontId="0" fillId="0" borderId="0" xfId="0" applyNumberFormat="1"/>
    <xf numFmtId="167" fontId="0" fillId="0" borderId="20" xfId="0" applyNumberFormat="1" applyBorder="1"/>
    <xf numFmtId="0" fontId="30" fillId="8" borderId="0" xfId="0" applyFont="1" applyFill="1"/>
    <xf numFmtId="43" fontId="0" fillId="0" borderId="18" xfId="1" applyFont="1" applyBorder="1"/>
    <xf numFmtId="43" fontId="0" fillId="0" borderId="19" xfId="1" applyFont="1" applyBorder="1"/>
    <xf numFmtId="167" fontId="0" fillId="0" borderId="18" xfId="1" applyNumberFormat="1" applyFont="1" applyBorder="1"/>
    <xf numFmtId="167" fontId="0" fillId="0" borderId="19" xfId="1" applyNumberFormat="1" applyFont="1" applyBorder="1"/>
    <xf numFmtId="44" fontId="0" fillId="0" borderId="72" xfId="2" applyFont="1" applyBorder="1"/>
    <xf numFmtId="44" fontId="0" fillId="0" borderId="80" xfId="2" applyFont="1" applyBorder="1"/>
    <xf numFmtId="0" fontId="0" fillId="47" borderId="16" xfId="0" applyFill="1" applyBorder="1"/>
    <xf numFmtId="167" fontId="0" fillId="47" borderId="68" xfId="1" applyNumberFormat="1" applyFont="1" applyFill="1" applyBorder="1" applyAlignment="1">
      <alignment horizontal="center"/>
    </xf>
    <xf numFmtId="167" fontId="0" fillId="47" borderId="56" xfId="1" applyNumberFormat="1" applyFont="1" applyFill="1" applyBorder="1" applyAlignment="1">
      <alignment horizontal="center"/>
    </xf>
    <xf numFmtId="167" fontId="0" fillId="47" borderId="17" xfId="1" applyNumberFormat="1" applyFont="1" applyFill="1" applyBorder="1" applyAlignment="1">
      <alignment horizontal="center"/>
    </xf>
    <xf numFmtId="0" fontId="0" fillId="47" borderId="17" xfId="0" applyFill="1" applyBorder="1"/>
    <xf numFmtId="167" fontId="0" fillId="10" borderId="75" xfId="0" applyNumberFormat="1" applyFill="1" applyBorder="1"/>
    <xf numFmtId="167" fontId="0" fillId="10" borderId="76" xfId="1" applyNumberFormat="1" applyFont="1" applyFill="1" applyBorder="1"/>
    <xf numFmtId="169" fontId="0" fillId="10" borderId="56" xfId="2" applyNumberFormat="1" applyFont="1" applyFill="1" applyBorder="1"/>
    <xf numFmtId="167" fontId="0" fillId="10" borderId="77" xfId="1" applyNumberFormat="1" applyFont="1" applyFill="1" applyBorder="1"/>
    <xf numFmtId="169" fontId="0" fillId="10" borderId="57" xfId="2" applyNumberFormat="1" applyFont="1" applyFill="1" applyBorder="1"/>
    <xf numFmtId="167" fontId="0" fillId="46" borderId="14" xfId="1" applyNumberFormat="1" applyFont="1" applyFill="1" applyBorder="1" applyAlignment="1">
      <alignment horizontal="center"/>
    </xf>
    <xf numFmtId="167" fontId="0" fillId="47" borderId="0" xfId="1" applyNumberFormat="1" applyFont="1" applyFill="1" applyBorder="1" applyAlignment="1">
      <alignment horizontal="center"/>
    </xf>
    <xf numFmtId="167" fontId="0" fillId="46" borderId="0" xfId="1" applyNumberFormat="1" applyFont="1" applyFill="1" applyBorder="1" applyAlignment="1">
      <alignment horizontal="center"/>
    </xf>
    <xf numFmtId="167" fontId="0" fillId="46" borderId="19" xfId="1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167" fontId="0" fillId="0" borderId="13" xfId="0" applyNumberFormat="1" applyBorder="1"/>
    <xf numFmtId="0" fontId="26" fillId="8" borderId="18" xfId="0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26" fillId="8" borderId="20" xfId="0" applyFont="1" applyFill="1" applyBorder="1" applyAlignment="1">
      <alignment horizontal="center"/>
    </xf>
    <xf numFmtId="43" fontId="29" fillId="0" borderId="0" xfId="1" applyFont="1" applyFill="1"/>
    <xf numFmtId="168" fontId="29" fillId="0" borderId="0" xfId="1" applyNumberFormat="1" applyFont="1" applyFill="1"/>
    <xf numFmtId="44" fontId="0" fillId="0" borderId="81" xfId="2" applyFont="1" applyBorder="1"/>
    <xf numFmtId="44" fontId="0" fillId="44" borderId="38" xfId="2" applyFont="1" applyFill="1" applyBorder="1"/>
    <xf numFmtId="44" fontId="23" fillId="0" borderId="82" xfId="0" applyNumberFormat="1" applyFont="1" applyBorder="1"/>
    <xf numFmtId="170" fontId="0" fillId="0" borderId="0" xfId="2" applyNumberFormat="1" applyFont="1"/>
    <xf numFmtId="0" fontId="26" fillId="8" borderId="13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26" fillId="8" borderId="18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/>
    </xf>
    <xf numFmtId="0" fontId="2" fillId="46" borderId="13" xfId="0" applyFont="1" applyFill="1" applyBorder="1" applyAlignment="1">
      <alignment horizontal="center"/>
    </xf>
    <xf numFmtId="0" fontId="2" fillId="46" borderId="14" xfId="0" applyFont="1" applyFill="1" applyBorder="1" applyAlignment="1">
      <alignment horizontal="center"/>
    </xf>
    <xf numFmtId="0" fontId="2" fillId="46" borderId="15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31" fillId="0" borderId="51" xfId="0" applyFont="1" applyBorder="1" applyAlignment="1">
      <alignment horizontal="center"/>
    </xf>
    <xf numFmtId="0" fontId="31" fillId="0" borderId="52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34" fillId="8" borderId="0" xfId="0" applyFont="1" applyFill="1" applyAlignment="1">
      <alignment horizontal="center" vertical="center"/>
    </xf>
    <xf numFmtId="44" fontId="34" fillId="8" borderId="0" xfId="2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168" fontId="0" fillId="8" borderId="0" xfId="0" applyNumberFormat="1" applyFill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55" xfId="0" applyFont="1" applyFill="1" applyBorder="1" applyAlignment="1">
      <alignment horizontal="center"/>
    </xf>
    <xf numFmtId="0" fontId="2" fillId="7" borderId="69" xfId="0" applyFont="1" applyFill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2" fillId="45" borderId="69" xfId="0" applyFont="1" applyFill="1" applyBorder="1" applyAlignment="1">
      <alignment horizontal="center"/>
    </xf>
    <xf numFmtId="0" fontId="2" fillId="45" borderId="55" xfId="0" applyFont="1" applyFill="1" applyBorder="1" applyAlignment="1">
      <alignment horizontal="center"/>
    </xf>
    <xf numFmtId="0" fontId="2" fillId="38" borderId="69" xfId="0" applyFont="1" applyFill="1" applyBorder="1" applyAlignment="1">
      <alignment horizontal="center"/>
    </xf>
    <xf numFmtId="0" fontId="2" fillId="38" borderId="15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9" fillId="0" borderId="4" xfId="2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65" fontId="10" fillId="2" borderId="2" xfId="2" applyNumberFormat="1" applyFont="1" applyFill="1" applyBorder="1" applyAlignment="1">
      <alignment horizontal="center" vertical="center"/>
    </xf>
    <xf numFmtId="165" fontId="10" fillId="2" borderId="3" xfId="2" applyNumberFormat="1" applyFont="1" applyFill="1" applyBorder="1" applyAlignment="1">
      <alignment horizontal="center" vertical="center"/>
    </xf>
    <xf numFmtId="165" fontId="10" fillId="2" borderId="4" xfId="2" applyNumberFormat="1" applyFont="1" applyFill="1" applyBorder="1" applyAlignment="1">
      <alignment horizontal="center" vertical="center"/>
    </xf>
    <xf numFmtId="165" fontId="10" fillId="2" borderId="0" xfId="2" applyNumberFormat="1" applyFont="1" applyFill="1" applyBorder="1" applyAlignment="1">
      <alignment horizontal="center" vertical="center"/>
    </xf>
    <xf numFmtId="165" fontId="10" fillId="2" borderId="5" xfId="2" applyNumberFormat="1" applyFont="1" applyFill="1" applyBorder="1" applyAlignment="1">
      <alignment horizontal="center" vertical="center"/>
    </xf>
    <xf numFmtId="165" fontId="10" fillId="2" borderId="6" xfId="2" applyNumberFormat="1" applyFont="1" applyFill="1" applyBorder="1" applyAlignment="1">
      <alignment horizontal="center" vertical="center"/>
    </xf>
    <xf numFmtId="165" fontId="10" fillId="2" borderId="7" xfId="2" applyNumberFormat="1" applyFont="1" applyFill="1" applyBorder="1" applyAlignment="1">
      <alignment horizontal="center" vertical="center"/>
    </xf>
    <xf numFmtId="165" fontId="10" fillId="2" borderId="8" xfId="2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4" fontId="9" fillId="28" borderId="9" xfId="0" applyNumberFormat="1" applyFont="1" applyFill="1" applyBorder="1" applyAlignment="1">
      <alignment horizontal="center" vertical="center"/>
    </xf>
    <xf numFmtId="14" fontId="9" fillId="28" borderId="10" xfId="0" applyNumberFormat="1" applyFont="1" applyFill="1" applyBorder="1" applyAlignment="1">
      <alignment horizontal="center" vertical="center"/>
    </xf>
    <xf numFmtId="167" fontId="11" fillId="28" borderId="1" xfId="1" applyNumberFormat="1" applyFont="1" applyFill="1" applyBorder="1" applyAlignment="1">
      <alignment horizontal="center" vertical="center"/>
    </xf>
    <xf numFmtId="167" fontId="11" fillId="28" borderId="6" xfId="1" applyNumberFormat="1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9" fillId="28" borderId="2" xfId="0" applyFont="1" applyFill="1" applyBorder="1" applyAlignment="1">
      <alignment horizontal="center" vertical="center"/>
    </xf>
    <xf numFmtId="0" fontId="9" fillId="28" borderId="3" xfId="0" applyFont="1" applyFill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/>
    </xf>
    <xf numFmtId="0" fontId="9" fillId="28" borderId="7" xfId="0" applyFon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center" vertical="center"/>
    </xf>
    <xf numFmtId="164" fontId="9" fillId="28" borderId="9" xfId="0" applyNumberFormat="1" applyFont="1" applyFill="1" applyBorder="1" applyAlignment="1">
      <alignment horizontal="center" vertical="center"/>
    </xf>
    <xf numFmtId="164" fontId="9" fillId="28" borderId="10" xfId="0" applyNumberFormat="1" applyFont="1" applyFill="1" applyBorder="1" applyAlignment="1">
      <alignment horizontal="center" vertical="center"/>
    </xf>
    <xf numFmtId="166" fontId="9" fillId="28" borderId="9" xfId="0" applyNumberFormat="1" applyFont="1" applyFill="1" applyBorder="1" applyAlignment="1">
      <alignment horizontal="center" vertical="center"/>
    </xf>
    <xf numFmtId="166" fontId="9" fillId="28" borderId="10" xfId="0" applyNumberFormat="1" applyFont="1" applyFill="1" applyBorder="1" applyAlignment="1">
      <alignment horizontal="center" vertical="center"/>
    </xf>
    <xf numFmtId="167" fontId="11" fillId="28" borderId="3" xfId="1" applyNumberFormat="1" applyFont="1" applyFill="1" applyBorder="1" applyAlignment="1">
      <alignment horizontal="center" vertical="center"/>
    </xf>
    <xf numFmtId="167" fontId="11" fillId="28" borderId="8" xfId="1" applyNumberFormat="1" applyFont="1" applyFill="1" applyBorder="1" applyAlignment="1">
      <alignment horizontal="center" vertical="center"/>
    </xf>
    <xf numFmtId="167" fontId="11" fillId="28" borderId="2" xfId="1" applyNumberFormat="1" applyFont="1" applyFill="1" applyBorder="1" applyAlignment="1">
      <alignment horizontal="center" vertical="center"/>
    </xf>
    <xf numFmtId="167" fontId="11" fillId="28" borderId="7" xfId="1" applyNumberFormat="1" applyFont="1" applyFill="1" applyBorder="1" applyAlignment="1">
      <alignment horizontal="center" vertical="center"/>
    </xf>
    <xf numFmtId="43" fontId="11" fillId="28" borderId="9" xfId="1" applyFont="1" applyFill="1" applyBorder="1" applyAlignment="1">
      <alignment horizontal="center" vertical="center"/>
    </xf>
    <xf numFmtId="43" fontId="11" fillId="28" borderId="10" xfId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6" xfId="0" applyFill="1" applyBorder="1" applyAlignment="1">
      <alignment horizontal="center"/>
    </xf>
    <xf numFmtId="0" fontId="0" fillId="32" borderId="8" xfId="0" applyFill="1" applyBorder="1" applyAlignment="1">
      <alignment horizontal="center"/>
    </xf>
    <xf numFmtId="44" fontId="9" fillId="9" borderId="1" xfId="2" applyFont="1" applyFill="1" applyBorder="1" applyAlignment="1">
      <alignment horizontal="center" vertical="center"/>
    </xf>
    <xf numFmtId="44" fontId="9" fillId="9" borderId="4" xfId="2" applyFont="1" applyFill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horizontal="center" vertical="center"/>
    </xf>
    <xf numFmtId="0" fontId="11" fillId="28" borderId="3" xfId="0" applyFont="1" applyFill="1" applyBorder="1" applyAlignment="1">
      <alignment horizontal="center" vertical="center"/>
    </xf>
    <xf numFmtId="0" fontId="11" fillId="28" borderId="4" xfId="0" applyFont="1" applyFill="1" applyBorder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11" fillId="28" borderId="5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165" fontId="9" fillId="9" borderId="1" xfId="2" applyNumberFormat="1" applyFont="1" applyFill="1" applyBorder="1" applyAlignment="1">
      <alignment horizontal="center" vertical="center"/>
    </xf>
    <xf numFmtId="165" fontId="9" fillId="9" borderId="4" xfId="2" applyNumberFormat="1" applyFont="1" applyFill="1" applyBorder="1" applyAlignment="1">
      <alignment horizontal="center" vertical="center"/>
    </xf>
    <xf numFmtId="164" fontId="9" fillId="9" borderId="1" xfId="2" applyNumberFormat="1" applyFont="1" applyFill="1" applyBorder="1" applyAlignment="1">
      <alignment horizontal="center" vertical="center"/>
    </xf>
    <xf numFmtId="164" fontId="9" fillId="9" borderId="4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164" fontId="10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165" fontId="9" fillId="9" borderId="4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4" fontId="9" fillId="9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44" fontId="9" fillId="0" borderId="1" xfId="2" applyFont="1" applyBorder="1" applyAlignment="1">
      <alignment horizontal="center" vertical="center"/>
    </xf>
    <xf numFmtId="44" fontId="9" fillId="0" borderId="4" xfId="2" applyFont="1" applyBorder="1" applyAlignment="1">
      <alignment horizontal="center" vertical="center"/>
    </xf>
    <xf numFmtId="44" fontId="9" fillId="0" borderId="9" xfId="2" applyFont="1" applyBorder="1" applyAlignment="1">
      <alignment horizontal="center" vertical="center"/>
    </xf>
    <xf numFmtId="44" fontId="9" fillId="0" borderId="12" xfId="2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165" fontId="9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9" fillId="28" borderId="9" xfId="1" applyNumberFormat="1" applyFont="1" applyFill="1" applyBorder="1" applyAlignment="1">
      <alignment horizontal="center" vertical="center"/>
    </xf>
    <xf numFmtId="164" fontId="9" fillId="28" borderId="10" xfId="1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164" fontId="9" fillId="0" borderId="12" xfId="0" applyNumberFormat="1" applyFont="1" applyBorder="1" applyAlignment="1">
      <alignment horizontal="center" vertical="center"/>
    </xf>
    <xf numFmtId="164" fontId="9" fillId="13" borderId="9" xfId="1" applyNumberFormat="1" applyFont="1" applyFill="1" applyBorder="1" applyAlignment="1">
      <alignment horizontal="center" vertical="center"/>
    </xf>
    <xf numFmtId="164" fontId="9" fillId="13" borderId="12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0" fontId="9" fillId="0" borderId="12" xfId="1" applyNumberFormat="1" applyFont="1" applyFill="1" applyBorder="1" applyAlignment="1">
      <alignment horizontal="center" vertical="center"/>
    </xf>
    <xf numFmtId="164" fontId="9" fillId="9" borderId="1" xfId="1" applyNumberFormat="1" applyFont="1" applyFill="1" applyBorder="1" applyAlignment="1">
      <alignment horizontal="center" vertical="center"/>
    </xf>
    <xf numFmtId="164" fontId="9" fillId="9" borderId="4" xfId="1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9" fillId="0" borderId="9" xfId="1" applyNumberFormat="1" applyFont="1" applyFill="1" applyBorder="1" applyAlignment="1">
      <alignment horizontal="center" vertical="center"/>
    </xf>
    <xf numFmtId="164" fontId="9" fillId="0" borderId="12" xfId="1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32" borderId="12" xfId="0" applyFill="1" applyBorder="1" applyAlignment="1">
      <alignment horizontal="center"/>
    </xf>
    <xf numFmtId="0" fontId="0" fillId="32" borderId="10" xfId="0" applyFill="1" applyBorder="1" applyAlignment="1">
      <alignment horizontal="center"/>
    </xf>
    <xf numFmtId="164" fontId="9" fillId="13" borderId="10" xfId="1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21" borderId="12" xfId="0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64" fontId="15" fillId="2" borderId="9" xfId="0" applyNumberFormat="1" applyFont="1" applyFill="1" applyBorder="1" applyAlignment="1">
      <alignment horizontal="center" vertical="center"/>
    </xf>
    <xf numFmtId="164" fontId="15" fillId="2" borderId="10" xfId="0" applyNumberFormat="1" applyFont="1" applyFill="1" applyBorder="1" applyAlignment="1">
      <alignment horizontal="center" vertical="center"/>
    </xf>
    <xf numFmtId="0" fontId="9" fillId="0" borderId="10" xfId="1" applyNumberFormat="1" applyFont="1" applyFill="1" applyBorder="1" applyAlignment="1">
      <alignment horizontal="center" vertical="center"/>
    </xf>
    <xf numFmtId="164" fontId="9" fillId="0" borderId="10" xfId="1" applyNumberFormat="1" applyFont="1" applyFill="1" applyBorder="1" applyAlignment="1">
      <alignment horizontal="center" vertical="center"/>
    </xf>
    <xf numFmtId="164" fontId="9" fillId="9" borderId="9" xfId="0" applyNumberFormat="1" applyFont="1" applyFill="1" applyBorder="1" applyAlignment="1">
      <alignment horizontal="center" vertical="center"/>
    </xf>
    <xf numFmtId="164" fontId="9" fillId="9" borderId="10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0" fillId="23" borderId="12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6" borderId="12" xfId="0" applyFill="1" applyBorder="1" applyAlignment="1">
      <alignment horizontal="center"/>
    </xf>
    <xf numFmtId="0" fontId="0" fillId="26" borderId="10" xfId="0" applyFill="1" applyBorder="1" applyAlignment="1">
      <alignment horizontal="center"/>
    </xf>
    <xf numFmtId="165" fontId="9" fillId="9" borderId="6" xfId="2" applyNumberFormat="1" applyFont="1" applyFill="1" applyBorder="1" applyAlignment="1">
      <alignment horizontal="center" vertical="center"/>
    </xf>
    <xf numFmtId="164" fontId="9" fillId="9" borderId="9" xfId="2" applyNumberFormat="1" applyFont="1" applyFill="1" applyBorder="1" applyAlignment="1">
      <alignment horizontal="center" vertical="center"/>
    </xf>
    <xf numFmtId="164" fontId="9" fillId="9" borderId="10" xfId="2" applyNumberFormat="1" applyFont="1" applyFill="1" applyBorder="1" applyAlignment="1">
      <alignment horizontal="center" vertical="center"/>
    </xf>
    <xf numFmtId="0" fontId="0" fillId="25" borderId="12" xfId="0" applyFill="1" applyBorder="1" applyAlignment="1">
      <alignment horizontal="center"/>
    </xf>
    <xf numFmtId="0" fontId="0" fillId="25" borderId="0" xfId="0" applyFill="1" applyAlignment="1">
      <alignment horizontal="center"/>
    </xf>
    <xf numFmtId="44" fontId="9" fillId="9" borderId="9" xfId="2" applyFont="1" applyFill="1" applyBorder="1" applyAlignment="1">
      <alignment horizontal="center" vertical="center"/>
    </xf>
    <xf numFmtId="44" fontId="9" fillId="9" borderId="10" xfId="2" applyFont="1" applyFill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44" fontId="15" fillId="2" borderId="9" xfId="2" applyFont="1" applyFill="1" applyBorder="1" applyAlignment="1">
      <alignment horizontal="center" vertical="center"/>
    </xf>
    <xf numFmtId="44" fontId="15" fillId="2" borderId="10" xfId="2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165" fontId="9" fillId="9" borderId="6" xfId="0" applyNumberFormat="1" applyFont="1" applyFill="1" applyBorder="1" applyAlignment="1">
      <alignment horizontal="center" vertical="center"/>
    </xf>
    <xf numFmtId="164" fontId="9" fillId="9" borderId="6" xfId="0" applyNumberFormat="1" applyFont="1" applyFill="1" applyBorder="1" applyAlignment="1">
      <alignment horizontal="center" vertical="center"/>
    </xf>
    <xf numFmtId="165" fontId="15" fillId="2" borderId="6" xfId="0" applyNumberFormat="1" applyFont="1" applyFill="1" applyBorder="1" applyAlignment="1">
      <alignment horizontal="center" vertical="center"/>
    </xf>
    <xf numFmtId="167" fontId="11" fillId="2" borderId="3" xfId="1" applyNumberFormat="1" applyFont="1" applyFill="1" applyBorder="1" applyAlignment="1">
      <alignment horizontal="center" vertical="center"/>
    </xf>
    <xf numFmtId="167" fontId="11" fillId="2" borderId="8" xfId="1" applyNumberFormat="1" applyFont="1" applyFill="1" applyBorder="1" applyAlignment="1">
      <alignment horizontal="center" vertical="center"/>
    </xf>
    <xf numFmtId="167" fontId="11" fillId="2" borderId="2" xfId="1" applyNumberFormat="1" applyFont="1" applyFill="1" applyBorder="1" applyAlignment="1">
      <alignment horizontal="center" vertical="center"/>
    </xf>
    <xf numFmtId="167" fontId="11" fillId="2" borderId="7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11" fillId="12" borderId="1" xfId="1" applyNumberFormat="1" applyFont="1" applyFill="1" applyBorder="1" applyAlignment="1">
      <alignment horizontal="center" vertical="center"/>
    </xf>
    <xf numFmtId="167" fontId="11" fillId="12" borderId="6" xfId="1" applyNumberFormat="1" applyFont="1" applyFill="1" applyBorder="1" applyAlignment="1">
      <alignment horizontal="center" vertical="center"/>
    </xf>
    <xf numFmtId="167" fontId="11" fillId="12" borderId="3" xfId="1" applyNumberFormat="1" applyFont="1" applyFill="1" applyBorder="1" applyAlignment="1">
      <alignment horizontal="center" vertical="center"/>
    </xf>
    <xf numFmtId="167" fontId="11" fillId="12" borderId="8" xfId="1" applyNumberFormat="1" applyFont="1" applyFill="1" applyBorder="1" applyAlignment="1">
      <alignment horizontal="center" vertical="center"/>
    </xf>
    <xf numFmtId="167" fontId="11" fillId="12" borderId="2" xfId="1" applyNumberFormat="1" applyFont="1" applyFill="1" applyBorder="1" applyAlignment="1">
      <alignment horizontal="center" vertical="center"/>
    </xf>
    <xf numFmtId="167" fontId="11" fillId="12" borderId="7" xfId="1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6" fontId="9" fillId="2" borderId="9" xfId="0" applyNumberFormat="1" applyFont="1" applyFill="1" applyBorder="1" applyAlignment="1">
      <alignment horizontal="center" vertical="center"/>
    </xf>
    <xf numFmtId="166" fontId="9" fillId="2" borderId="10" xfId="0" applyNumberFormat="1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 vertical="center"/>
    </xf>
    <xf numFmtId="167" fontId="11" fillId="2" borderId="6" xfId="1" applyNumberFormat="1" applyFont="1" applyFill="1" applyBorder="1" applyAlignment="1">
      <alignment horizontal="center" vertical="center"/>
    </xf>
    <xf numFmtId="43" fontId="11" fillId="2" borderId="9" xfId="1" applyFont="1" applyFill="1" applyBorder="1" applyAlignment="1">
      <alignment horizontal="center" vertical="center"/>
    </xf>
    <xf numFmtId="43" fontId="11" fillId="2" borderId="10" xfId="1" applyFont="1" applyFill="1" applyBorder="1" applyAlignment="1">
      <alignment horizontal="center" vertical="center"/>
    </xf>
    <xf numFmtId="164" fontId="9" fillId="2" borderId="9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4" fontId="9" fillId="12" borderId="9" xfId="0" applyNumberFormat="1" applyFont="1" applyFill="1" applyBorder="1" applyAlignment="1">
      <alignment horizontal="center" vertical="center"/>
    </xf>
    <xf numFmtId="164" fontId="9" fillId="12" borderId="10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166" fontId="9" fillId="12" borderId="9" xfId="0" applyNumberFormat="1" applyFont="1" applyFill="1" applyBorder="1" applyAlignment="1">
      <alignment horizontal="center" vertical="center"/>
    </xf>
    <xf numFmtId="166" fontId="9" fillId="12" borderId="10" xfId="0" applyNumberFormat="1" applyFont="1" applyFill="1" applyBorder="1" applyAlignment="1">
      <alignment horizontal="center" vertical="center"/>
    </xf>
    <xf numFmtId="43" fontId="11" fillId="12" borderId="9" xfId="1" applyFont="1" applyFill="1" applyBorder="1" applyAlignment="1">
      <alignment horizontal="center" vertical="center"/>
    </xf>
    <xf numFmtId="43" fontId="11" fillId="12" borderId="10" xfId="1" applyFont="1" applyFill="1" applyBorder="1" applyAlignment="1">
      <alignment horizontal="center" vertical="center"/>
    </xf>
    <xf numFmtId="164" fontId="9" fillId="12" borderId="9" xfId="1" applyNumberFormat="1" applyFont="1" applyFill="1" applyBorder="1" applyAlignment="1">
      <alignment horizontal="center" vertical="center"/>
    </xf>
    <xf numFmtId="164" fontId="9" fillId="12" borderId="10" xfId="1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9" fontId="9" fillId="0" borderId="9" xfId="3" applyFont="1" applyFill="1" applyBorder="1" applyAlignment="1">
      <alignment horizontal="center" vertical="center"/>
    </xf>
    <xf numFmtId="9" fontId="9" fillId="0" borderId="12" xfId="3" applyFont="1" applyFill="1" applyBorder="1" applyAlignment="1">
      <alignment horizontal="center" vertical="center"/>
    </xf>
    <xf numFmtId="0" fontId="9" fillId="13" borderId="12" xfId="1" applyNumberFormat="1" applyFont="1" applyFill="1" applyBorder="1" applyAlignment="1">
      <alignment horizontal="center" vertical="center"/>
    </xf>
    <xf numFmtId="164" fontId="9" fillId="13" borderId="9" xfId="0" applyNumberFormat="1" applyFont="1" applyFill="1" applyBorder="1" applyAlignment="1">
      <alignment horizontal="center" vertical="center"/>
    </xf>
    <xf numFmtId="164" fontId="9" fillId="13" borderId="12" xfId="0" applyNumberFormat="1" applyFont="1" applyFill="1" applyBorder="1" applyAlignment="1">
      <alignment horizontal="center" vertical="center"/>
    </xf>
    <xf numFmtId="164" fontId="9" fillId="13" borderId="10" xfId="0" applyNumberFormat="1" applyFont="1" applyFill="1" applyBorder="1" applyAlignment="1">
      <alignment horizontal="center" vertical="center"/>
    </xf>
    <xf numFmtId="9" fontId="9" fillId="0" borderId="10" xfId="3" applyFont="1" applyFill="1" applyBorder="1" applyAlignment="1">
      <alignment horizontal="center" vertical="center"/>
    </xf>
    <xf numFmtId="0" fontId="9" fillId="13" borderId="10" xfId="1" applyNumberFormat="1" applyFont="1" applyFill="1" applyBorder="1" applyAlignment="1">
      <alignment horizontal="center" vertical="center"/>
    </xf>
    <xf numFmtId="167" fontId="9" fillId="27" borderId="9" xfId="0" applyNumberFormat="1" applyFont="1" applyFill="1" applyBorder="1" applyAlignment="1">
      <alignment horizontal="center" vertical="center"/>
    </xf>
    <xf numFmtId="0" fontId="9" fillId="27" borderId="10" xfId="0" applyFont="1" applyFill="1" applyBorder="1" applyAlignment="1">
      <alignment horizontal="center" vertical="center"/>
    </xf>
    <xf numFmtId="164" fontId="9" fillId="27" borderId="9" xfId="0" applyNumberFormat="1" applyFont="1" applyFill="1" applyBorder="1" applyAlignment="1">
      <alignment horizontal="center" vertical="center"/>
    </xf>
    <xf numFmtId="0" fontId="9" fillId="27" borderId="9" xfId="0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/>
    </xf>
    <xf numFmtId="0" fontId="2" fillId="6" borderId="69" xfId="0" applyFont="1" applyFill="1" applyBorder="1" applyAlignment="1">
      <alignment horizontal="center"/>
    </xf>
    <xf numFmtId="0" fontId="2" fillId="10" borderId="69" xfId="0" applyFont="1" applyFill="1" applyBorder="1" applyAlignment="1">
      <alignment horizontal="center"/>
    </xf>
    <xf numFmtId="0" fontId="2" fillId="10" borderId="55" xfId="0" applyFont="1" applyFill="1" applyBorder="1" applyAlignment="1">
      <alignment horizontal="center"/>
    </xf>
    <xf numFmtId="0" fontId="2" fillId="36" borderId="69" xfId="0" applyFont="1" applyFill="1" applyBorder="1" applyAlignment="1">
      <alignment horizontal="center"/>
    </xf>
    <xf numFmtId="0" fontId="2" fillId="36" borderId="15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67" fontId="11" fillId="28" borderId="9" xfId="1" applyNumberFormat="1" applyFont="1" applyFill="1" applyBorder="1" applyAlignment="1">
      <alignment horizontal="center" vertical="center"/>
    </xf>
    <xf numFmtId="167" fontId="11" fillId="28" borderId="10" xfId="1" applyNumberFormat="1" applyFont="1" applyFill="1" applyBorder="1" applyAlignment="1">
      <alignment horizontal="center" vertical="center"/>
    </xf>
    <xf numFmtId="44" fontId="9" fillId="28" borderId="9" xfId="2" applyFont="1" applyFill="1" applyBorder="1" applyAlignment="1">
      <alignment horizontal="center" vertical="center"/>
    </xf>
    <xf numFmtId="44" fontId="9" fillId="28" borderId="10" xfId="2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9" fillId="25" borderId="9" xfId="0" applyNumberFormat="1" applyFont="1" applyFill="1" applyBorder="1" applyAlignment="1">
      <alignment horizontal="center" vertical="center"/>
    </xf>
    <xf numFmtId="164" fontId="9" fillId="25" borderId="12" xfId="0" applyNumberFormat="1" applyFont="1" applyFill="1" applyBorder="1" applyAlignment="1">
      <alignment horizontal="center" vertical="center"/>
    </xf>
    <xf numFmtId="164" fontId="9" fillId="25" borderId="9" xfId="1" applyNumberFormat="1" applyFont="1" applyFill="1" applyBorder="1" applyAlignment="1">
      <alignment horizontal="center" vertical="center"/>
    </xf>
    <xf numFmtId="0" fontId="9" fillId="25" borderId="12" xfId="1" applyNumberFormat="1" applyFont="1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164" fontId="9" fillId="25" borderId="10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28" borderId="6" xfId="0" applyFont="1" applyFill="1" applyBorder="1" applyAlignment="1">
      <alignment horizontal="center" vertical="center"/>
    </xf>
    <xf numFmtId="0" fontId="11" fillId="28" borderId="7" xfId="0" applyFont="1" applyFill="1" applyBorder="1" applyAlignment="1">
      <alignment horizontal="center" vertical="center"/>
    </xf>
    <xf numFmtId="0" fontId="11" fillId="28" borderId="8" xfId="0" applyFont="1" applyFill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/>
    </xf>
    <xf numFmtId="0" fontId="2" fillId="34" borderId="69" xfId="0" applyFont="1" applyFill="1" applyBorder="1" applyAlignment="1">
      <alignment horizontal="center"/>
    </xf>
    <xf numFmtId="0" fontId="2" fillId="34" borderId="55" xfId="0" applyFont="1" applyFill="1" applyBorder="1" applyAlignment="1">
      <alignment horizontal="center"/>
    </xf>
    <xf numFmtId="0" fontId="2" fillId="46" borderId="69" xfId="0" applyFont="1" applyFill="1" applyBorder="1" applyAlignment="1">
      <alignment horizontal="center"/>
    </xf>
    <xf numFmtId="0" fontId="2" fillId="46" borderId="55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44" borderId="13" xfId="0" applyFont="1" applyFill="1" applyBorder="1" applyAlignment="1">
      <alignment horizontal="center"/>
    </xf>
    <xf numFmtId="0" fontId="2" fillId="44" borderId="55" xfId="0" applyFont="1" applyFill="1" applyBorder="1" applyAlignment="1">
      <alignment horizontal="center"/>
    </xf>
    <xf numFmtId="0" fontId="30" fillId="8" borderId="69" xfId="0" applyFont="1" applyFill="1" applyBorder="1" applyAlignment="1">
      <alignment horizontal="center"/>
    </xf>
    <xf numFmtId="0" fontId="30" fillId="8" borderId="55" xfId="0" applyFont="1" applyFill="1" applyBorder="1" applyAlignment="1">
      <alignment horizontal="center"/>
    </xf>
    <xf numFmtId="0" fontId="2" fillId="36" borderId="13" xfId="0" applyFont="1" applyFill="1" applyBorder="1" applyAlignment="1">
      <alignment horizontal="center"/>
    </xf>
    <xf numFmtId="0" fontId="2" fillId="36" borderId="55" xfId="0" applyFont="1" applyFill="1" applyBorder="1" applyAlignment="1">
      <alignment horizontal="center"/>
    </xf>
    <xf numFmtId="0" fontId="2" fillId="38" borderId="55" xfId="0" applyFont="1" applyFill="1" applyBorder="1" applyAlignment="1">
      <alignment horizontal="center"/>
    </xf>
    <xf numFmtId="0" fontId="30" fillId="8" borderId="13" xfId="0" applyFont="1" applyFill="1" applyBorder="1" applyAlignment="1">
      <alignment horizontal="center"/>
    </xf>
    <xf numFmtId="167" fontId="11" fillId="28" borderId="1" xfId="1" applyNumberFormat="1" applyFont="1" applyFill="1" applyBorder="1" applyAlignment="1">
      <alignment vertical="center"/>
    </xf>
    <xf numFmtId="167" fontId="11" fillId="28" borderId="6" xfId="1" applyNumberFormat="1" applyFont="1" applyFill="1" applyBorder="1" applyAlignment="1">
      <alignment vertical="center"/>
    </xf>
    <xf numFmtId="167" fontId="11" fillId="28" borderId="5" xfId="1" applyNumberFormat="1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center"/>
    </xf>
    <xf numFmtId="0" fontId="11" fillId="28" borderId="2" xfId="0" applyFont="1" applyFill="1" applyBorder="1" applyAlignment="1">
      <alignment horizontal="center"/>
    </xf>
    <xf numFmtId="0" fontId="11" fillId="28" borderId="3" xfId="0" applyFont="1" applyFill="1" applyBorder="1" applyAlignment="1">
      <alignment horizontal="center"/>
    </xf>
    <xf numFmtId="0" fontId="11" fillId="28" borderId="4" xfId="0" applyFont="1" applyFill="1" applyBorder="1" applyAlignment="1">
      <alignment horizontal="center"/>
    </xf>
    <xf numFmtId="0" fontId="11" fillId="28" borderId="0" xfId="0" applyFont="1" applyFill="1" applyAlignment="1">
      <alignment horizontal="center"/>
    </xf>
    <xf numFmtId="0" fontId="11" fillId="28" borderId="5" xfId="0" applyFont="1" applyFill="1" applyBorder="1" applyAlignment="1">
      <alignment horizontal="center"/>
    </xf>
    <xf numFmtId="0" fontId="0" fillId="35" borderId="9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67" fontId="11" fillId="28" borderId="0" xfId="1" applyNumberFormat="1" applyFont="1" applyFill="1" applyBorder="1" applyAlignment="1">
      <alignment horizontal="center" vertical="center"/>
    </xf>
    <xf numFmtId="167" fontId="11" fillId="28" borderId="2" xfId="1" applyNumberFormat="1" applyFont="1" applyFill="1" applyBorder="1" applyAlignment="1">
      <alignment vertical="center"/>
    </xf>
    <xf numFmtId="167" fontId="11" fillId="28" borderId="7" xfId="1" applyNumberFormat="1" applyFont="1" applyFill="1" applyBorder="1" applyAlignment="1">
      <alignment vertic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1" fillId="28" borderId="9" xfId="0" applyFont="1" applyFill="1" applyBorder="1" applyAlignment="1">
      <alignment horizontal="center" vertical="center"/>
    </xf>
    <xf numFmtId="0" fontId="11" fillId="28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7" fontId="11" fillId="28" borderId="4" xfId="1" applyNumberFormat="1" applyFont="1" applyFill="1" applyBorder="1" applyAlignment="1">
      <alignment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12" fillId="5" borderId="12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/>
    </xf>
    <xf numFmtId="0" fontId="0" fillId="36" borderId="2" xfId="0" applyFill="1" applyBorder="1" applyAlignment="1">
      <alignment horizontal="center"/>
    </xf>
    <xf numFmtId="0" fontId="0" fillId="36" borderId="3" xfId="0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0" fillId="36" borderId="7" xfId="0" applyFill="1" applyBorder="1" applyAlignment="1">
      <alignment horizontal="center"/>
    </xf>
    <xf numFmtId="0" fontId="0" fillId="36" borderId="8" xfId="0" applyFill="1" applyBorder="1" applyAlignment="1">
      <alignment horizontal="center"/>
    </xf>
    <xf numFmtId="0" fontId="9" fillId="0" borderId="1" xfId="1" applyNumberFormat="1" applyFont="1" applyBorder="1" applyAlignment="1">
      <alignment horizontal="center" vertical="center"/>
    </xf>
    <xf numFmtId="0" fontId="9" fillId="0" borderId="4" xfId="1" applyNumberFormat="1" applyFont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9" fillId="0" borderId="6" xfId="1" applyNumberFormat="1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44" fontId="9" fillId="0" borderId="9" xfId="1" applyNumberFormat="1" applyFont="1" applyFill="1" applyBorder="1" applyAlignment="1">
      <alignment horizontal="center" vertical="center"/>
    </xf>
    <xf numFmtId="165" fontId="9" fillId="9" borderId="9" xfId="2" applyNumberFormat="1" applyFont="1" applyFill="1" applyBorder="1" applyAlignment="1">
      <alignment horizontal="center" vertical="center"/>
    </xf>
    <xf numFmtId="165" fontId="9" fillId="9" borderId="10" xfId="2" applyNumberFormat="1" applyFont="1" applyFill="1" applyBorder="1" applyAlignment="1">
      <alignment horizontal="center" vertical="center"/>
    </xf>
    <xf numFmtId="165" fontId="9" fillId="9" borderId="2" xfId="2" applyNumberFormat="1" applyFont="1" applyFill="1" applyBorder="1" applyAlignment="1">
      <alignment horizontal="center" vertical="center"/>
    </xf>
    <xf numFmtId="165" fontId="9" fillId="9" borderId="7" xfId="2" applyNumberFormat="1" applyFont="1" applyFill="1" applyBorder="1" applyAlignment="1">
      <alignment horizontal="center" vertical="center"/>
    </xf>
    <xf numFmtId="44" fontId="9" fillId="0" borderId="9" xfId="2" applyFont="1" applyFill="1" applyBorder="1" applyAlignment="1">
      <alignment horizontal="center" vertical="center"/>
    </xf>
    <xf numFmtId="44" fontId="9" fillId="0" borderId="12" xfId="2" applyFont="1" applyFill="1" applyBorder="1" applyAlignment="1">
      <alignment horizontal="center" vertical="center"/>
    </xf>
    <xf numFmtId="0" fontId="11" fillId="28" borderId="6" xfId="0" applyFont="1" applyFill="1" applyBorder="1" applyAlignment="1">
      <alignment horizontal="center"/>
    </xf>
    <xf numFmtId="0" fontId="11" fillId="28" borderId="7" xfId="0" applyFont="1" applyFill="1" applyBorder="1" applyAlignment="1">
      <alignment horizontal="center"/>
    </xf>
    <xf numFmtId="0" fontId="11" fillId="28" borderId="8" xfId="0" applyFont="1" applyFill="1" applyBorder="1" applyAlignment="1">
      <alignment horizontal="center"/>
    </xf>
    <xf numFmtId="167" fontId="11" fillId="12" borderId="1" xfId="1" applyNumberFormat="1" applyFont="1" applyFill="1" applyBorder="1" applyAlignment="1">
      <alignment vertical="center"/>
    </xf>
    <xf numFmtId="167" fontId="11" fillId="12" borderId="6" xfId="1" applyNumberFormat="1" applyFont="1" applyFill="1" applyBorder="1" applyAlignment="1">
      <alignment vertical="center"/>
    </xf>
    <xf numFmtId="14" fontId="9" fillId="12" borderId="9" xfId="0" applyNumberFormat="1" applyFont="1" applyFill="1" applyBorder="1" applyAlignment="1">
      <alignment horizontal="center" vertical="center"/>
    </xf>
    <xf numFmtId="14" fontId="9" fillId="12" borderId="10" xfId="0" applyNumberFormat="1" applyFont="1" applyFill="1" applyBorder="1" applyAlignment="1">
      <alignment horizontal="center" vertical="center"/>
    </xf>
    <xf numFmtId="167" fontId="11" fillId="28" borderId="4" xfId="1" applyNumberFormat="1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28" borderId="4" xfId="0" applyFont="1" applyFill="1" applyBorder="1" applyAlignment="1">
      <alignment horizontal="center" vertical="center"/>
    </xf>
    <xf numFmtId="0" fontId="9" fillId="28" borderId="0" xfId="0" applyFont="1" applyFill="1" applyAlignment="1">
      <alignment horizontal="center" vertical="center"/>
    </xf>
    <xf numFmtId="0" fontId="9" fillId="28" borderId="5" xfId="0" applyFont="1" applyFill="1" applyBorder="1" applyAlignment="1">
      <alignment horizontal="center" vertical="center"/>
    </xf>
    <xf numFmtId="164" fontId="9" fillId="28" borderId="12" xfId="0" applyNumberFormat="1" applyFont="1" applyFill="1" applyBorder="1" applyAlignment="1">
      <alignment horizontal="center" vertical="center"/>
    </xf>
    <xf numFmtId="0" fontId="11" fillId="28" borderId="12" xfId="0" applyFont="1" applyFill="1" applyBorder="1" applyAlignment="1">
      <alignment horizontal="center" vertical="center"/>
    </xf>
    <xf numFmtId="44" fontId="9" fillId="0" borderId="10" xfId="2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9" fillId="25" borderId="3" xfId="0" applyFont="1" applyFill="1" applyBorder="1" applyAlignment="1">
      <alignment horizontal="center" vertical="center"/>
    </xf>
    <xf numFmtId="0" fontId="9" fillId="25" borderId="6" xfId="0" applyFont="1" applyFill="1" applyBorder="1" applyAlignment="1">
      <alignment horizontal="center" vertical="center"/>
    </xf>
    <xf numFmtId="0" fontId="9" fillId="25" borderId="8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/>
    </xf>
    <xf numFmtId="0" fontId="11" fillId="25" borderId="2" xfId="0" applyFont="1" applyFill="1" applyBorder="1" applyAlignment="1">
      <alignment horizontal="center"/>
    </xf>
    <xf numFmtId="0" fontId="11" fillId="25" borderId="3" xfId="0" applyFont="1" applyFill="1" applyBorder="1" applyAlignment="1">
      <alignment horizontal="center"/>
    </xf>
    <xf numFmtId="0" fontId="11" fillId="25" borderId="4" xfId="0" applyFont="1" applyFill="1" applyBorder="1" applyAlignment="1">
      <alignment horizontal="center"/>
    </xf>
    <xf numFmtId="0" fontId="11" fillId="25" borderId="0" xfId="0" applyFont="1" applyFill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44" fontId="9" fillId="0" borderId="10" xfId="2" applyFont="1" applyBorder="1" applyAlignment="1">
      <alignment horizontal="center" vertical="center"/>
    </xf>
    <xf numFmtId="14" fontId="9" fillId="2" borderId="9" xfId="0" applyNumberFormat="1" applyFont="1" applyFill="1" applyBorder="1" applyAlignment="1">
      <alignment horizontal="center" vertical="center"/>
    </xf>
    <xf numFmtId="14" fontId="9" fillId="2" borderId="10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7" fontId="9" fillId="0" borderId="9" xfId="0" applyNumberFormat="1" applyFont="1" applyBorder="1" applyAlignment="1">
      <alignment vertical="center"/>
    </xf>
    <xf numFmtId="1" fontId="9" fillId="0" borderId="9" xfId="0" applyNumberFormat="1" applyFont="1" applyBorder="1" applyAlignment="1">
      <alignment vertical="center"/>
    </xf>
    <xf numFmtId="1" fontId="9" fillId="0" borderId="10" xfId="0" applyNumberFormat="1" applyFont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0" fontId="0" fillId="34" borderId="6" xfId="0" applyFill="1" applyBorder="1" applyAlignment="1">
      <alignment horizontal="center"/>
    </xf>
    <xf numFmtId="0" fontId="0" fillId="34" borderId="8" xfId="0" applyFill="1" applyBorder="1" applyAlignment="1">
      <alignment horizontal="center"/>
    </xf>
    <xf numFmtId="165" fontId="9" fillId="0" borderId="6" xfId="0" applyNumberFormat="1" applyFont="1" applyBorder="1" applyAlignment="1">
      <alignment horizontal="center" vertical="center"/>
    </xf>
    <xf numFmtId="0" fontId="0" fillId="22" borderId="10" xfId="0" applyFill="1" applyBorder="1" applyAlignment="1">
      <alignment horizontal="center"/>
    </xf>
    <xf numFmtId="164" fontId="9" fillId="9" borderId="6" xfId="2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165" fontId="15" fillId="2" borderId="4" xfId="0" applyNumberFormat="1" applyFont="1" applyFill="1" applyBorder="1" applyAlignment="1">
      <alignment horizontal="center" vertical="center"/>
    </xf>
    <xf numFmtId="164" fontId="15" fillId="2" borderId="12" xfId="0" applyNumberFormat="1" applyFont="1" applyFill="1" applyBorder="1" applyAlignment="1">
      <alignment horizontal="center" vertical="center"/>
    </xf>
    <xf numFmtId="6" fontId="9" fillId="28" borderId="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167" fontId="11" fillId="2" borderId="9" xfId="1" applyNumberFormat="1" applyFont="1" applyFill="1" applyBorder="1" applyAlignment="1">
      <alignment horizontal="center" vertical="center"/>
    </xf>
    <xf numFmtId="167" fontId="11" fillId="2" borderId="10" xfId="1" applyNumberFormat="1" applyFont="1" applyFill="1" applyBorder="1" applyAlignment="1">
      <alignment horizontal="center" vertical="center"/>
    </xf>
    <xf numFmtId="44" fontId="9" fillId="2" borderId="9" xfId="2" applyFont="1" applyFill="1" applyBorder="1" applyAlignment="1">
      <alignment horizontal="center" vertical="center"/>
    </xf>
    <xf numFmtId="44" fontId="9" fillId="2" borderId="10" xfId="2" applyFont="1" applyFill="1" applyBorder="1" applyAlignment="1">
      <alignment horizontal="center" vertical="center"/>
    </xf>
    <xf numFmtId="167" fontId="11" fillId="12" borderId="9" xfId="1" applyNumberFormat="1" applyFont="1" applyFill="1" applyBorder="1" applyAlignment="1">
      <alignment horizontal="center" vertical="center"/>
    </xf>
    <xf numFmtId="167" fontId="11" fillId="12" borderId="10" xfId="1" applyNumberFormat="1" applyFont="1" applyFill="1" applyBorder="1" applyAlignment="1">
      <alignment horizontal="center" vertical="center"/>
    </xf>
    <xf numFmtId="44" fontId="9" fillId="12" borderId="9" xfId="2" applyFont="1" applyFill="1" applyBorder="1" applyAlignment="1">
      <alignment horizontal="center" vertical="center"/>
    </xf>
    <xf numFmtId="44" fontId="9" fillId="12" borderId="10" xfId="2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5" fontId="10" fillId="2" borderId="4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165" fontId="10" fillId="2" borderId="7" xfId="0" applyNumberFormat="1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/>
    </xf>
    <xf numFmtId="44" fontId="6" fillId="4" borderId="1" xfId="2" applyFont="1" applyFill="1" applyBorder="1" applyAlignment="1">
      <alignment horizontal="center" vertical="center"/>
    </xf>
    <xf numFmtId="44" fontId="6" fillId="4" borderId="3" xfId="2" applyFont="1" applyFill="1" applyBorder="1" applyAlignment="1">
      <alignment horizontal="center" vertical="center"/>
    </xf>
    <xf numFmtId="44" fontId="6" fillId="4" borderId="6" xfId="2" applyFont="1" applyFill="1" applyBorder="1" applyAlignment="1">
      <alignment horizontal="center" vertical="center"/>
    </xf>
    <xf numFmtId="44" fontId="6" fillId="4" borderId="8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9" fillId="28" borderId="13" xfId="0" applyFont="1" applyFill="1" applyBorder="1" applyAlignment="1">
      <alignment horizontal="center" vertical="center"/>
    </xf>
    <xf numFmtId="0" fontId="9" fillId="28" borderId="15" xfId="0" applyFont="1" applyFill="1" applyBorder="1" applyAlignment="1">
      <alignment horizontal="center" vertical="center"/>
    </xf>
    <xf numFmtId="0" fontId="9" fillId="28" borderId="18" xfId="0" applyFont="1" applyFill="1" applyBorder="1" applyAlignment="1">
      <alignment horizontal="center" vertical="center"/>
    </xf>
    <xf numFmtId="0" fontId="9" fillId="28" borderId="20" xfId="0" applyFont="1" applyFill="1" applyBorder="1" applyAlignment="1">
      <alignment horizontal="center" vertical="center"/>
    </xf>
    <xf numFmtId="14" fontId="9" fillId="28" borderId="3" xfId="0" applyNumberFormat="1" applyFont="1" applyFill="1" applyBorder="1" applyAlignment="1">
      <alignment horizontal="center" vertical="center"/>
    </xf>
    <xf numFmtId="14" fontId="9" fillId="28" borderId="8" xfId="0" applyNumberFormat="1" applyFont="1" applyFill="1" applyBorder="1" applyAlignment="1">
      <alignment horizontal="center" vertical="center"/>
    </xf>
    <xf numFmtId="164" fontId="9" fillId="28" borderId="1" xfId="0" applyNumberFormat="1" applyFont="1" applyFill="1" applyBorder="1" applyAlignment="1">
      <alignment horizontal="center" vertical="center"/>
    </xf>
    <xf numFmtId="164" fontId="9" fillId="28" borderId="6" xfId="0" applyNumberFormat="1" applyFont="1" applyFill="1" applyBorder="1" applyAlignment="1">
      <alignment horizontal="center" vertical="center"/>
    </xf>
    <xf numFmtId="164" fontId="6" fillId="20" borderId="3" xfId="0" applyNumberFormat="1" applyFont="1" applyFill="1" applyBorder="1" applyAlignment="1">
      <alignment horizontal="center" vertical="center"/>
    </xf>
    <xf numFmtId="164" fontId="6" fillId="20" borderId="6" xfId="0" applyNumberFormat="1" applyFont="1" applyFill="1" applyBorder="1" applyAlignment="1">
      <alignment horizontal="center" vertical="center"/>
    </xf>
    <xf numFmtId="164" fontId="6" fillId="20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9" fillId="9" borderId="6" xfId="1" applyNumberFormat="1" applyFont="1" applyFill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44" fontId="6" fillId="16" borderId="1" xfId="2" applyFont="1" applyFill="1" applyBorder="1" applyAlignment="1">
      <alignment horizontal="center" vertical="center"/>
    </xf>
    <xf numFmtId="44" fontId="6" fillId="16" borderId="3" xfId="2" applyFont="1" applyFill="1" applyBorder="1" applyAlignment="1">
      <alignment horizontal="center" vertical="center"/>
    </xf>
    <xf numFmtId="44" fontId="6" fillId="16" borderId="6" xfId="2" applyFont="1" applyFill="1" applyBorder="1" applyAlignment="1">
      <alignment horizontal="center" vertical="center"/>
    </xf>
    <xf numFmtId="44" fontId="6" fillId="16" borderId="8" xfId="2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4" fontId="9" fillId="13" borderId="9" xfId="2" applyFont="1" applyFill="1" applyBorder="1" applyAlignment="1">
      <alignment horizontal="center" vertical="center"/>
    </xf>
    <xf numFmtId="44" fontId="9" fillId="13" borderId="12" xfId="2" applyFont="1" applyFill="1" applyBorder="1" applyAlignment="1">
      <alignment horizontal="center" vertical="center"/>
    </xf>
    <xf numFmtId="44" fontId="9" fillId="13" borderId="10" xfId="2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/>
    </xf>
    <xf numFmtId="0" fontId="0" fillId="39" borderId="9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28" borderId="17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4" fontId="9" fillId="10" borderId="9" xfId="0" applyNumberFormat="1" applyFont="1" applyFill="1" applyBorder="1" applyAlignment="1">
      <alignment horizontal="center" vertical="center"/>
    </xf>
    <xf numFmtId="14" fontId="9" fillId="10" borderId="10" xfId="0" applyNumberFormat="1" applyFont="1" applyFill="1" applyBorder="1" applyAlignment="1">
      <alignment horizontal="center" vertical="center"/>
    </xf>
    <xf numFmtId="0" fontId="11" fillId="28" borderId="23" xfId="0" applyFont="1" applyFill="1" applyBorder="1" applyAlignment="1">
      <alignment horizontal="center" vertical="center"/>
    </xf>
    <xf numFmtId="0" fontId="11" fillId="28" borderId="26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0" fillId="38" borderId="12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0" fillId="21" borderId="5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64" fontId="10" fillId="2" borderId="1" xfId="2" applyNumberFormat="1" applyFont="1" applyFill="1" applyBorder="1" applyAlignment="1">
      <alignment horizontal="center" vertical="center"/>
    </xf>
    <xf numFmtId="164" fontId="10" fillId="2" borderId="2" xfId="2" applyNumberFormat="1" applyFont="1" applyFill="1" applyBorder="1" applyAlignment="1">
      <alignment horizontal="center" vertical="center"/>
    </xf>
    <xf numFmtId="164" fontId="10" fillId="2" borderId="3" xfId="2" applyNumberFormat="1" applyFont="1" applyFill="1" applyBorder="1" applyAlignment="1">
      <alignment horizontal="center" vertical="center"/>
    </xf>
    <xf numFmtId="164" fontId="10" fillId="2" borderId="4" xfId="2" applyNumberFormat="1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64" fontId="10" fillId="2" borderId="6" xfId="2" applyNumberFormat="1" applyFont="1" applyFill="1" applyBorder="1" applyAlignment="1">
      <alignment horizontal="center" vertical="center"/>
    </xf>
    <xf numFmtId="164" fontId="10" fillId="2" borderId="7" xfId="2" applyNumberFormat="1" applyFont="1" applyFill="1" applyBorder="1" applyAlignment="1">
      <alignment horizontal="center" vertical="center"/>
    </xf>
    <xf numFmtId="164" fontId="10" fillId="2" borderId="8" xfId="2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11" fillId="28" borderId="13" xfId="0" applyFont="1" applyFill="1" applyBorder="1" applyAlignment="1">
      <alignment horizontal="center" vertical="center"/>
    </xf>
    <xf numFmtId="0" fontId="11" fillId="28" borderId="18" xfId="0" applyFont="1" applyFill="1" applyBorder="1" applyAlignment="1">
      <alignment horizontal="center" vertical="center"/>
    </xf>
    <xf numFmtId="0" fontId="11" fillId="28" borderId="14" xfId="0" applyFont="1" applyFill="1" applyBorder="1" applyAlignment="1">
      <alignment horizontal="center" vertical="center"/>
    </xf>
    <xf numFmtId="0" fontId="11" fillId="28" borderId="19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9" fillId="28" borderId="23" xfId="0" applyFont="1" applyFill="1" applyBorder="1" applyAlignment="1">
      <alignment horizontal="center" vertical="center"/>
    </xf>
    <xf numFmtId="0" fontId="9" fillId="28" borderId="24" xfId="0" applyFont="1" applyFill="1" applyBorder="1" applyAlignment="1">
      <alignment horizontal="center" vertical="center"/>
    </xf>
    <xf numFmtId="0" fontId="9" fillId="28" borderId="26" xfId="0" applyFont="1" applyFill="1" applyBorder="1" applyAlignment="1">
      <alignment horizontal="center" vertical="center"/>
    </xf>
    <xf numFmtId="0" fontId="9" fillId="28" borderId="25" xfId="0" applyFont="1" applyFill="1" applyBorder="1" applyAlignment="1">
      <alignment horizontal="center" vertical="center"/>
    </xf>
    <xf numFmtId="0" fontId="0" fillId="14" borderId="9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14" fontId="9" fillId="28" borderId="12" xfId="0" applyNumberFormat="1" applyFont="1" applyFill="1" applyBorder="1" applyAlignment="1">
      <alignment horizontal="center" vertical="center"/>
    </xf>
    <xf numFmtId="0" fontId="11" fillId="28" borderId="16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/>
    </xf>
    <xf numFmtId="0" fontId="11" fillId="29" borderId="2" xfId="0" applyFont="1" applyFill="1" applyBorder="1" applyAlignment="1">
      <alignment horizontal="center"/>
    </xf>
    <xf numFmtId="0" fontId="11" fillId="29" borderId="3" xfId="0" applyFont="1" applyFill="1" applyBorder="1" applyAlignment="1">
      <alignment horizontal="center"/>
    </xf>
    <xf numFmtId="0" fontId="11" fillId="29" borderId="4" xfId="0" applyFont="1" applyFill="1" applyBorder="1" applyAlignment="1">
      <alignment horizontal="center"/>
    </xf>
    <xf numFmtId="0" fontId="11" fillId="29" borderId="0" xfId="0" applyFont="1" applyFill="1" applyAlignment="1">
      <alignment horizontal="center"/>
    </xf>
    <xf numFmtId="0" fontId="11" fillId="29" borderId="5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164" fontId="9" fillId="28" borderId="4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28" borderId="15" xfId="0" applyFont="1" applyFill="1" applyBorder="1" applyAlignment="1">
      <alignment horizontal="center" vertical="center"/>
    </xf>
    <xf numFmtId="0" fontId="11" fillId="28" borderId="20" xfId="0" applyFont="1" applyFill="1" applyBorder="1" applyAlignment="1">
      <alignment horizontal="center" vertical="center"/>
    </xf>
    <xf numFmtId="164" fontId="9" fillId="9" borderId="21" xfId="2" applyNumberFormat="1" applyFont="1" applyFill="1" applyBorder="1" applyAlignment="1">
      <alignment horizontal="center" vertical="center"/>
    </xf>
    <xf numFmtId="164" fontId="9" fillId="9" borderId="22" xfId="2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41" borderId="1" xfId="0" applyFont="1" applyFill="1" applyBorder="1" applyAlignment="1">
      <alignment horizontal="center" vertical="center"/>
    </xf>
    <xf numFmtId="0" fontId="11" fillId="41" borderId="2" xfId="0" applyFont="1" applyFill="1" applyBorder="1" applyAlignment="1">
      <alignment horizontal="center" vertical="center"/>
    </xf>
    <xf numFmtId="0" fontId="11" fillId="41" borderId="3" xfId="0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11" fillId="41" borderId="5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164" fontId="9" fillId="10" borderId="9" xfId="0" applyNumberFormat="1" applyFont="1" applyFill="1" applyBorder="1" applyAlignment="1">
      <alignment horizontal="center" vertical="center"/>
    </xf>
    <xf numFmtId="164" fontId="9" fillId="10" borderId="12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164" fontId="9" fillId="10" borderId="10" xfId="0" applyNumberFormat="1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14" fontId="9" fillId="4" borderId="9" xfId="0" applyNumberFormat="1" applyFont="1" applyFill="1" applyBorder="1" applyAlignment="1">
      <alignment horizontal="center" vertical="center"/>
    </xf>
    <xf numFmtId="14" fontId="9" fillId="4" borderId="10" xfId="0" applyNumberFormat="1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14" fontId="9" fillId="28" borderId="5" xfId="0" applyNumberFormat="1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/>
    </xf>
    <xf numFmtId="0" fontId="0" fillId="38" borderId="2" xfId="0" applyFill="1" applyBorder="1" applyAlignment="1">
      <alignment horizontal="center"/>
    </xf>
    <xf numFmtId="0" fontId="0" fillId="38" borderId="3" xfId="0" applyFill="1" applyBorder="1" applyAlignment="1">
      <alignment horizontal="center"/>
    </xf>
    <xf numFmtId="0" fontId="0" fillId="38" borderId="6" xfId="0" applyFill="1" applyBorder="1" applyAlignment="1">
      <alignment horizontal="center"/>
    </xf>
    <xf numFmtId="0" fontId="0" fillId="38" borderId="7" xfId="0" applyFill="1" applyBorder="1" applyAlignment="1">
      <alignment horizontal="center"/>
    </xf>
    <xf numFmtId="0" fontId="0" fillId="38" borderId="8" xfId="0" applyFill="1" applyBorder="1" applyAlignment="1">
      <alignment horizontal="center"/>
    </xf>
    <xf numFmtId="0" fontId="11" fillId="28" borderId="24" xfId="0" applyFont="1" applyFill="1" applyBorder="1" applyAlignment="1">
      <alignment horizontal="center" vertical="center"/>
    </xf>
    <xf numFmtId="0" fontId="11" fillId="28" borderId="25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33" borderId="3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4" fillId="33" borderId="7" xfId="0" applyFont="1" applyFill="1" applyBorder="1" applyAlignment="1">
      <alignment horizontal="center" vertical="center"/>
    </xf>
    <xf numFmtId="0" fontId="4" fillId="33" borderId="8" xfId="0" applyFont="1" applyFill="1" applyBorder="1" applyAlignment="1">
      <alignment horizontal="center" vertical="center"/>
    </xf>
    <xf numFmtId="164" fontId="10" fillId="33" borderId="1" xfId="0" applyNumberFormat="1" applyFont="1" applyFill="1" applyBorder="1" applyAlignment="1">
      <alignment horizontal="center" vertical="center"/>
    </xf>
    <xf numFmtId="164" fontId="10" fillId="33" borderId="2" xfId="0" applyNumberFormat="1" applyFont="1" applyFill="1" applyBorder="1" applyAlignment="1">
      <alignment horizontal="center" vertical="center"/>
    </xf>
    <xf numFmtId="164" fontId="10" fillId="33" borderId="3" xfId="0" applyNumberFormat="1" applyFont="1" applyFill="1" applyBorder="1" applyAlignment="1">
      <alignment horizontal="center" vertical="center"/>
    </xf>
    <xf numFmtId="164" fontId="10" fillId="33" borderId="4" xfId="0" applyNumberFormat="1" applyFont="1" applyFill="1" applyBorder="1" applyAlignment="1">
      <alignment horizontal="center" vertical="center"/>
    </xf>
    <xf numFmtId="164" fontId="10" fillId="33" borderId="0" xfId="0" applyNumberFormat="1" applyFont="1" applyFill="1" applyAlignment="1">
      <alignment horizontal="center" vertical="center"/>
    </xf>
    <xf numFmtId="164" fontId="10" fillId="33" borderId="5" xfId="0" applyNumberFormat="1" applyFont="1" applyFill="1" applyBorder="1" applyAlignment="1">
      <alignment horizontal="center" vertical="center"/>
    </xf>
    <xf numFmtId="164" fontId="10" fillId="33" borderId="6" xfId="0" applyNumberFormat="1" applyFont="1" applyFill="1" applyBorder="1" applyAlignment="1">
      <alignment horizontal="center" vertical="center"/>
    </xf>
    <xf numFmtId="164" fontId="10" fillId="33" borderId="7" xfId="0" applyNumberFormat="1" applyFont="1" applyFill="1" applyBorder="1" applyAlignment="1">
      <alignment horizontal="center" vertical="center"/>
    </xf>
    <xf numFmtId="164" fontId="10" fillId="33" borderId="8" xfId="0" applyNumberFormat="1" applyFont="1" applyFill="1" applyBorder="1" applyAlignment="1">
      <alignment horizontal="center" vertical="center"/>
    </xf>
    <xf numFmtId="164" fontId="10" fillId="33" borderId="1" xfId="2" applyNumberFormat="1" applyFont="1" applyFill="1" applyBorder="1" applyAlignment="1">
      <alignment horizontal="center" vertical="center"/>
    </xf>
    <xf numFmtId="164" fontId="10" fillId="33" borderId="2" xfId="2" applyNumberFormat="1" applyFont="1" applyFill="1" applyBorder="1" applyAlignment="1">
      <alignment horizontal="center" vertical="center"/>
    </xf>
    <xf numFmtId="164" fontId="10" fillId="33" borderId="3" xfId="2" applyNumberFormat="1" applyFont="1" applyFill="1" applyBorder="1" applyAlignment="1">
      <alignment horizontal="center" vertical="center"/>
    </xf>
    <xf numFmtId="164" fontId="10" fillId="33" borderId="4" xfId="2" applyNumberFormat="1" applyFont="1" applyFill="1" applyBorder="1" applyAlignment="1">
      <alignment horizontal="center" vertical="center"/>
    </xf>
    <xf numFmtId="164" fontId="10" fillId="33" borderId="0" xfId="2" applyNumberFormat="1" applyFont="1" applyFill="1" applyBorder="1" applyAlignment="1">
      <alignment horizontal="center" vertical="center"/>
    </xf>
    <xf numFmtId="164" fontId="10" fillId="33" borderId="5" xfId="2" applyNumberFormat="1" applyFont="1" applyFill="1" applyBorder="1" applyAlignment="1">
      <alignment horizontal="center" vertical="center"/>
    </xf>
    <xf numFmtId="164" fontId="10" fillId="33" borderId="6" xfId="2" applyNumberFormat="1" applyFont="1" applyFill="1" applyBorder="1" applyAlignment="1">
      <alignment horizontal="center" vertical="center"/>
    </xf>
    <xf numFmtId="164" fontId="10" fillId="33" borderId="7" xfId="2" applyNumberFormat="1" applyFont="1" applyFill="1" applyBorder="1" applyAlignment="1">
      <alignment horizontal="center" vertical="center"/>
    </xf>
    <xf numFmtId="164" fontId="10" fillId="33" borderId="8" xfId="2" applyNumberFormat="1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center" vertical="center"/>
    </xf>
    <xf numFmtId="164" fontId="9" fillId="3" borderId="10" xfId="0" applyNumberFormat="1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horizontal="center" vertical="center"/>
    </xf>
    <xf numFmtId="0" fontId="10" fillId="33" borderId="2" xfId="0" applyFont="1" applyFill="1" applyBorder="1" applyAlignment="1">
      <alignment horizontal="center" vertical="center"/>
    </xf>
    <xf numFmtId="0" fontId="10" fillId="33" borderId="3" xfId="0" applyFont="1" applyFill="1" applyBorder="1" applyAlignment="1">
      <alignment horizontal="center" vertical="center"/>
    </xf>
    <xf numFmtId="0" fontId="10" fillId="33" borderId="4" xfId="0" applyFont="1" applyFill="1" applyBorder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10" fillId="33" borderId="6" xfId="0" applyFont="1" applyFill="1" applyBorder="1" applyAlignment="1">
      <alignment horizontal="center" vertical="center"/>
    </xf>
    <xf numFmtId="0" fontId="10" fillId="33" borderId="7" xfId="0" applyFont="1" applyFill="1" applyBorder="1" applyAlignment="1">
      <alignment horizontal="center" vertical="center"/>
    </xf>
    <xf numFmtId="0" fontId="10" fillId="33" borderId="8" xfId="0" applyFont="1" applyFill="1" applyBorder="1" applyAlignment="1">
      <alignment horizontal="center" vertical="center"/>
    </xf>
    <xf numFmtId="0" fontId="9" fillId="28" borderId="16" xfId="0" applyFont="1" applyFill="1" applyBorder="1" applyAlignment="1">
      <alignment horizontal="center" vertical="center"/>
    </xf>
    <xf numFmtId="0" fontId="9" fillId="28" borderId="17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43" borderId="2" xfId="0" applyFont="1" applyFill="1" applyBorder="1" applyAlignment="1">
      <alignment horizontal="center"/>
    </xf>
    <xf numFmtId="0" fontId="11" fillId="43" borderId="3" xfId="0" applyFont="1" applyFill="1" applyBorder="1" applyAlignment="1">
      <alignment horizontal="center"/>
    </xf>
    <xf numFmtId="0" fontId="11" fillId="43" borderId="4" xfId="0" applyFont="1" applyFill="1" applyBorder="1" applyAlignment="1">
      <alignment horizontal="center"/>
    </xf>
    <xf numFmtId="0" fontId="11" fillId="43" borderId="0" xfId="0" applyFont="1" applyFill="1" applyAlignment="1">
      <alignment horizontal="center"/>
    </xf>
    <xf numFmtId="0" fontId="11" fillId="43" borderId="5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0" xfId="0" applyFont="1" applyFill="1" applyAlignment="1">
      <alignment horizontal="center"/>
    </xf>
    <xf numFmtId="0" fontId="11" fillId="16" borderId="5" xfId="0" applyFont="1" applyFill="1" applyBorder="1" applyAlignment="1">
      <alignment horizontal="center"/>
    </xf>
    <xf numFmtId="0" fontId="11" fillId="43" borderId="6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43" borderId="8" xfId="0" applyFont="1" applyFill="1" applyBorder="1" applyAlignment="1">
      <alignment horizontal="center"/>
    </xf>
    <xf numFmtId="0" fontId="11" fillId="43" borderId="2" xfId="0" applyFont="1" applyFill="1" applyBorder="1" applyAlignment="1">
      <alignment horizontal="center" vertical="center"/>
    </xf>
    <xf numFmtId="0" fontId="11" fillId="43" borderId="7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1" fillId="43" borderId="0" xfId="0" applyFont="1" applyFill="1" applyAlignment="1">
      <alignment horizontal="center" vertical="center"/>
    </xf>
    <xf numFmtId="0" fontId="11" fillId="43" borderId="19" xfId="0" applyFont="1" applyFill="1" applyBorder="1" applyAlignment="1">
      <alignment horizontal="center" vertical="center"/>
    </xf>
    <xf numFmtId="0" fontId="11" fillId="16" borderId="23" xfId="0" applyFont="1" applyFill="1" applyBorder="1" applyAlignment="1">
      <alignment horizontal="center" vertical="center"/>
    </xf>
    <xf numFmtId="0" fontId="11" fillId="16" borderId="26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center" vertical="center"/>
    </xf>
    <xf numFmtId="0" fontId="11" fillId="43" borderId="4" xfId="0" applyFont="1" applyFill="1" applyBorder="1" applyAlignment="1">
      <alignment horizontal="center" vertical="center"/>
    </xf>
    <xf numFmtId="0" fontId="11" fillId="43" borderId="6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11" fillId="16" borderId="14" xfId="0" applyFont="1" applyFill="1" applyBorder="1" applyAlignment="1">
      <alignment horizontal="center" vertical="center"/>
    </xf>
    <xf numFmtId="0" fontId="11" fillId="16" borderId="19" xfId="0" applyFont="1" applyFill="1" applyBorder="1" applyAlignment="1">
      <alignment horizontal="center" vertical="center"/>
    </xf>
    <xf numFmtId="0" fontId="11" fillId="43" borderId="14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43" borderId="13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6" borderId="6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9" fillId="10" borderId="13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25" xfId="0" applyFont="1" applyFill="1" applyBorder="1" applyAlignment="1">
      <alignment horizontal="center" vertical="center"/>
    </xf>
    <xf numFmtId="0" fontId="11" fillId="16" borderId="17" xfId="0" applyFont="1" applyFill="1" applyBorder="1" applyAlignment="1">
      <alignment horizontal="center" vertical="center"/>
    </xf>
    <xf numFmtId="0" fontId="11" fillId="43" borderId="15" xfId="0" applyFont="1" applyFill="1" applyBorder="1" applyAlignment="1">
      <alignment horizontal="center" vertical="center"/>
    </xf>
    <xf numFmtId="0" fontId="11" fillId="43" borderId="20" xfId="0" applyFont="1" applyFill="1" applyBorder="1" applyAlignment="1">
      <alignment horizontal="center" vertical="center"/>
    </xf>
    <xf numFmtId="0" fontId="11" fillId="43" borderId="24" xfId="0" applyFont="1" applyFill="1" applyBorder="1" applyAlignment="1">
      <alignment horizontal="center" vertical="center"/>
    </xf>
    <xf numFmtId="0" fontId="11" fillId="43" borderId="25" xfId="0" applyFont="1" applyFill="1" applyBorder="1" applyAlignment="1">
      <alignment horizontal="center" vertical="center"/>
    </xf>
    <xf numFmtId="164" fontId="9" fillId="43" borderId="12" xfId="0" applyNumberFormat="1" applyFont="1" applyFill="1" applyBorder="1" applyAlignment="1">
      <alignment horizontal="center" vertical="center"/>
    </xf>
    <xf numFmtId="0" fontId="9" fillId="43" borderId="23" xfId="0" applyFont="1" applyFill="1" applyBorder="1" applyAlignment="1">
      <alignment horizontal="center" vertical="center"/>
    </xf>
    <xf numFmtId="0" fontId="9" fillId="43" borderId="24" xfId="0" applyFont="1" applyFill="1" applyBorder="1" applyAlignment="1">
      <alignment horizontal="center" vertical="center"/>
    </xf>
    <xf numFmtId="0" fontId="9" fillId="43" borderId="26" xfId="0" applyFont="1" applyFill="1" applyBorder="1" applyAlignment="1">
      <alignment horizontal="center" vertical="center"/>
    </xf>
    <xf numFmtId="0" fontId="9" fillId="43" borderId="25" xfId="0" applyFont="1" applyFill="1" applyBorder="1" applyAlignment="1">
      <alignment horizontal="center" vertical="center"/>
    </xf>
    <xf numFmtId="0" fontId="11" fillId="43" borderId="5" xfId="0" applyFont="1" applyFill="1" applyBorder="1" applyAlignment="1">
      <alignment horizontal="center" vertical="center"/>
    </xf>
    <xf numFmtId="0" fontId="11" fillId="43" borderId="8" xfId="0" applyFont="1" applyFill="1" applyBorder="1" applyAlignment="1">
      <alignment horizontal="center" vertical="center"/>
    </xf>
    <xf numFmtId="164" fontId="9" fillId="43" borderId="10" xfId="0" applyNumberFormat="1" applyFont="1" applyFill="1" applyBorder="1" applyAlignment="1">
      <alignment horizontal="center" vertical="center"/>
    </xf>
    <xf numFmtId="0" fontId="9" fillId="43" borderId="4" xfId="0" applyFont="1" applyFill="1" applyBorder="1" applyAlignment="1">
      <alignment horizontal="center" vertical="center"/>
    </xf>
    <xf numFmtId="0" fontId="9" fillId="43" borderId="0" xfId="0" applyFont="1" applyFill="1" applyAlignment="1">
      <alignment horizontal="center" vertical="center"/>
    </xf>
    <xf numFmtId="0" fontId="9" fillId="43" borderId="5" xfId="0" applyFont="1" applyFill="1" applyBorder="1" applyAlignment="1">
      <alignment horizontal="center" vertical="center"/>
    </xf>
    <xf numFmtId="0" fontId="9" fillId="43" borderId="6" xfId="0" applyFont="1" applyFill="1" applyBorder="1" applyAlignment="1">
      <alignment horizontal="center" vertical="center"/>
    </xf>
    <xf numFmtId="0" fontId="9" fillId="43" borderId="7" xfId="0" applyFont="1" applyFill="1" applyBorder="1" applyAlignment="1">
      <alignment horizontal="center" vertical="center"/>
    </xf>
    <xf numFmtId="0" fontId="9" fillId="43" borderId="8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11" fillId="43" borderId="26" xfId="0" applyFont="1" applyFill="1" applyBorder="1" applyAlignment="1">
      <alignment horizontal="center" vertical="center"/>
    </xf>
    <xf numFmtId="14" fontId="9" fillId="43" borderId="9" xfId="0" applyNumberFormat="1" applyFont="1" applyFill="1" applyBorder="1" applyAlignment="1">
      <alignment horizontal="center" vertical="center"/>
    </xf>
    <xf numFmtId="14" fontId="9" fillId="43" borderId="10" xfId="0" applyNumberFormat="1" applyFont="1" applyFill="1" applyBorder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14" fontId="9" fillId="43" borderId="12" xfId="0" applyNumberFormat="1" applyFont="1" applyFill="1" applyBorder="1" applyAlignment="1">
      <alignment horizontal="center" vertical="center"/>
    </xf>
    <xf numFmtId="0" fontId="11" fillId="43" borderId="23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0" fontId="9" fillId="43" borderId="2" xfId="0" applyFont="1" applyFill="1" applyBorder="1" applyAlignment="1">
      <alignment horizontal="center" vertical="center"/>
    </xf>
    <xf numFmtId="0" fontId="9" fillId="43" borderId="3" xfId="0" applyFont="1" applyFill="1" applyBorder="1" applyAlignment="1">
      <alignment horizontal="center" vertical="center"/>
    </xf>
    <xf numFmtId="164" fontId="9" fillId="43" borderId="9" xfId="0" applyNumberFormat="1" applyFont="1" applyFill="1" applyBorder="1" applyAlignment="1">
      <alignment horizontal="center" vertical="center"/>
    </xf>
    <xf numFmtId="0" fontId="9" fillId="43" borderId="13" xfId="0" applyFont="1" applyFill="1" applyBorder="1" applyAlignment="1">
      <alignment horizontal="center" vertical="center"/>
    </xf>
    <xf numFmtId="0" fontId="9" fillId="43" borderId="15" xfId="0" applyFont="1" applyFill="1" applyBorder="1" applyAlignment="1">
      <alignment horizontal="center" vertical="center"/>
    </xf>
    <xf numFmtId="0" fontId="9" fillId="43" borderId="16" xfId="0" applyFont="1" applyFill="1" applyBorder="1" applyAlignment="1">
      <alignment horizontal="center" vertical="center"/>
    </xf>
    <xf numFmtId="0" fontId="9" fillId="43" borderId="17" xfId="0" applyFont="1" applyFill="1" applyBorder="1" applyAlignment="1">
      <alignment horizontal="center" vertical="center"/>
    </xf>
    <xf numFmtId="0" fontId="11" fillId="43" borderId="3" xfId="0" applyFont="1" applyFill="1" applyBorder="1" applyAlignment="1">
      <alignment horizontal="center" vertical="center"/>
    </xf>
    <xf numFmtId="0" fontId="11" fillId="43" borderId="17" xfId="0" applyFont="1" applyFill="1" applyBorder="1" applyAlignment="1">
      <alignment horizontal="center" vertical="center"/>
    </xf>
    <xf numFmtId="164" fontId="9" fillId="43" borderId="4" xfId="0" applyNumberFormat="1" applyFont="1" applyFill="1" applyBorder="1" applyAlignment="1">
      <alignment horizontal="center" vertical="center"/>
    </xf>
    <xf numFmtId="164" fontId="9" fillId="43" borderId="6" xfId="0" applyNumberFormat="1" applyFont="1" applyFill="1" applyBorder="1" applyAlignment="1">
      <alignment horizontal="center" vertical="center"/>
    </xf>
    <xf numFmtId="164" fontId="9" fillId="10" borderId="4" xfId="0" applyNumberFormat="1" applyFont="1" applyFill="1" applyBorder="1" applyAlignment="1">
      <alignment horizontal="center" vertical="center"/>
    </xf>
    <xf numFmtId="164" fontId="9" fillId="10" borderId="6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4" fontId="9" fillId="10" borderId="3" xfId="0" applyNumberFormat="1" applyFont="1" applyFill="1" applyBorder="1" applyAlignment="1">
      <alignment horizontal="center" vertical="center"/>
    </xf>
    <xf numFmtId="14" fontId="9" fillId="10" borderId="8" xfId="0" applyNumberFormat="1" applyFont="1" applyFill="1" applyBorder="1" applyAlignment="1">
      <alignment horizontal="center" vertical="center"/>
    </xf>
    <xf numFmtId="14" fontId="9" fillId="10" borderId="5" xfId="0" applyNumberFormat="1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728C5D"/>
      <color rgb="FFC6DBC3"/>
      <color rgb="FFDFF4DA"/>
      <color rgb="FFE7FFE1"/>
      <color rgb="FFFFFFFB"/>
      <color rgb="FFD8FFD5"/>
      <color rgb="FFFFFFF0"/>
      <color rgb="FFA9E3F2"/>
      <color rgb="FFFF7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Número de turistas por</a:t>
            </a:r>
            <a:r>
              <a:rPr lang="es-ES_tradnl" baseline="0"/>
              <a:t> pais</a:t>
            </a:r>
            <a:r>
              <a:rPr lang="es-ES_tradnl"/>
              <a:t> y variación porcentual respecto a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'5'!$BS$9</c:f>
              <c:strCache>
                <c:ptCount val="1"/>
                <c:pt idx="0">
                  <c:v>TURISTAS (Millones)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A9E3F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DA-454A-AE00-AEC479346DB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3DA-454A-AE00-AEC479346DB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DA-454A-AE00-AEC479346DB4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DA-454A-AE00-AEC479346DB4}"/>
              </c:ext>
            </c:extLst>
          </c:dPt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'5'!$BS$10:$BS$13</c:f>
              <c:numCache>
                <c:formatCode>General</c:formatCode>
                <c:ptCount val="4"/>
                <c:pt idx="0">
                  <c:v>17.3</c:v>
                </c:pt>
                <c:pt idx="1">
                  <c:v>11.8</c:v>
                </c:pt>
                <c:pt idx="2">
                  <c:v>10.8</c:v>
                </c:pt>
                <c:pt idx="3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A-454A-AE00-AEC479346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030895"/>
        <c:axId val="609947919"/>
      </c:barChart>
      <c:lineChart>
        <c:grouping val="standard"/>
        <c:varyColors val="0"/>
        <c:ser>
          <c:idx val="1"/>
          <c:order val="1"/>
          <c:tx>
            <c:strRef>
              <c:f>'5'!$BT$9</c:f>
              <c:strCache>
                <c:ptCount val="1"/>
                <c:pt idx="0">
                  <c:v>RESPECTO 2022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'5'!$BT$10:$BT$13</c:f>
              <c:numCache>
                <c:formatCode>0%</c:formatCode>
                <c:ptCount val="4"/>
                <c:pt idx="0" formatCode="0.00%">
                  <c:v>0.14599999999999999</c:v>
                </c:pt>
                <c:pt idx="1">
                  <c:v>0.17</c:v>
                </c:pt>
                <c:pt idx="2" formatCode="0.00%">
                  <c:v>0.106</c:v>
                </c:pt>
                <c:pt idx="3" formatCode="0.00%">
                  <c:v>0.38700000000000001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A-454A-AE00-AEC479346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32655"/>
        <c:axId val="579717199"/>
      </c:lineChart>
      <c:catAx>
        <c:axId val="5690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947919"/>
        <c:crosses val="autoZero"/>
        <c:auto val="1"/>
        <c:lblAlgn val="ctr"/>
        <c:lblOffset val="100"/>
        <c:noMultiLvlLbl val="0"/>
      </c:catAx>
      <c:valAx>
        <c:axId val="6099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9030895"/>
        <c:crosses val="autoZero"/>
        <c:crossBetween val="between"/>
      </c:valAx>
      <c:valAx>
        <c:axId val="579717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532655"/>
        <c:crosses val="max"/>
        <c:crossBetween val="between"/>
      </c:valAx>
      <c:catAx>
        <c:axId val="579532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9717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Ingresos y variación porcentual respecto a 2022</a:t>
            </a:r>
            <a:r>
              <a:rPr lang="es-ES_tradnl" baseline="0"/>
              <a:t> y 2019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'5'!$BU$9</c:f>
              <c:strCache>
                <c:ptCount val="1"/>
                <c:pt idx="0">
                  <c:v>EUROS (Millones de 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1E4-E24E-B690-7EF48B0178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E4-E24E-B690-7EF48B01783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1E4-E24E-B690-7EF48B017833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E4-E24E-B690-7EF48B017833}"/>
              </c:ext>
            </c:extLst>
          </c:dPt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'5'!$BU$10:$BU$13</c:f>
              <c:numCache>
                <c:formatCode>_("€"* #,##0.00_);_("€"* \(#,##0.00\);_("€"* "-"??_);_(@_)</c:formatCode>
                <c:ptCount val="4"/>
                <c:pt idx="0">
                  <c:v>19000</c:v>
                </c:pt>
                <c:pt idx="1">
                  <c:v>9767</c:v>
                </c:pt>
                <c:pt idx="2">
                  <c:v>12900</c:v>
                </c:pt>
                <c:pt idx="3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4-E24E-B690-7EF48B01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030895"/>
        <c:axId val="609947919"/>
      </c:barChart>
      <c:lineChart>
        <c:grouping val="standard"/>
        <c:varyColors val="0"/>
        <c:ser>
          <c:idx val="1"/>
          <c:order val="1"/>
          <c:tx>
            <c:strRef>
              <c:f>'5'!$BV$9</c:f>
              <c:strCache>
                <c:ptCount val="1"/>
                <c:pt idx="0">
                  <c:v>RESPECTO 2022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'5'!$BV$10:$BV$13</c:f>
              <c:numCache>
                <c:formatCode>0.00%</c:formatCode>
                <c:ptCount val="4"/>
                <c:pt idx="0">
                  <c:v>0.16300000000000001</c:v>
                </c:pt>
                <c:pt idx="1">
                  <c:v>0.19700000000000001</c:v>
                </c:pt>
                <c:pt idx="2">
                  <c:v>0.126</c:v>
                </c:pt>
                <c:pt idx="3" formatCode="0%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4-E24E-B690-7EF48B017833}"/>
            </c:ext>
          </c:extLst>
        </c:ser>
        <c:ser>
          <c:idx val="2"/>
          <c:order val="2"/>
          <c:tx>
            <c:strRef>
              <c:f>'5'!$BW$9</c:f>
              <c:strCache>
                <c:ptCount val="1"/>
                <c:pt idx="0">
                  <c:v>RESPECTO 2019 (%)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'5'!$BW$10:$BW$13</c:f>
              <c:numCache>
                <c:formatCode>0.00%</c:formatCode>
                <c:ptCount val="4"/>
                <c:pt idx="0">
                  <c:v>0.11799999999999999</c:v>
                </c:pt>
                <c:pt idx="1">
                  <c:v>0.28599999999999998</c:v>
                </c:pt>
                <c:pt idx="2">
                  <c:v>0.111</c:v>
                </c:pt>
                <c:pt idx="3">
                  <c:v>0.36399999999999999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4-E24E-B690-7EF48B01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32655"/>
        <c:axId val="579717199"/>
      </c:lineChart>
      <c:catAx>
        <c:axId val="5690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947919"/>
        <c:crosses val="autoZero"/>
        <c:auto val="1"/>
        <c:lblAlgn val="ctr"/>
        <c:lblOffset val="100"/>
        <c:noMultiLvlLbl val="0"/>
      </c:catAx>
      <c:valAx>
        <c:axId val="6099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9030895"/>
        <c:crosses val="autoZero"/>
        <c:crossBetween val="between"/>
      </c:valAx>
      <c:valAx>
        <c:axId val="579717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532655"/>
        <c:crosses val="max"/>
        <c:crossBetween val="between"/>
      </c:valAx>
      <c:catAx>
        <c:axId val="579532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9717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'5'!$BS$31</c:f>
              <c:strCache>
                <c:ptCount val="1"/>
                <c:pt idx="0">
                  <c:v>TURISTAS (Millones)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'5'!$BR$32:$BR$36</c:f>
              <c:strCache>
                <c:ptCount val="5"/>
                <c:pt idx="0">
                  <c:v>CATALUÑA</c:v>
                </c:pt>
                <c:pt idx="1">
                  <c:v>ISLAS BALEARES</c:v>
                </c:pt>
                <c:pt idx="2">
                  <c:v>ISLAS CANARIAS</c:v>
                </c:pt>
                <c:pt idx="3">
                  <c:v>VALENCIA</c:v>
                </c:pt>
                <c:pt idx="4">
                  <c:v>MADRID</c:v>
                </c:pt>
              </c:strCache>
            </c:strRef>
          </c:cat>
          <c:val>
            <c:numRef>
              <c:f>'5'!$BS$32:$BS$36</c:f>
              <c:numCache>
                <c:formatCode>General</c:formatCode>
                <c:ptCount val="5"/>
                <c:pt idx="0">
                  <c:v>18</c:v>
                </c:pt>
                <c:pt idx="1">
                  <c:v>14</c:v>
                </c:pt>
                <c:pt idx="2">
                  <c:v>13.9</c:v>
                </c:pt>
                <c:pt idx="3">
                  <c:v>10.4</c:v>
                </c:pt>
                <c:pt idx="4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3-964F-8A93-0B8D6E6A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86847"/>
        <c:axId val="534538111"/>
      </c:barChart>
      <c:lineChart>
        <c:grouping val="standard"/>
        <c:varyColors val="0"/>
        <c:ser>
          <c:idx val="1"/>
          <c:order val="1"/>
          <c:tx>
            <c:strRef>
              <c:f>'5'!$BT$31</c:f>
              <c:strCache>
                <c:ptCount val="1"/>
                <c:pt idx="0">
                  <c:v>RESPECTO 2022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'5'!$BR$32:$BR$36</c:f>
              <c:strCache>
                <c:ptCount val="5"/>
                <c:pt idx="0">
                  <c:v>CATALUÑA</c:v>
                </c:pt>
                <c:pt idx="1">
                  <c:v>ISLAS BALEARES</c:v>
                </c:pt>
                <c:pt idx="2">
                  <c:v>ISLAS CANARIAS</c:v>
                </c:pt>
                <c:pt idx="3">
                  <c:v>VALENCIA</c:v>
                </c:pt>
                <c:pt idx="4">
                  <c:v>MADRID</c:v>
                </c:pt>
              </c:strCache>
            </c:strRef>
          </c:cat>
          <c:val>
            <c:numRef>
              <c:f>'5'!$BT$32:$BT$36</c:f>
              <c:numCache>
                <c:formatCode>0.00%</c:formatCode>
                <c:ptCount val="5"/>
                <c:pt idx="0">
                  <c:v>0.21199999999999999</c:v>
                </c:pt>
                <c:pt idx="1">
                  <c:v>9.0999999999999998E-2</c:v>
                </c:pt>
                <c:pt idx="2">
                  <c:v>0.13100000000000001</c:v>
                </c:pt>
                <c:pt idx="3">
                  <c:v>0.218</c:v>
                </c:pt>
                <c:pt idx="4">
                  <c:v>0.29599999999999999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3-964F-8A93-0B8D6E6A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556015"/>
        <c:axId val="498571551"/>
      </c:lineChart>
      <c:catAx>
        <c:axId val="5156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4538111"/>
        <c:crosses val="autoZero"/>
        <c:auto val="1"/>
        <c:lblAlgn val="ctr"/>
        <c:lblOffset val="100"/>
        <c:noMultiLvlLbl val="0"/>
      </c:catAx>
      <c:valAx>
        <c:axId val="53453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686847"/>
        <c:crosses val="autoZero"/>
        <c:crossBetween val="between"/>
      </c:valAx>
      <c:valAx>
        <c:axId val="4985715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556015"/>
        <c:crosses val="max"/>
        <c:crossBetween val="between"/>
      </c:valAx>
      <c:catAx>
        <c:axId val="498556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571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Ingresos por</a:t>
            </a:r>
            <a:r>
              <a:rPr lang="es-ES_tradnl" baseline="0"/>
              <a:t> CCAA</a:t>
            </a:r>
            <a:r>
              <a:rPr lang="es-ES_tradnl"/>
              <a:t> y variación porcentual respecto a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'5'!$BV$34</c:f>
              <c:strCache>
                <c:ptCount val="1"/>
                <c:pt idx="0">
                  <c:v>EUROS (Millones de 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FE-AC4B-A7CD-8F40037AC5F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FE-AC4B-A7CD-8F40037AC5F4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FE-AC4B-A7CD-8F40037AC5F4}"/>
              </c:ext>
            </c:extLst>
          </c:dPt>
          <c:cat>
            <c:strRef>
              <c:f>'5'!$BU$35:$BU$38</c:f>
              <c:strCache>
                <c:ptCount val="4"/>
                <c:pt idx="0">
                  <c:v>CATALUÑA</c:v>
                </c:pt>
                <c:pt idx="1">
                  <c:v>ISLAS CANARIAS</c:v>
                </c:pt>
                <c:pt idx="2">
                  <c:v>ISLAS BALEARES</c:v>
                </c:pt>
                <c:pt idx="3">
                  <c:v>ANDALUCÍA</c:v>
                </c:pt>
              </c:strCache>
            </c:strRef>
          </c:cat>
          <c:val>
            <c:numRef>
              <c:f>'5'!$BV$35:$BV$38</c:f>
              <c:numCache>
                <c:formatCode>_("€"* #,##0.00_);_("€"* \(#,##0.00\);_("€"* "-"??_);_(@_)</c:formatCode>
                <c:ptCount val="4"/>
                <c:pt idx="0">
                  <c:v>20887</c:v>
                </c:pt>
                <c:pt idx="1">
                  <c:v>17722</c:v>
                </c:pt>
                <c:pt idx="2">
                  <c:v>20333</c:v>
                </c:pt>
                <c:pt idx="3">
                  <c:v>15361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E-AC4B-A7CD-8F40037A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030895"/>
        <c:axId val="609947919"/>
      </c:barChart>
      <c:lineChart>
        <c:grouping val="standard"/>
        <c:varyColors val="0"/>
        <c:ser>
          <c:idx val="1"/>
          <c:order val="1"/>
          <c:tx>
            <c:strRef>
              <c:f>'5'!$BW$34</c:f>
              <c:strCache>
                <c:ptCount val="1"/>
                <c:pt idx="0">
                  <c:v>RESPECTO 2022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'5'!$BR$10:$BR$13</c:f>
              <c:strCache>
                <c:ptCount val="4"/>
                <c:pt idx="0">
                  <c:v>REINO UNIDO</c:v>
                </c:pt>
                <c:pt idx="1">
                  <c:v>FRANCIA</c:v>
                </c:pt>
                <c:pt idx="2">
                  <c:v>ALEMANIA</c:v>
                </c:pt>
                <c:pt idx="3">
                  <c:v>EEUU</c:v>
                </c:pt>
              </c:strCache>
            </c:strRef>
          </c:cat>
          <c:val>
            <c:numRef>
              <c:f>'5'!$BW$35:$BW$38</c:f>
              <c:numCache>
                <c:formatCode>0.00%</c:formatCode>
                <c:ptCount val="4"/>
                <c:pt idx="0">
                  <c:v>0.26700000000000002</c:v>
                </c:pt>
                <c:pt idx="1">
                  <c:v>0.16400000000000001</c:v>
                </c:pt>
                <c:pt idx="2">
                  <c:v>0.16500000000000001</c:v>
                </c:pt>
                <c:pt idx="3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FE-AC4B-A7CD-8F40037A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32655"/>
        <c:axId val="579717199"/>
      </c:lineChart>
      <c:catAx>
        <c:axId val="5690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947919"/>
        <c:crosses val="autoZero"/>
        <c:auto val="1"/>
        <c:lblAlgn val="ctr"/>
        <c:lblOffset val="100"/>
        <c:noMultiLvlLbl val="0"/>
      </c:catAx>
      <c:valAx>
        <c:axId val="6099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9030895"/>
        <c:crosses val="autoZero"/>
        <c:crossBetween val="between"/>
      </c:valAx>
      <c:valAx>
        <c:axId val="579717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532655"/>
        <c:crosses val="max"/>
        <c:crossBetween val="between"/>
      </c:valAx>
      <c:catAx>
        <c:axId val="579532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9717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648095</xdr:colOff>
      <xdr:row>1</xdr:row>
      <xdr:rowOff>127001</xdr:rowOff>
    </xdr:from>
    <xdr:ext cx="3692746" cy="907738"/>
    <xdr:pic>
      <xdr:nvPicPr>
        <xdr:cNvPr id="2" name="Imagen 1">
          <a:extLst>
            <a:ext uri="{FF2B5EF4-FFF2-40B4-BE49-F238E27FC236}">
              <a16:creationId xmlns:a16="http://schemas.microsoft.com/office/drawing/2014/main" id="{0022D05E-B082-4E4B-96AB-3E416A72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595" y="330201"/>
          <a:ext cx="3692746" cy="907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599622</xdr:colOff>
      <xdr:row>11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DE08EFB7-BAB3-4F4E-B791-966968C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55522" y="2513692"/>
          <a:ext cx="2085197" cy="695382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43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F2E0DAEC-744A-AC4A-9A80-E9C63117A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28736" y="10139135"/>
          <a:ext cx="2600506" cy="867230"/>
        </a:xfrm>
        <a:prstGeom prst="rect">
          <a:avLst/>
        </a:prstGeom>
      </xdr:spPr>
    </xdr:pic>
    <xdr:clientData/>
  </xdr:oneCellAnchor>
  <xdr:oneCellAnchor>
    <xdr:from>
      <xdr:col>69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C1530E27-A7A2-8948-AD7F-4B9C1D89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7942" y="515255"/>
          <a:ext cx="2706595" cy="90260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648095</xdr:colOff>
      <xdr:row>1</xdr:row>
      <xdr:rowOff>127001</xdr:rowOff>
    </xdr:from>
    <xdr:ext cx="3692746" cy="907738"/>
    <xdr:pic>
      <xdr:nvPicPr>
        <xdr:cNvPr id="2" name="Imagen 1">
          <a:extLst>
            <a:ext uri="{FF2B5EF4-FFF2-40B4-BE49-F238E27FC236}">
              <a16:creationId xmlns:a16="http://schemas.microsoft.com/office/drawing/2014/main" id="{318E19F9-468E-3A43-A7D8-97775ACA5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595" y="330201"/>
          <a:ext cx="3692746" cy="907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599622</xdr:colOff>
      <xdr:row>11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8701F3C7-520E-EC49-B07C-4FDF2BDCA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06322" y="2412092"/>
          <a:ext cx="2085197" cy="695382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43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2150662A-D75D-FC41-8B66-187F4C882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9536" y="9974035"/>
          <a:ext cx="2600506" cy="867230"/>
        </a:xfrm>
        <a:prstGeom prst="rect">
          <a:avLst/>
        </a:prstGeom>
      </xdr:spPr>
    </xdr:pic>
    <xdr:clientData/>
  </xdr:oneCellAnchor>
  <xdr:oneCellAnchor>
    <xdr:from>
      <xdr:col>69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86FC6868-EB4C-EB41-934D-082B0C1E7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71442" y="515255"/>
          <a:ext cx="2706595" cy="902609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60</xdr:row>
      <xdr:rowOff>17235</xdr:rowOff>
    </xdr:from>
    <xdr:ext cx="2600506" cy="867230"/>
    <xdr:pic>
      <xdr:nvPicPr>
        <xdr:cNvPr id="6" name="Imagen 6">
          <a:extLst>
            <a:ext uri="{FF2B5EF4-FFF2-40B4-BE49-F238E27FC236}">
              <a16:creationId xmlns:a16="http://schemas.microsoft.com/office/drawing/2014/main" id="{46F03A4F-BD15-9348-BAD7-D7DF97EE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9536" y="13949135"/>
          <a:ext cx="2600506" cy="867230"/>
        </a:xfrm>
        <a:prstGeom prst="rect">
          <a:avLst/>
        </a:prstGeom>
      </xdr:spPr>
    </xdr:pic>
    <xdr:clientData/>
  </xdr:oneCellAnchor>
  <xdr:oneCellAnchor>
    <xdr:from>
      <xdr:col>59</xdr:col>
      <xdr:colOff>363414</xdr:colOff>
      <xdr:row>59</xdr:row>
      <xdr:rowOff>138910</xdr:rowOff>
    </xdr:from>
    <xdr:ext cx="2600506" cy="867230"/>
    <xdr:pic>
      <xdr:nvPicPr>
        <xdr:cNvPr id="7" name="Imagen 6">
          <a:extLst>
            <a:ext uri="{FF2B5EF4-FFF2-40B4-BE49-F238E27FC236}">
              <a16:creationId xmlns:a16="http://schemas.microsoft.com/office/drawing/2014/main" id="{DB7C7965-1582-DE4A-A32B-EC1D2FA9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04514" y="13854910"/>
          <a:ext cx="2600506" cy="86723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648095</xdr:colOff>
      <xdr:row>1</xdr:row>
      <xdr:rowOff>127001</xdr:rowOff>
    </xdr:from>
    <xdr:ext cx="3692746" cy="907738"/>
    <xdr:pic>
      <xdr:nvPicPr>
        <xdr:cNvPr id="2" name="Imagen 1">
          <a:extLst>
            <a:ext uri="{FF2B5EF4-FFF2-40B4-BE49-F238E27FC236}">
              <a16:creationId xmlns:a16="http://schemas.microsoft.com/office/drawing/2014/main" id="{CCD0EBE7-EA81-C149-8457-256FE3B5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595" y="330201"/>
          <a:ext cx="3692746" cy="907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599622</xdr:colOff>
      <xdr:row>11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43EC26B9-3C9A-8246-A59F-3BD37D2C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49122" y="2488292"/>
          <a:ext cx="2085197" cy="695382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43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F40861CB-C50A-974C-906F-857D0863E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822336" y="10101035"/>
          <a:ext cx="2600506" cy="867230"/>
        </a:xfrm>
        <a:prstGeom prst="rect">
          <a:avLst/>
        </a:prstGeom>
      </xdr:spPr>
    </xdr:pic>
    <xdr:clientData/>
  </xdr:oneCellAnchor>
  <xdr:oneCellAnchor>
    <xdr:from>
      <xdr:col>69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6216049D-54D3-2947-9649-F0857878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82442" y="515255"/>
          <a:ext cx="2706595" cy="90260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94074</xdr:colOff>
      <xdr:row>2</xdr:row>
      <xdr:rowOff>31359</xdr:rowOff>
    </xdr:from>
    <xdr:to>
      <xdr:col>4</xdr:col>
      <xdr:colOff>761686</xdr:colOff>
      <xdr:row>6</xdr:row>
      <xdr:rowOff>139176</xdr:rowOff>
    </xdr:to>
    <xdr:pic>
      <xdr:nvPicPr>
        <xdr:cNvPr id="2" name="Imagen 1" descr="Un imprescindible para tu negocio: Bella &amp; Canva - Wordans España">
          <a:extLst>
            <a:ext uri="{FF2B5EF4-FFF2-40B4-BE49-F238E27FC236}">
              <a16:creationId xmlns:a16="http://schemas.microsoft.com/office/drawing/2014/main" id="{BC217E04-7F49-3A43-83B5-B94755F9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0574" y="450459"/>
          <a:ext cx="1493112" cy="768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49</xdr:col>
      <xdr:colOff>599622</xdr:colOff>
      <xdr:row>11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EB2F1565-1122-F148-91F1-CBFCA942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55522" y="2361292"/>
          <a:ext cx="2085197" cy="695382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43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32A99B99-BA69-D34C-9DDE-5E2BD5B1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28736" y="9046935"/>
          <a:ext cx="2600506" cy="867230"/>
        </a:xfrm>
        <a:prstGeom prst="rect">
          <a:avLst/>
        </a:prstGeom>
      </xdr:spPr>
    </xdr:pic>
    <xdr:clientData/>
  </xdr:oneCellAnchor>
  <xdr:oneCellAnchor>
    <xdr:from>
      <xdr:col>69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2576B3EF-9384-A940-BDFB-053AC7A87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30142" y="515255"/>
          <a:ext cx="2706595" cy="90260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599622</xdr:colOff>
      <xdr:row>18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C3B1CCAB-A0D2-D444-8E47-804658771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88822" y="3986892"/>
          <a:ext cx="2085197" cy="695382"/>
        </a:xfrm>
        <a:prstGeom prst="rect">
          <a:avLst/>
        </a:prstGeom>
      </xdr:spPr>
    </xdr:pic>
    <xdr:clientData/>
  </xdr:oneCellAnchor>
  <xdr:oneCellAnchor>
    <xdr:from>
      <xdr:col>27</xdr:col>
      <xdr:colOff>372836</xdr:colOff>
      <xdr:row>50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B9613E75-7B6D-6447-8339-BB59737DC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62036" y="11434535"/>
          <a:ext cx="2600506" cy="867230"/>
        </a:xfrm>
        <a:prstGeom prst="rect">
          <a:avLst/>
        </a:prstGeom>
      </xdr:spPr>
    </xdr:pic>
    <xdr:clientData/>
  </xdr:oneCellAnchor>
  <xdr:oneCellAnchor>
    <xdr:from>
      <xdr:col>47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67A07F43-C16A-4F42-9043-75EE4C69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42" y="515255"/>
          <a:ext cx="2706595" cy="902609"/>
        </a:xfrm>
        <a:prstGeom prst="rect">
          <a:avLst/>
        </a:prstGeom>
      </xdr:spPr>
    </xdr:pic>
    <xdr:clientData/>
  </xdr:oneCellAnchor>
  <xdr:twoCellAnchor editAs="oneCell">
    <xdr:from>
      <xdr:col>3</xdr:col>
      <xdr:colOff>235169</xdr:colOff>
      <xdr:row>2</xdr:row>
      <xdr:rowOff>57456</xdr:rowOff>
    </xdr:from>
    <xdr:to>
      <xdr:col>4</xdr:col>
      <xdr:colOff>459827</xdr:colOff>
      <xdr:row>5</xdr:row>
      <xdr:rowOff>161406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CFAC94-4276-D148-8383-E9F3A2352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1376" y="451594"/>
          <a:ext cx="1056727" cy="6951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599622</xdr:colOff>
      <xdr:row>25</xdr:row>
      <xdr:rowOff>62592</xdr:rowOff>
    </xdr:from>
    <xdr:ext cx="2085197" cy="695382"/>
    <xdr:pic>
      <xdr:nvPicPr>
        <xdr:cNvPr id="3" name="Imagen 2">
          <a:extLst>
            <a:ext uri="{FF2B5EF4-FFF2-40B4-BE49-F238E27FC236}">
              <a16:creationId xmlns:a16="http://schemas.microsoft.com/office/drawing/2014/main" id="{60CD042F-9BE4-5E48-BA83-69C7E3435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49122" y="2488292"/>
          <a:ext cx="2085197" cy="695382"/>
        </a:xfrm>
        <a:prstGeom prst="rect">
          <a:avLst/>
        </a:prstGeom>
      </xdr:spPr>
    </xdr:pic>
    <xdr:clientData/>
  </xdr:oneCellAnchor>
  <xdr:oneCellAnchor>
    <xdr:from>
      <xdr:col>49</xdr:col>
      <xdr:colOff>372836</xdr:colOff>
      <xdr:row>57</xdr:row>
      <xdr:rowOff>17235</xdr:rowOff>
    </xdr:from>
    <xdr:ext cx="2600506" cy="867230"/>
    <xdr:pic>
      <xdr:nvPicPr>
        <xdr:cNvPr id="4" name="Imagen 6">
          <a:extLst>
            <a:ext uri="{FF2B5EF4-FFF2-40B4-BE49-F238E27FC236}">
              <a16:creationId xmlns:a16="http://schemas.microsoft.com/office/drawing/2014/main" id="{9E5C3B6A-5C62-CC4A-9E23-2FF155F5C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2336" y="9720035"/>
          <a:ext cx="2600506" cy="867230"/>
        </a:xfrm>
        <a:prstGeom prst="rect">
          <a:avLst/>
        </a:prstGeom>
      </xdr:spPr>
    </xdr:pic>
    <xdr:clientData/>
  </xdr:oneCellAnchor>
  <xdr:oneCellAnchor>
    <xdr:from>
      <xdr:col>69</xdr:col>
      <xdr:colOff>322942</xdr:colOff>
      <xdr:row>2</xdr:row>
      <xdr:rowOff>96155</xdr:rowOff>
    </xdr:from>
    <xdr:ext cx="2706595" cy="902609"/>
    <xdr:pic>
      <xdr:nvPicPr>
        <xdr:cNvPr id="5" name="Imagen 4">
          <a:extLst>
            <a:ext uri="{FF2B5EF4-FFF2-40B4-BE49-F238E27FC236}">
              <a16:creationId xmlns:a16="http://schemas.microsoft.com/office/drawing/2014/main" id="{6E456FD2-35FA-9A44-9483-256FBE4AE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2442" y="515255"/>
          <a:ext cx="2706595" cy="902609"/>
        </a:xfrm>
        <a:prstGeom prst="rect">
          <a:avLst/>
        </a:prstGeom>
      </xdr:spPr>
    </xdr:pic>
    <xdr:clientData/>
  </xdr:oneCellAnchor>
  <xdr:twoCellAnchor editAs="oneCell">
    <xdr:from>
      <xdr:col>2</xdr:col>
      <xdr:colOff>660400</xdr:colOff>
      <xdr:row>2</xdr:row>
      <xdr:rowOff>127000</xdr:rowOff>
    </xdr:from>
    <xdr:to>
      <xdr:col>5</xdr:col>
      <xdr:colOff>88900</xdr:colOff>
      <xdr:row>6</xdr:row>
      <xdr:rowOff>20864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9B8D96-A795-E845-A571-0CF1B191C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1400" y="520700"/>
          <a:ext cx="1905000" cy="698500"/>
        </a:xfrm>
        <a:prstGeom prst="rect">
          <a:avLst/>
        </a:prstGeom>
      </xdr:spPr>
    </xdr:pic>
    <xdr:clientData/>
  </xdr:twoCellAnchor>
  <xdr:oneCellAnchor>
    <xdr:from>
      <xdr:col>49</xdr:col>
      <xdr:colOff>372836</xdr:colOff>
      <xdr:row>114</xdr:row>
      <xdr:rowOff>17235</xdr:rowOff>
    </xdr:from>
    <xdr:ext cx="2600506" cy="867230"/>
    <xdr:pic>
      <xdr:nvPicPr>
        <xdr:cNvPr id="11" name="Imagen 6">
          <a:extLst>
            <a:ext uri="{FF2B5EF4-FFF2-40B4-BE49-F238E27FC236}">
              <a16:creationId xmlns:a16="http://schemas.microsoft.com/office/drawing/2014/main" id="{FB046F9F-D7ED-8B42-BDA0-7D1A318D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5436" y="11091635"/>
          <a:ext cx="2600506" cy="86723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599622</xdr:colOff>
      <xdr:row>10</xdr:row>
      <xdr:rowOff>62592</xdr:rowOff>
    </xdr:from>
    <xdr:ext cx="2085197" cy="695382"/>
    <xdr:pic>
      <xdr:nvPicPr>
        <xdr:cNvPr id="2" name="Imagen 1">
          <a:extLst>
            <a:ext uri="{FF2B5EF4-FFF2-40B4-BE49-F238E27FC236}">
              <a16:creationId xmlns:a16="http://schemas.microsoft.com/office/drawing/2014/main" id="{5D94B296-BEAF-0646-A0F6-04E7881C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49122" y="5142592"/>
          <a:ext cx="2085197" cy="695382"/>
        </a:xfrm>
        <a:prstGeom prst="rect">
          <a:avLst/>
        </a:prstGeom>
      </xdr:spPr>
    </xdr:pic>
    <xdr:clientData/>
  </xdr:oneCellAnchor>
  <xdr:oneCellAnchor>
    <xdr:from>
      <xdr:col>24</xdr:col>
      <xdr:colOff>372836</xdr:colOff>
      <xdr:row>42</xdr:row>
      <xdr:rowOff>17235</xdr:rowOff>
    </xdr:from>
    <xdr:ext cx="2600506" cy="867230"/>
    <xdr:pic>
      <xdr:nvPicPr>
        <xdr:cNvPr id="3" name="Imagen 6">
          <a:extLst>
            <a:ext uri="{FF2B5EF4-FFF2-40B4-BE49-F238E27FC236}">
              <a16:creationId xmlns:a16="http://schemas.microsoft.com/office/drawing/2014/main" id="{305E8099-AFC3-8443-A549-DB8824CC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2336" y="11599635"/>
          <a:ext cx="2600506" cy="867230"/>
        </a:xfrm>
        <a:prstGeom prst="rect">
          <a:avLst/>
        </a:prstGeom>
      </xdr:spPr>
    </xdr:pic>
    <xdr:clientData/>
  </xdr:oneCellAnchor>
  <xdr:oneCellAnchor>
    <xdr:from>
      <xdr:col>43</xdr:col>
      <xdr:colOff>322942</xdr:colOff>
      <xdr:row>2</xdr:row>
      <xdr:rowOff>96155</xdr:rowOff>
    </xdr:from>
    <xdr:ext cx="2706595" cy="902609"/>
    <xdr:pic>
      <xdr:nvPicPr>
        <xdr:cNvPr id="4" name="Imagen 3">
          <a:extLst>
            <a:ext uri="{FF2B5EF4-FFF2-40B4-BE49-F238E27FC236}">
              <a16:creationId xmlns:a16="http://schemas.microsoft.com/office/drawing/2014/main" id="{41D78A9E-F86E-7043-A5C2-70AA6A4F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2442" y="502555"/>
          <a:ext cx="2706595" cy="902609"/>
        </a:xfrm>
        <a:prstGeom prst="rect">
          <a:avLst/>
        </a:prstGeom>
      </xdr:spPr>
    </xdr:pic>
    <xdr:clientData/>
  </xdr:oneCellAnchor>
  <xdr:twoCellAnchor>
    <xdr:from>
      <xdr:col>67</xdr:col>
      <xdr:colOff>423333</xdr:colOff>
      <xdr:row>13</xdr:row>
      <xdr:rowOff>137203</xdr:rowOff>
    </xdr:from>
    <xdr:to>
      <xdr:col>74</xdr:col>
      <xdr:colOff>267024</xdr:colOff>
      <xdr:row>28</xdr:row>
      <xdr:rowOff>173675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F20A21F-2EC4-AC42-B551-B9069F39E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759829</xdr:colOff>
      <xdr:row>9</xdr:row>
      <xdr:rowOff>151966</xdr:rowOff>
    </xdr:from>
    <xdr:to>
      <xdr:col>82</xdr:col>
      <xdr:colOff>722922</xdr:colOff>
      <xdr:row>24</xdr:row>
      <xdr:rowOff>188438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2705FE7-FFC8-394C-B31C-534989A82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335410</xdr:colOff>
      <xdr:row>29</xdr:row>
      <xdr:rowOff>191478</xdr:rowOff>
    </xdr:from>
    <xdr:to>
      <xdr:col>81</xdr:col>
      <xdr:colOff>739205</xdr:colOff>
      <xdr:row>43</xdr:row>
      <xdr:rowOff>47327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1F09304-8EDC-DE42-BFC2-7299F5B16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0</xdr:colOff>
      <xdr:row>41</xdr:row>
      <xdr:rowOff>0</xdr:rowOff>
    </xdr:from>
    <xdr:to>
      <xdr:col>76</xdr:col>
      <xdr:colOff>646938</xdr:colOff>
      <xdr:row>56</xdr:row>
      <xdr:rowOff>36472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861D26BD-F0CC-5044-98D4-7E8D18C68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onzalo Vicinay Candau" id="{65D185FE-107F-7740-8EA6-7B61EFF194A6}" userId="S::9000360@alumnos.ufv.es::d11571c2-1932-4c6b-9d04-bc4041d110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nzalo Vicinay Candau" refreshedDate="45977.009323842591" createdVersion="7" refreshedVersion="7" minRefreshableVersion="3" recordCount="154" xr:uid="{7CC8DF1C-8A32-3247-9252-23E509D411DA}">
  <cacheSource type="worksheet">
    <worksheetSource ref="E1:J155" sheet="CLIENTES"/>
  </cacheSource>
  <cacheFields count="6">
    <cacheField name="CLIENTE" numFmtId="0">
      <sharedItems count="74">
        <s v="JAIME MILL"/>
        <s v="PETER"/>
        <s v="LUIS CANADA"/>
        <s v="JAIME BUSTAMANTE"/>
        <s v="QUINTANA"/>
        <s v="MUÑOZ"/>
        <s v="PUIG AMIGO JACO"/>
        <s v="GA"/>
        <s v="NACHO PEREZ"/>
        <s v="CASAPE"/>
        <s v="JUANTO"/>
        <s v="DIEGO AMIGO JACO"/>
        <s v="JAIME X"/>
        <s v="AMIGO ANGEL"/>
        <s v="GENOVEVA"/>
        <s v="CANDELA"/>
        <s v="ANGEL AMIGO JACO"/>
        <s v="JUANMA"/>
        <s v="JORGE PUIG"/>
        <s v="BARALLOBRE"/>
        <s v="FORMARIZ"/>
        <s v="DOMINGUEZ"/>
        <s v="IÑIGO"/>
        <s v="TITO"/>
        <s v="CARLOTA DEL OLMO"/>
        <s v="RODRI AMIGO JACO"/>
        <s v="MARIO MIRON"/>
        <s v="CHIARRI"/>
        <s v="CHORVO"/>
        <s v="ALVARO NISTAL"/>
        <s v="VINTED"/>
        <s v="NICO RUIZ"/>
        <s v="BARTA"/>
        <s v="ASTARLOA"/>
        <s v="RUBINI"/>
        <s v="NICO DIAMANTO"/>
        <s v="DIRECTOR AMIGO JACO"/>
        <s v="JOSE AMIGO JACO"/>
        <s v="IAGO AMIGO JACO"/>
        <s v="CASADO"/>
        <s v="BRUNITO"/>
        <s v="JP"/>
        <s v="PUPI"/>
        <s v="SESE"/>
        <s v="NACHO BENITO"/>
        <s v="CUERVO"/>
        <s v="GABRIEL"/>
        <s v="NATHAN"/>
        <s v="CRIS ARTEAGA"/>
        <s v="CANALES"/>
        <s v="CARMEN"/>
        <s v="ALEX DELCAUX"/>
        <s v="SAMUEL"/>
        <s v="VICTOR PUJOL"/>
        <s v="CAMACHO"/>
        <s v="JAIME RAMIREZ"/>
        <s v="LAURA PUIG"/>
        <s v="DIEGUITO"/>
        <s v="WEITERS"/>
        <s v="FELIX"/>
        <s v="ANA AMIGA JACO"/>
        <s v="MONICA AMIGA JACO"/>
        <s v="MARQUINA"/>
        <s v="RITXI AMIGO JACO"/>
        <s v="ALVARO PEREZ"/>
        <s v="TOMAS ACHA"/>
        <s v="CANTERO"/>
        <s v="MMEDRANO"/>
        <s v="LUCAS MARTINEZ"/>
        <s v="ALVARO GOMEZ"/>
        <s v="ALEX GARCIA"/>
        <s v="SUAREZ"/>
        <s v="JORGE CALVO"/>
        <s v="SANDRO ROCCI "/>
      </sharedItems>
    </cacheField>
    <cacheField name="TALLA 2" numFmtId="0">
      <sharedItems count="3">
        <s v="M"/>
        <s v="L"/>
        <s v="M, L"/>
      </sharedItems>
    </cacheField>
    <cacheField name="TALLA" numFmtId="0">
      <sharedItems containsSemiMixedTypes="0" containsString="0" containsNumber="1" containsInteger="1" minValue="1" maxValue="3" count="3">
        <n v="1"/>
        <n v="2"/>
        <n v="3"/>
      </sharedItems>
    </cacheField>
    <cacheField name="UNIDADES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INGRESO" numFmtId="0">
      <sharedItems containsSemiMixedTypes="0" containsString="0" containsNumber="1" minValue="0" maxValue="232" count="36">
        <n v="120"/>
        <n v="105"/>
        <n v="80"/>
        <n v="112"/>
        <n v="55"/>
        <n v="232"/>
        <n v="30"/>
        <n v="40"/>
        <n v="78"/>
        <n v="63"/>
        <n v="29"/>
        <n v="49"/>
        <n v="34"/>
        <n v="45"/>
        <n v="52.7"/>
        <n v="54.3"/>
        <n v="39"/>
        <n v="27"/>
        <n v="73"/>
        <n v="100"/>
        <n v="25"/>
        <n v="19"/>
        <n v="38"/>
        <n v="70"/>
        <n v="35"/>
        <n v="60"/>
        <n v="0"/>
        <n v="69"/>
        <n v="96"/>
        <n v="33"/>
        <n v="26"/>
        <n v="44"/>
        <n v="76"/>
        <n v="77"/>
        <n v="24"/>
        <n v="66"/>
      </sharedItems>
    </cacheField>
    <cacheField name="DROP" numFmtId="0">
      <sharedItems count="7">
        <s v="DROP 1"/>
        <s v="DROP 2"/>
        <s v="SUMMER DROP"/>
        <s v="A33 X NO ART"/>
        <s v="DROP 3"/>
        <s v="DROP 4"/>
        <s v="DROP 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x v="0"/>
    <x v="0"/>
    <x v="0"/>
    <x v="0"/>
    <x v="0"/>
    <x v="0"/>
  </r>
  <r>
    <x v="1"/>
    <x v="0"/>
    <x v="0"/>
    <x v="1"/>
    <x v="1"/>
    <x v="0"/>
  </r>
  <r>
    <x v="2"/>
    <x v="0"/>
    <x v="0"/>
    <x v="1"/>
    <x v="2"/>
    <x v="0"/>
  </r>
  <r>
    <x v="3"/>
    <x v="0"/>
    <x v="0"/>
    <x v="0"/>
    <x v="3"/>
    <x v="0"/>
  </r>
  <r>
    <x v="4"/>
    <x v="1"/>
    <x v="1"/>
    <x v="2"/>
    <x v="4"/>
    <x v="0"/>
  </r>
  <r>
    <x v="5"/>
    <x v="1"/>
    <x v="1"/>
    <x v="3"/>
    <x v="5"/>
    <x v="0"/>
  </r>
  <r>
    <x v="6"/>
    <x v="0"/>
    <x v="0"/>
    <x v="2"/>
    <x v="6"/>
    <x v="0"/>
  </r>
  <r>
    <x v="7"/>
    <x v="0"/>
    <x v="0"/>
    <x v="2"/>
    <x v="6"/>
    <x v="0"/>
  </r>
  <r>
    <x v="8"/>
    <x v="0"/>
    <x v="0"/>
    <x v="2"/>
    <x v="6"/>
    <x v="0"/>
  </r>
  <r>
    <x v="9"/>
    <x v="0"/>
    <x v="0"/>
    <x v="2"/>
    <x v="6"/>
    <x v="0"/>
  </r>
  <r>
    <x v="10"/>
    <x v="0"/>
    <x v="0"/>
    <x v="2"/>
    <x v="4"/>
    <x v="0"/>
  </r>
  <r>
    <x v="11"/>
    <x v="0"/>
    <x v="0"/>
    <x v="2"/>
    <x v="6"/>
    <x v="0"/>
  </r>
  <r>
    <x v="12"/>
    <x v="0"/>
    <x v="0"/>
    <x v="2"/>
    <x v="6"/>
    <x v="0"/>
  </r>
  <r>
    <x v="13"/>
    <x v="0"/>
    <x v="0"/>
    <x v="2"/>
    <x v="6"/>
    <x v="0"/>
  </r>
  <r>
    <x v="14"/>
    <x v="0"/>
    <x v="0"/>
    <x v="2"/>
    <x v="7"/>
    <x v="0"/>
  </r>
  <r>
    <x v="15"/>
    <x v="0"/>
    <x v="0"/>
    <x v="2"/>
    <x v="7"/>
    <x v="0"/>
  </r>
  <r>
    <x v="16"/>
    <x v="2"/>
    <x v="2"/>
    <x v="1"/>
    <x v="8"/>
    <x v="1"/>
  </r>
  <r>
    <x v="11"/>
    <x v="1"/>
    <x v="1"/>
    <x v="1"/>
    <x v="9"/>
    <x v="1"/>
  </r>
  <r>
    <x v="17"/>
    <x v="0"/>
    <x v="0"/>
    <x v="2"/>
    <x v="10"/>
    <x v="1"/>
  </r>
  <r>
    <x v="10"/>
    <x v="0"/>
    <x v="0"/>
    <x v="1"/>
    <x v="9"/>
    <x v="1"/>
  </r>
  <r>
    <x v="18"/>
    <x v="0"/>
    <x v="0"/>
    <x v="2"/>
    <x v="11"/>
    <x v="1"/>
  </r>
  <r>
    <x v="8"/>
    <x v="1"/>
    <x v="1"/>
    <x v="2"/>
    <x v="12"/>
    <x v="1"/>
  </r>
  <r>
    <x v="1"/>
    <x v="0"/>
    <x v="0"/>
    <x v="2"/>
    <x v="12"/>
    <x v="1"/>
  </r>
  <r>
    <x v="19"/>
    <x v="1"/>
    <x v="1"/>
    <x v="2"/>
    <x v="10"/>
    <x v="1"/>
  </r>
  <r>
    <x v="6"/>
    <x v="0"/>
    <x v="0"/>
    <x v="1"/>
    <x v="8"/>
    <x v="1"/>
  </r>
  <r>
    <x v="20"/>
    <x v="0"/>
    <x v="0"/>
    <x v="2"/>
    <x v="11"/>
    <x v="1"/>
  </r>
  <r>
    <x v="21"/>
    <x v="1"/>
    <x v="1"/>
    <x v="1"/>
    <x v="9"/>
    <x v="1"/>
  </r>
  <r>
    <x v="22"/>
    <x v="1"/>
    <x v="1"/>
    <x v="2"/>
    <x v="7"/>
    <x v="1"/>
  </r>
  <r>
    <x v="5"/>
    <x v="1"/>
    <x v="1"/>
    <x v="1"/>
    <x v="8"/>
    <x v="1"/>
  </r>
  <r>
    <x v="23"/>
    <x v="1"/>
    <x v="1"/>
    <x v="2"/>
    <x v="13"/>
    <x v="1"/>
  </r>
  <r>
    <x v="24"/>
    <x v="1"/>
    <x v="1"/>
    <x v="2"/>
    <x v="14"/>
    <x v="1"/>
  </r>
  <r>
    <x v="14"/>
    <x v="1"/>
    <x v="1"/>
    <x v="2"/>
    <x v="15"/>
    <x v="1"/>
  </r>
  <r>
    <x v="25"/>
    <x v="1"/>
    <x v="1"/>
    <x v="2"/>
    <x v="12"/>
    <x v="1"/>
  </r>
  <r>
    <x v="9"/>
    <x v="1"/>
    <x v="1"/>
    <x v="2"/>
    <x v="10"/>
    <x v="1"/>
  </r>
  <r>
    <x v="26"/>
    <x v="1"/>
    <x v="1"/>
    <x v="2"/>
    <x v="11"/>
    <x v="1"/>
  </r>
  <r>
    <x v="27"/>
    <x v="0"/>
    <x v="0"/>
    <x v="2"/>
    <x v="16"/>
    <x v="1"/>
  </r>
  <r>
    <x v="28"/>
    <x v="0"/>
    <x v="0"/>
    <x v="2"/>
    <x v="17"/>
    <x v="1"/>
  </r>
  <r>
    <x v="29"/>
    <x v="1"/>
    <x v="1"/>
    <x v="2"/>
    <x v="16"/>
    <x v="1"/>
  </r>
  <r>
    <x v="30"/>
    <x v="2"/>
    <x v="2"/>
    <x v="0"/>
    <x v="18"/>
    <x v="1"/>
  </r>
  <r>
    <x v="3"/>
    <x v="2"/>
    <x v="2"/>
    <x v="3"/>
    <x v="19"/>
    <x v="1"/>
  </r>
  <r>
    <x v="31"/>
    <x v="0"/>
    <x v="0"/>
    <x v="2"/>
    <x v="20"/>
    <x v="1"/>
  </r>
  <r>
    <x v="4"/>
    <x v="1"/>
    <x v="1"/>
    <x v="2"/>
    <x v="20"/>
    <x v="1"/>
  </r>
  <r>
    <x v="32"/>
    <x v="0"/>
    <x v="0"/>
    <x v="2"/>
    <x v="20"/>
    <x v="1"/>
  </r>
  <r>
    <x v="5"/>
    <x v="1"/>
    <x v="1"/>
    <x v="2"/>
    <x v="21"/>
    <x v="2"/>
  </r>
  <r>
    <x v="1"/>
    <x v="1"/>
    <x v="1"/>
    <x v="1"/>
    <x v="22"/>
    <x v="2"/>
  </r>
  <r>
    <x v="17"/>
    <x v="1"/>
    <x v="1"/>
    <x v="2"/>
    <x v="21"/>
    <x v="2"/>
  </r>
  <r>
    <x v="31"/>
    <x v="0"/>
    <x v="0"/>
    <x v="1"/>
    <x v="22"/>
    <x v="2"/>
  </r>
  <r>
    <x v="33"/>
    <x v="1"/>
    <x v="1"/>
    <x v="2"/>
    <x v="21"/>
    <x v="2"/>
  </r>
  <r>
    <x v="34"/>
    <x v="1"/>
    <x v="1"/>
    <x v="2"/>
    <x v="21"/>
    <x v="2"/>
  </r>
  <r>
    <x v="6"/>
    <x v="0"/>
    <x v="0"/>
    <x v="2"/>
    <x v="21"/>
    <x v="2"/>
  </r>
  <r>
    <x v="10"/>
    <x v="0"/>
    <x v="0"/>
    <x v="1"/>
    <x v="22"/>
    <x v="2"/>
  </r>
  <r>
    <x v="35"/>
    <x v="0"/>
    <x v="0"/>
    <x v="2"/>
    <x v="21"/>
    <x v="2"/>
  </r>
  <r>
    <x v="21"/>
    <x v="1"/>
    <x v="1"/>
    <x v="2"/>
    <x v="21"/>
    <x v="2"/>
  </r>
  <r>
    <x v="28"/>
    <x v="0"/>
    <x v="0"/>
    <x v="2"/>
    <x v="21"/>
    <x v="2"/>
  </r>
  <r>
    <x v="36"/>
    <x v="0"/>
    <x v="0"/>
    <x v="2"/>
    <x v="21"/>
    <x v="2"/>
  </r>
  <r>
    <x v="8"/>
    <x v="0"/>
    <x v="0"/>
    <x v="2"/>
    <x v="21"/>
    <x v="2"/>
  </r>
  <r>
    <x v="37"/>
    <x v="1"/>
    <x v="1"/>
    <x v="1"/>
    <x v="22"/>
    <x v="2"/>
  </r>
  <r>
    <x v="19"/>
    <x v="1"/>
    <x v="1"/>
    <x v="1"/>
    <x v="22"/>
    <x v="2"/>
  </r>
  <r>
    <x v="38"/>
    <x v="0"/>
    <x v="0"/>
    <x v="2"/>
    <x v="21"/>
    <x v="2"/>
  </r>
  <r>
    <x v="39"/>
    <x v="0"/>
    <x v="0"/>
    <x v="2"/>
    <x v="21"/>
    <x v="2"/>
  </r>
  <r>
    <x v="18"/>
    <x v="0"/>
    <x v="0"/>
    <x v="2"/>
    <x v="21"/>
    <x v="2"/>
  </r>
  <r>
    <x v="22"/>
    <x v="1"/>
    <x v="1"/>
    <x v="1"/>
    <x v="22"/>
    <x v="2"/>
  </r>
  <r>
    <x v="40"/>
    <x v="0"/>
    <x v="0"/>
    <x v="2"/>
    <x v="21"/>
    <x v="2"/>
  </r>
  <r>
    <x v="1"/>
    <x v="1"/>
    <x v="1"/>
    <x v="1"/>
    <x v="23"/>
    <x v="3"/>
  </r>
  <r>
    <x v="41"/>
    <x v="1"/>
    <x v="1"/>
    <x v="2"/>
    <x v="24"/>
    <x v="3"/>
  </r>
  <r>
    <x v="42"/>
    <x v="0"/>
    <x v="0"/>
    <x v="2"/>
    <x v="24"/>
    <x v="3"/>
  </r>
  <r>
    <x v="43"/>
    <x v="1"/>
    <x v="1"/>
    <x v="2"/>
    <x v="24"/>
    <x v="3"/>
  </r>
  <r>
    <x v="2"/>
    <x v="0"/>
    <x v="0"/>
    <x v="2"/>
    <x v="24"/>
    <x v="3"/>
  </r>
  <r>
    <x v="5"/>
    <x v="1"/>
    <x v="1"/>
    <x v="2"/>
    <x v="24"/>
    <x v="3"/>
  </r>
  <r>
    <x v="44"/>
    <x v="1"/>
    <x v="1"/>
    <x v="2"/>
    <x v="24"/>
    <x v="3"/>
  </r>
  <r>
    <x v="8"/>
    <x v="0"/>
    <x v="0"/>
    <x v="2"/>
    <x v="24"/>
    <x v="3"/>
  </r>
  <r>
    <x v="21"/>
    <x v="0"/>
    <x v="0"/>
    <x v="2"/>
    <x v="24"/>
    <x v="3"/>
  </r>
  <r>
    <x v="28"/>
    <x v="1"/>
    <x v="1"/>
    <x v="1"/>
    <x v="23"/>
    <x v="3"/>
  </r>
  <r>
    <x v="45"/>
    <x v="0"/>
    <x v="0"/>
    <x v="2"/>
    <x v="24"/>
    <x v="3"/>
  </r>
  <r>
    <x v="10"/>
    <x v="0"/>
    <x v="0"/>
    <x v="2"/>
    <x v="24"/>
    <x v="3"/>
  </r>
  <r>
    <x v="29"/>
    <x v="0"/>
    <x v="0"/>
    <x v="2"/>
    <x v="24"/>
    <x v="3"/>
  </r>
  <r>
    <x v="19"/>
    <x v="1"/>
    <x v="1"/>
    <x v="1"/>
    <x v="25"/>
    <x v="3"/>
  </r>
  <r>
    <x v="46"/>
    <x v="0"/>
    <x v="0"/>
    <x v="2"/>
    <x v="24"/>
    <x v="3"/>
  </r>
  <r>
    <x v="47"/>
    <x v="0"/>
    <x v="0"/>
    <x v="2"/>
    <x v="24"/>
    <x v="3"/>
  </r>
  <r>
    <x v="3"/>
    <x v="2"/>
    <x v="2"/>
    <x v="1"/>
    <x v="23"/>
    <x v="3"/>
  </r>
  <r>
    <x v="17"/>
    <x v="0"/>
    <x v="0"/>
    <x v="2"/>
    <x v="24"/>
    <x v="3"/>
  </r>
  <r>
    <x v="48"/>
    <x v="1"/>
    <x v="1"/>
    <x v="2"/>
    <x v="24"/>
    <x v="3"/>
  </r>
  <r>
    <x v="40"/>
    <x v="0"/>
    <x v="0"/>
    <x v="2"/>
    <x v="24"/>
    <x v="3"/>
  </r>
  <r>
    <x v="49"/>
    <x v="0"/>
    <x v="0"/>
    <x v="2"/>
    <x v="26"/>
    <x v="3"/>
  </r>
  <r>
    <x v="50"/>
    <x v="1"/>
    <x v="1"/>
    <x v="2"/>
    <x v="27"/>
    <x v="4"/>
  </r>
  <r>
    <x v="22"/>
    <x v="1"/>
    <x v="1"/>
    <x v="2"/>
    <x v="27"/>
    <x v="4"/>
  </r>
  <r>
    <x v="1"/>
    <x v="1"/>
    <x v="1"/>
    <x v="1"/>
    <x v="28"/>
    <x v="4"/>
  </r>
  <r>
    <x v="18"/>
    <x v="0"/>
    <x v="0"/>
    <x v="2"/>
    <x v="9"/>
    <x v="4"/>
  </r>
  <r>
    <x v="51"/>
    <x v="1"/>
    <x v="1"/>
    <x v="2"/>
    <x v="29"/>
    <x v="4"/>
  </r>
  <r>
    <x v="23"/>
    <x v="1"/>
    <x v="1"/>
    <x v="2"/>
    <x v="9"/>
    <x v="4"/>
  </r>
  <r>
    <x v="38"/>
    <x v="0"/>
    <x v="0"/>
    <x v="2"/>
    <x v="29"/>
    <x v="4"/>
  </r>
  <r>
    <x v="40"/>
    <x v="0"/>
    <x v="0"/>
    <x v="2"/>
    <x v="9"/>
    <x v="4"/>
  </r>
  <r>
    <x v="52"/>
    <x v="0"/>
    <x v="0"/>
    <x v="2"/>
    <x v="6"/>
    <x v="4"/>
  </r>
  <r>
    <x v="53"/>
    <x v="0"/>
    <x v="0"/>
    <x v="2"/>
    <x v="29"/>
    <x v="4"/>
  </r>
  <r>
    <x v="54"/>
    <x v="0"/>
    <x v="0"/>
    <x v="2"/>
    <x v="29"/>
    <x v="4"/>
  </r>
  <r>
    <x v="30"/>
    <x v="1"/>
    <x v="1"/>
    <x v="2"/>
    <x v="30"/>
    <x v="4"/>
  </r>
  <r>
    <x v="3"/>
    <x v="1"/>
    <x v="1"/>
    <x v="2"/>
    <x v="29"/>
    <x v="4"/>
  </r>
  <r>
    <x v="55"/>
    <x v="1"/>
    <x v="1"/>
    <x v="2"/>
    <x v="12"/>
    <x v="5"/>
  </r>
  <r>
    <x v="9"/>
    <x v="1"/>
    <x v="1"/>
    <x v="2"/>
    <x v="31"/>
    <x v="5"/>
  </r>
  <r>
    <x v="38"/>
    <x v="0"/>
    <x v="0"/>
    <x v="2"/>
    <x v="31"/>
    <x v="5"/>
  </r>
  <r>
    <x v="56"/>
    <x v="1"/>
    <x v="1"/>
    <x v="2"/>
    <x v="31"/>
    <x v="5"/>
  </r>
  <r>
    <x v="1"/>
    <x v="2"/>
    <x v="2"/>
    <x v="1"/>
    <x v="8"/>
    <x v="5"/>
  </r>
  <r>
    <x v="57"/>
    <x v="0"/>
    <x v="0"/>
    <x v="2"/>
    <x v="31"/>
    <x v="5"/>
  </r>
  <r>
    <x v="58"/>
    <x v="1"/>
    <x v="1"/>
    <x v="2"/>
    <x v="12"/>
    <x v="5"/>
  </r>
  <r>
    <x v="31"/>
    <x v="0"/>
    <x v="0"/>
    <x v="1"/>
    <x v="32"/>
    <x v="5"/>
  </r>
  <r>
    <x v="59"/>
    <x v="1"/>
    <x v="1"/>
    <x v="2"/>
    <x v="12"/>
    <x v="5"/>
  </r>
  <r>
    <x v="23"/>
    <x v="1"/>
    <x v="1"/>
    <x v="2"/>
    <x v="12"/>
    <x v="5"/>
  </r>
  <r>
    <x v="20"/>
    <x v="0"/>
    <x v="0"/>
    <x v="2"/>
    <x v="12"/>
    <x v="5"/>
  </r>
  <r>
    <x v="39"/>
    <x v="1"/>
    <x v="1"/>
    <x v="2"/>
    <x v="12"/>
    <x v="5"/>
  </r>
  <r>
    <x v="34"/>
    <x v="1"/>
    <x v="1"/>
    <x v="1"/>
    <x v="8"/>
    <x v="5"/>
  </r>
  <r>
    <x v="42"/>
    <x v="1"/>
    <x v="1"/>
    <x v="2"/>
    <x v="12"/>
    <x v="5"/>
  </r>
  <r>
    <x v="60"/>
    <x v="0"/>
    <x v="0"/>
    <x v="2"/>
    <x v="31"/>
    <x v="5"/>
  </r>
  <r>
    <x v="61"/>
    <x v="1"/>
    <x v="1"/>
    <x v="2"/>
    <x v="12"/>
    <x v="5"/>
  </r>
  <r>
    <x v="54"/>
    <x v="1"/>
    <x v="1"/>
    <x v="2"/>
    <x v="12"/>
    <x v="5"/>
  </r>
  <r>
    <x v="5"/>
    <x v="1"/>
    <x v="1"/>
    <x v="2"/>
    <x v="12"/>
    <x v="5"/>
  </r>
  <r>
    <x v="27"/>
    <x v="0"/>
    <x v="0"/>
    <x v="2"/>
    <x v="31"/>
    <x v="5"/>
  </r>
  <r>
    <x v="4"/>
    <x v="1"/>
    <x v="1"/>
    <x v="2"/>
    <x v="12"/>
    <x v="5"/>
  </r>
  <r>
    <x v="2"/>
    <x v="0"/>
    <x v="0"/>
    <x v="2"/>
    <x v="31"/>
    <x v="5"/>
  </r>
  <r>
    <x v="17"/>
    <x v="1"/>
    <x v="1"/>
    <x v="2"/>
    <x v="6"/>
    <x v="5"/>
  </r>
  <r>
    <x v="62"/>
    <x v="1"/>
    <x v="1"/>
    <x v="2"/>
    <x v="12"/>
    <x v="5"/>
  </r>
  <r>
    <x v="8"/>
    <x v="0"/>
    <x v="0"/>
    <x v="2"/>
    <x v="29"/>
    <x v="5"/>
  </r>
  <r>
    <x v="28"/>
    <x v="0"/>
    <x v="0"/>
    <x v="1"/>
    <x v="33"/>
    <x v="5"/>
  </r>
  <r>
    <x v="19"/>
    <x v="1"/>
    <x v="1"/>
    <x v="2"/>
    <x v="29"/>
    <x v="5"/>
  </r>
  <r>
    <x v="63"/>
    <x v="1"/>
    <x v="1"/>
    <x v="2"/>
    <x v="31"/>
    <x v="5"/>
  </r>
  <r>
    <x v="3"/>
    <x v="1"/>
    <x v="1"/>
    <x v="1"/>
    <x v="8"/>
    <x v="5"/>
  </r>
  <r>
    <x v="30"/>
    <x v="1"/>
    <x v="1"/>
    <x v="2"/>
    <x v="34"/>
    <x v="5"/>
  </r>
  <r>
    <x v="40"/>
    <x v="0"/>
    <x v="0"/>
    <x v="1"/>
    <x v="26"/>
    <x v="5"/>
  </r>
  <r>
    <x v="16"/>
    <x v="1"/>
    <x v="1"/>
    <x v="2"/>
    <x v="26"/>
    <x v="5"/>
  </r>
  <r>
    <x v="64"/>
    <x v="1"/>
    <x v="1"/>
    <x v="1"/>
    <x v="26"/>
    <x v="5"/>
  </r>
  <r>
    <x v="21"/>
    <x v="1"/>
    <x v="1"/>
    <x v="2"/>
    <x v="29"/>
    <x v="6"/>
  </r>
  <r>
    <x v="19"/>
    <x v="1"/>
    <x v="1"/>
    <x v="2"/>
    <x v="29"/>
    <x v="6"/>
  </r>
  <r>
    <x v="65"/>
    <x v="1"/>
    <x v="1"/>
    <x v="2"/>
    <x v="29"/>
    <x v="6"/>
  </r>
  <r>
    <x v="20"/>
    <x v="0"/>
    <x v="0"/>
    <x v="2"/>
    <x v="29"/>
    <x v="6"/>
  </r>
  <r>
    <x v="9"/>
    <x v="1"/>
    <x v="1"/>
    <x v="1"/>
    <x v="35"/>
    <x v="6"/>
  </r>
  <r>
    <x v="10"/>
    <x v="0"/>
    <x v="0"/>
    <x v="1"/>
    <x v="35"/>
    <x v="6"/>
  </r>
  <r>
    <x v="30"/>
    <x v="0"/>
    <x v="0"/>
    <x v="2"/>
    <x v="29"/>
    <x v="6"/>
  </r>
  <r>
    <x v="31"/>
    <x v="1"/>
    <x v="1"/>
    <x v="1"/>
    <x v="35"/>
    <x v="6"/>
  </r>
  <r>
    <x v="54"/>
    <x v="1"/>
    <x v="1"/>
    <x v="2"/>
    <x v="26"/>
    <x v="6"/>
  </r>
  <r>
    <x v="66"/>
    <x v="1"/>
    <x v="1"/>
    <x v="2"/>
    <x v="26"/>
    <x v="6"/>
  </r>
  <r>
    <x v="1"/>
    <x v="1"/>
    <x v="1"/>
    <x v="2"/>
    <x v="26"/>
    <x v="6"/>
  </r>
  <r>
    <x v="8"/>
    <x v="1"/>
    <x v="1"/>
    <x v="2"/>
    <x v="26"/>
    <x v="6"/>
  </r>
  <r>
    <x v="17"/>
    <x v="1"/>
    <x v="1"/>
    <x v="2"/>
    <x v="26"/>
    <x v="6"/>
  </r>
  <r>
    <x v="5"/>
    <x v="1"/>
    <x v="1"/>
    <x v="1"/>
    <x v="26"/>
    <x v="6"/>
  </r>
  <r>
    <x v="6"/>
    <x v="0"/>
    <x v="0"/>
    <x v="2"/>
    <x v="26"/>
    <x v="6"/>
  </r>
  <r>
    <x v="67"/>
    <x v="0"/>
    <x v="0"/>
    <x v="2"/>
    <x v="26"/>
    <x v="6"/>
  </r>
  <r>
    <x v="68"/>
    <x v="0"/>
    <x v="0"/>
    <x v="2"/>
    <x v="26"/>
    <x v="6"/>
  </r>
  <r>
    <x v="69"/>
    <x v="1"/>
    <x v="1"/>
    <x v="2"/>
    <x v="26"/>
    <x v="6"/>
  </r>
  <r>
    <x v="70"/>
    <x v="0"/>
    <x v="0"/>
    <x v="2"/>
    <x v="26"/>
    <x v="6"/>
  </r>
  <r>
    <x v="71"/>
    <x v="1"/>
    <x v="1"/>
    <x v="2"/>
    <x v="26"/>
    <x v="6"/>
  </r>
  <r>
    <x v="72"/>
    <x v="1"/>
    <x v="1"/>
    <x v="2"/>
    <x v="26"/>
    <x v="6"/>
  </r>
  <r>
    <x v="4"/>
    <x v="1"/>
    <x v="1"/>
    <x v="1"/>
    <x v="26"/>
    <x v="6"/>
  </r>
  <r>
    <x v="18"/>
    <x v="1"/>
    <x v="1"/>
    <x v="1"/>
    <x v="26"/>
    <x v="6"/>
  </r>
  <r>
    <x v="73"/>
    <x v="0"/>
    <x v="0"/>
    <x v="2"/>
    <x v="26"/>
    <x v="6"/>
  </r>
  <r>
    <x v="61"/>
    <x v="1"/>
    <x v="1"/>
    <x v="2"/>
    <x v="2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7F64E-3888-B743-B277-4405332807E9}" name="TablaDinámica12" cacheId="34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2:M231" firstHeaderRow="1" firstDataRow="1" firstDataCol="1"/>
  <pivotFields count="6">
    <pivotField axis="axisRow" showAll="0" sortType="descending">
      <items count="75">
        <item x="51"/>
        <item x="70"/>
        <item x="69"/>
        <item x="29"/>
        <item x="64"/>
        <item x="13"/>
        <item x="60"/>
        <item x="16"/>
        <item x="33"/>
        <item x="19"/>
        <item x="32"/>
        <item x="40"/>
        <item x="54"/>
        <item x="49"/>
        <item x="15"/>
        <item x="66"/>
        <item x="24"/>
        <item x="50"/>
        <item x="39"/>
        <item x="9"/>
        <item x="27"/>
        <item x="28"/>
        <item x="48"/>
        <item x="45"/>
        <item x="11"/>
        <item x="57"/>
        <item x="36"/>
        <item x="21"/>
        <item x="59"/>
        <item x="20"/>
        <item x="7"/>
        <item x="46"/>
        <item x="14"/>
        <item x="38"/>
        <item x="22"/>
        <item x="3"/>
        <item x="0"/>
        <item x="55"/>
        <item x="12"/>
        <item x="72"/>
        <item x="18"/>
        <item x="37"/>
        <item x="41"/>
        <item x="17"/>
        <item x="10"/>
        <item x="56"/>
        <item x="68"/>
        <item x="2"/>
        <item x="26"/>
        <item x="62"/>
        <item x="67"/>
        <item x="61"/>
        <item x="5"/>
        <item x="44"/>
        <item x="8"/>
        <item x="47"/>
        <item x="35"/>
        <item x="31"/>
        <item x="1"/>
        <item x="6"/>
        <item x="42"/>
        <item x="4"/>
        <item x="63"/>
        <item x="25"/>
        <item x="34"/>
        <item x="52"/>
        <item x="73"/>
        <item x="43"/>
        <item x="71"/>
        <item x="23"/>
        <item x="65"/>
        <item x="53"/>
        <item x="30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>
      <items count="37">
        <item x="26"/>
        <item x="21"/>
        <item x="34"/>
        <item x="20"/>
        <item x="30"/>
        <item x="17"/>
        <item x="10"/>
        <item x="6"/>
        <item x="29"/>
        <item x="12"/>
        <item x="24"/>
        <item x="22"/>
        <item x="16"/>
        <item x="7"/>
        <item x="31"/>
        <item x="13"/>
        <item x="11"/>
        <item x="14"/>
        <item x="15"/>
        <item x="4"/>
        <item x="25"/>
        <item x="9"/>
        <item x="35"/>
        <item x="27"/>
        <item x="23"/>
        <item x="18"/>
        <item x="32"/>
        <item x="33"/>
        <item x="8"/>
        <item x="2"/>
        <item x="28"/>
        <item x="19"/>
        <item x="1"/>
        <item x="3"/>
        <item x="0"/>
        <item x="5"/>
        <item t="default"/>
      </items>
    </pivotField>
    <pivotField axis="axisRow" showAll="0">
      <items count="8">
        <item x="3"/>
        <item x="0"/>
        <item x="1"/>
        <item x="4"/>
        <item x="5"/>
        <item x="6"/>
        <item x="2"/>
        <item t="default"/>
      </items>
    </pivotField>
  </pivotFields>
  <rowFields count="2">
    <field x="0"/>
    <field x="5"/>
  </rowFields>
  <rowItems count="229"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2"/>
    </i>
    <i r="1">
      <x/>
    </i>
    <i r="1">
      <x v="1"/>
    </i>
    <i r="1">
      <x v="2"/>
    </i>
    <i r="1">
      <x v="4"/>
    </i>
    <i r="1">
      <x v="5"/>
    </i>
    <i r="1">
      <x v="6"/>
    </i>
    <i>
      <x v="35"/>
    </i>
    <i r="1">
      <x/>
    </i>
    <i r="1">
      <x v="1"/>
    </i>
    <i r="1">
      <x v="2"/>
    </i>
    <i r="1">
      <x v="3"/>
    </i>
    <i r="1">
      <x v="4"/>
    </i>
    <i>
      <x v="44"/>
    </i>
    <i r="1">
      <x/>
    </i>
    <i r="1">
      <x v="1"/>
    </i>
    <i r="1">
      <x v="2"/>
    </i>
    <i r="1">
      <x v="5"/>
    </i>
    <i r="1">
      <x v="6"/>
    </i>
    <i>
      <x v="57"/>
    </i>
    <i r="1">
      <x v="2"/>
    </i>
    <i r="1">
      <x v="4"/>
    </i>
    <i r="1">
      <x v="5"/>
    </i>
    <i r="1">
      <x v="6"/>
    </i>
    <i>
      <x v="9"/>
    </i>
    <i r="1">
      <x/>
    </i>
    <i r="1">
      <x v="2"/>
    </i>
    <i r="1">
      <x v="4"/>
    </i>
    <i r="1">
      <x v="5"/>
    </i>
    <i r="1">
      <x v="6"/>
    </i>
    <i>
      <x v="21"/>
    </i>
    <i r="1">
      <x/>
    </i>
    <i r="1">
      <x v="2"/>
    </i>
    <i r="1">
      <x v="4"/>
    </i>
    <i r="1">
      <x v="6"/>
    </i>
    <i>
      <x v="19"/>
    </i>
    <i r="1">
      <x v="1"/>
    </i>
    <i r="1">
      <x v="2"/>
    </i>
    <i r="1">
      <x v="4"/>
    </i>
    <i r="1">
      <x v="5"/>
    </i>
    <i>
      <x v="47"/>
    </i>
    <i r="1">
      <x/>
    </i>
    <i r="1">
      <x v="1"/>
    </i>
    <i r="1">
      <x v="4"/>
    </i>
    <i>
      <x v="72"/>
    </i>
    <i r="1">
      <x v="2"/>
    </i>
    <i r="1">
      <x v="3"/>
    </i>
    <i r="1">
      <x v="4"/>
    </i>
    <i r="1">
      <x v="5"/>
    </i>
    <i>
      <x v="54"/>
    </i>
    <i r="1">
      <x/>
    </i>
    <i r="1">
      <x v="1"/>
    </i>
    <i r="1">
      <x v="2"/>
    </i>
    <i r="1">
      <x v="4"/>
    </i>
    <i r="1">
      <x v="5"/>
    </i>
    <i r="1">
      <x v="6"/>
    </i>
    <i>
      <x v="27"/>
    </i>
    <i r="1">
      <x/>
    </i>
    <i r="1">
      <x v="2"/>
    </i>
    <i r="1">
      <x v="5"/>
    </i>
    <i r="1">
      <x v="6"/>
    </i>
    <i>
      <x v="34"/>
    </i>
    <i r="1">
      <x v="2"/>
    </i>
    <i r="1">
      <x v="3"/>
    </i>
    <i r="1">
      <x v="6"/>
    </i>
    <i>
      <x v="69"/>
    </i>
    <i r="1">
      <x v="2"/>
    </i>
    <i r="1">
      <x v="3"/>
    </i>
    <i r="1">
      <x v="4"/>
    </i>
    <i>
      <x v="40"/>
    </i>
    <i r="1">
      <x v="2"/>
    </i>
    <i r="1">
      <x v="3"/>
    </i>
    <i r="1">
      <x v="5"/>
    </i>
    <i r="1">
      <x v="6"/>
    </i>
    <i>
      <x v="59"/>
    </i>
    <i r="1">
      <x v="1"/>
    </i>
    <i r="1">
      <x v="2"/>
    </i>
    <i r="1">
      <x v="5"/>
    </i>
    <i r="1">
      <x v="6"/>
    </i>
    <i>
      <x v="36"/>
    </i>
    <i r="1">
      <x v="1"/>
    </i>
    <i>
      <x v="11"/>
    </i>
    <i r="1">
      <x/>
    </i>
    <i r="1">
      <x v="3"/>
    </i>
    <i r="1">
      <x v="4"/>
    </i>
    <i r="1">
      <x v="6"/>
    </i>
    <i>
      <x v="29"/>
    </i>
    <i r="1">
      <x v="2"/>
    </i>
    <i r="1">
      <x v="4"/>
    </i>
    <i r="1">
      <x v="5"/>
    </i>
    <i>
      <x v="61"/>
    </i>
    <i r="1">
      <x v="1"/>
    </i>
    <i r="1">
      <x v="2"/>
    </i>
    <i r="1">
      <x v="4"/>
    </i>
    <i r="1">
      <x v="5"/>
    </i>
    <i>
      <x v="43"/>
    </i>
    <i r="1">
      <x/>
    </i>
    <i r="1">
      <x v="2"/>
    </i>
    <i r="1">
      <x v="4"/>
    </i>
    <i r="1">
      <x v="5"/>
    </i>
    <i r="1">
      <x v="6"/>
    </i>
    <i>
      <x v="64"/>
    </i>
    <i r="1">
      <x v="4"/>
    </i>
    <i r="1">
      <x v="6"/>
    </i>
    <i>
      <x v="33"/>
    </i>
    <i r="1">
      <x v="3"/>
    </i>
    <i r="1">
      <x v="4"/>
    </i>
    <i r="1">
      <x v="6"/>
    </i>
    <i>
      <x v="32"/>
    </i>
    <i r="1">
      <x v="1"/>
    </i>
    <i r="1">
      <x v="2"/>
    </i>
    <i>
      <x v="24"/>
    </i>
    <i r="1">
      <x v="1"/>
    </i>
    <i r="1">
      <x v="2"/>
    </i>
    <i>
      <x v="20"/>
    </i>
    <i r="1">
      <x v="2"/>
    </i>
    <i r="1">
      <x v="4"/>
    </i>
    <i>
      <x v="7"/>
    </i>
    <i r="1">
      <x v="2"/>
    </i>
    <i r="1">
      <x v="4"/>
    </i>
    <i>
      <x v="3"/>
    </i>
    <i r="1">
      <x/>
    </i>
    <i r="1">
      <x v="2"/>
    </i>
    <i>
      <x v="60"/>
    </i>
    <i r="1">
      <x/>
    </i>
    <i r="1">
      <x v="4"/>
    </i>
    <i>
      <x v="17"/>
    </i>
    <i r="1">
      <x v="3"/>
    </i>
    <i>
      <x v="12"/>
    </i>
    <i r="1">
      <x v="3"/>
    </i>
    <i r="1">
      <x v="4"/>
    </i>
    <i r="1">
      <x v="5"/>
    </i>
    <i>
      <x v="18"/>
    </i>
    <i r="1">
      <x v="4"/>
    </i>
    <i r="1">
      <x v="6"/>
    </i>
    <i>
      <x v="16"/>
    </i>
    <i r="1">
      <x v="2"/>
    </i>
    <i>
      <x v="48"/>
    </i>
    <i r="1">
      <x v="2"/>
    </i>
    <i>
      <x v="62"/>
    </i>
    <i r="1">
      <x v="4"/>
    </i>
    <i>
      <x v="25"/>
    </i>
    <i r="1">
      <x v="4"/>
    </i>
    <i>
      <x v="6"/>
    </i>
    <i r="1">
      <x v="4"/>
    </i>
    <i>
      <x v="45"/>
    </i>
    <i r="1">
      <x v="4"/>
    </i>
    <i>
      <x v="14"/>
    </i>
    <i r="1">
      <x v="1"/>
    </i>
    <i>
      <x v="41"/>
    </i>
    <i r="1">
      <x v="6"/>
    </i>
    <i>
      <x v="22"/>
    </i>
    <i r="1">
      <x/>
    </i>
    <i>
      <x v="53"/>
    </i>
    <i r="1">
      <x/>
    </i>
    <i>
      <x v="31"/>
    </i>
    <i r="1">
      <x/>
    </i>
    <i>
      <x v="42"/>
    </i>
    <i r="1">
      <x/>
    </i>
    <i>
      <x v="67"/>
    </i>
    <i r="1">
      <x/>
    </i>
    <i>
      <x v="23"/>
    </i>
    <i r="1">
      <x/>
    </i>
    <i>
      <x v="55"/>
    </i>
    <i r="1">
      <x/>
    </i>
    <i>
      <x v="28"/>
    </i>
    <i r="1">
      <x v="4"/>
    </i>
    <i>
      <x v="63"/>
    </i>
    <i r="1">
      <x v="2"/>
    </i>
    <i>
      <x v="73"/>
    </i>
    <i r="1">
      <x v="4"/>
    </i>
    <i>
      <x v="49"/>
    </i>
    <i r="1">
      <x v="4"/>
    </i>
    <i>
      <x v="51"/>
    </i>
    <i r="1">
      <x v="4"/>
    </i>
    <i r="1">
      <x v="5"/>
    </i>
    <i>
      <x v="37"/>
    </i>
    <i r="1">
      <x v="4"/>
    </i>
    <i>
      <x v="71"/>
    </i>
    <i r="1">
      <x v="3"/>
    </i>
    <i>
      <x/>
    </i>
    <i r="1">
      <x v="3"/>
    </i>
    <i>
      <x v="70"/>
    </i>
    <i r="1">
      <x v="5"/>
    </i>
    <i>
      <x v="38"/>
    </i>
    <i r="1">
      <x v="1"/>
    </i>
    <i>
      <x v="65"/>
    </i>
    <i r="1">
      <x v="3"/>
    </i>
    <i>
      <x v="30"/>
    </i>
    <i r="1">
      <x v="1"/>
    </i>
    <i>
      <x v="5"/>
    </i>
    <i r="1">
      <x v="1"/>
    </i>
    <i>
      <x v="10"/>
    </i>
    <i r="1">
      <x v="2"/>
    </i>
    <i>
      <x v="26"/>
    </i>
    <i r="1">
      <x v="6"/>
    </i>
    <i>
      <x v="56"/>
    </i>
    <i r="1">
      <x v="6"/>
    </i>
    <i>
      <x v="8"/>
    </i>
    <i r="1">
      <x v="6"/>
    </i>
    <i>
      <x v="2"/>
    </i>
    <i r="1">
      <x v="5"/>
    </i>
    <i>
      <x v="15"/>
    </i>
    <i r="1">
      <x v="5"/>
    </i>
    <i>
      <x v="4"/>
    </i>
    <i r="1">
      <x v="4"/>
    </i>
    <i>
      <x v="1"/>
    </i>
    <i r="1">
      <x v="5"/>
    </i>
    <i>
      <x v="50"/>
    </i>
    <i r="1">
      <x v="5"/>
    </i>
    <i>
      <x v="66"/>
    </i>
    <i r="1">
      <x v="5"/>
    </i>
    <i>
      <x v="13"/>
    </i>
    <i r="1">
      <x/>
    </i>
    <i>
      <x v="46"/>
    </i>
    <i r="1">
      <x v="5"/>
    </i>
    <i>
      <x v="68"/>
    </i>
    <i r="1">
      <x v="5"/>
    </i>
    <i>
      <x v="39"/>
    </i>
    <i r="1">
      <x v="5"/>
    </i>
    <i t="grand">
      <x/>
    </i>
  </rowItems>
  <colItems count="1">
    <i/>
  </colItems>
  <dataFields count="1">
    <dataField name="Suma de INGRESO" fld="4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E2D29-D0CD-B448-B15E-2809DB1FE80B}" name="TablaDinámica14" cacheId="34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O8:P83" firstHeaderRow="1" firstDataRow="1" firstDataCol="1"/>
  <pivotFields count="6">
    <pivotField axis="axisRow" showAll="0" sortType="descending">
      <items count="75">
        <item x="51"/>
        <item x="70"/>
        <item x="69"/>
        <item x="29"/>
        <item x="64"/>
        <item x="13"/>
        <item x="60"/>
        <item x="16"/>
        <item x="33"/>
        <item x="19"/>
        <item x="32"/>
        <item x="40"/>
        <item x="54"/>
        <item x="49"/>
        <item x="15"/>
        <item x="66"/>
        <item x="24"/>
        <item x="50"/>
        <item x="39"/>
        <item x="9"/>
        <item x="27"/>
        <item x="28"/>
        <item x="48"/>
        <item x="45"/>
        <item x="11"/>
        <item x="57"/>
        <item x="36"/>
        <item x="21"/>
        <item x="59"/>
        <item x="20"/>
        <item x="7"/>
        <item x="46"/>
        <item x="14"/>
        <item x="38"/>
        <item x="22"/>
        <item x="3"/>
        <item x="0"/>
        <item x="55"/>
        <item x="12"/>
        <item x="72"/>
        <item x="18"/>
        <item x="37"/>
        <item x="41"/>
        <item x="17"/>
        <item x="10"/>
        <item x="56"/>
        <item x="68"/>
        <item x="2"/>
        <item x="26"/>
        <item x="62"/>
        <item x="67"/>
        <item x="61"/>
        <item x="5"/>
        <item x="44"/>
        <item x="8"/>
        <item x="47"/>
        <item x="35"/>
        <item x="31"/>
        <item x="1"/>
        <item x="6"/>
        <item x="42"/>
        <item x="4"/>
        <item x="63"/>
        <item x="25"/>
        <item x="34"/>
        <item x="52"/>
        <item x="73"/>
        <item x="43"/>
        <item x="71"/>
        <item x="23"/>
        <item x="65"/>
        <item x="53"/>
        <item x="30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0"/>
  </rowFields>
  <rowItems count="75">
    <i>
      <x v="58"/>
    </i>
    <i>
      <x v="35"/>
    </i>
    <i>
      <x v="52"/>
    </i>
    <i>
      <x v="44"/>
    </i>
    <i>
      <x v="57"/>
    </i>
    <i>
      <x v="9"/>
    </i>
    <i>
      <x v="72"/>
    </i>
    <i>
      <x v="21"/>
    </i>
    <i>
      <x v="54"/>
    </i>
    <i>
      <x v="27"/>
    </i>
    <i>
      <x v="19"/>
    </i>
    <i>
      <x v="61"/>
    </i>
    <i>
      <x v="59"/>
    </i>
    <i>
      <x v="43"/>
    </i>
    <i>
      <x v="11"/>
    </i>
    <i>
      <x v="40"/>
    </i>
    <i>
      <x v="47"/>
    </i>
    <i>
      <x v="34"/>
    </i>
    <i>
      <x v="64"/>
    </i>
    <i>
      <x v="29"/>
    </i>
    <i>
      <x v="33"/>
    </i>
    <i>
      <x v="24"/>
    </i>
    <i>
      <x v="69"/>
    </i>
    <i>
      <x v="12"/>
    </i>
    <i>
      <x v="7"/>
    </i>
    <i>
      <x v="36"/>
    </i>
    <i>
      <x v="20"/>
    </i>
    <i>
      <x v="51"/>
    </i>
    <i>
      <x v="41"/>
    </i>
    <i>
      <x v="32"/>
    </i>
    <i>
      <x v="18"/>
    </i>
    <i>
      <x v="3"/>
    </i>
    <i>
      <x v="4"/>
    </i>
    <i>
      <x v="60"/>
    </i>
    <i>
      <x v="73"/>
    </i>
    <i>
      <x v="5"/>
    </i>
    <i>
      <x v="53"/>
    </i>
    <i>
      <x v="2"/>
    </i>
    <i>
      <x v="1"/>
    </i>
    <i>
      <x/>
    </i>
    <i>
      <x v="31"/>
    </i>
    <i>
      <x v="37"/>
    </i>
    <i>
      <x v="55"/>
    </i>
    <i>
      <x v="38"/>
    </i>
    <i>
      <x v="28"/>
    </i>
    <i>
      <x v="39"/>
    </i>
    <i>
      <x v="71"/>
    </i>
    <i>
      <x v="13"/>
    </i>
    <i>
      <x v="50"/>
    </i>
    <i>
      <x v="30"/>
    </i>
    <i>
      <x v="17"/>
    </i>
    <i>
      <x v="6"/>
    </i>
    <i>
      <x v="8"/>
    </i>
    <i>
      <x v="22"/>
    </i>
    <i>
      <x v="56"/>
    </i>
    <i>
      <x v="63"/>
    </i>
    <i>
      <x v="10"/>
    </i>
    <i>
      <x v="65"/>
    </i>
    <i>
      <x v="67"/>
    </i>
    <i>
      <x v="42"/>
    </i>
    <i>
      <x v="62"/>
    </i>
    <i>
      <x v="14"/>
    </i>
    <i>
      <x v="23"/>
    </i>
    <i>
      <x v="15"/>
    </i>
    <i>
      <x v="66"/>
    </i>
    <i>
      <x v="45"/>
    </i>
    <i>
      <x v="68"/>
    </i>
    <i>
      <x v="46"/>
    </i>
    <i>
      <x v="70"/>
    </i>
    <i>
      <x v="16"/>
    </i>
    <i>
      <x v="25"/>
    </i>
    <i>
      <x v="48"/>
    </i>
    <i>
      <x v="26"/>
    </i>
    <i>
      <x v="49"/>
    </i>
    <i t="grand">
      <x/>
    </i>
  </rowItems>
  <colItems count="1">
    <i/>
  </colItems>
  <dataFields count="1">
    <dataField name="Suma de UNIDAD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321EA-4D63-414D-8654-A856F1828C25}" name="TablaDinámica13" cacheId="34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O2:P6" firstHeaderRow="1" firstDataRow="1" firstDataCol="1"/>
  <pivotFields count="6">
    <pivotField showAll="0"/>
    <pivotField axis="axisRow"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UNIDAD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2" dT="2022-07-26T09:51:36.06" personId="{65D185FE-107F-7740-8EA6-7B61EFF194A6}" id="{05C037B6-4AFC-7349-9968-8630E11E0FAD}">
    <text>10 O MAS
- 2€ NEGRO
- 3€ BLANCO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12" dT="2022-07-26T09:51:36.06" personId="{65D185FE-107F-7740-8EA6-7B61EFF194A6}" id="{D30E98F0-0113-0642-87C7-A369751D9E48}">
    <text>10 O MAS
- 2€ NEGRO
- 3€ BLANCO</text>
  </threadedComment>
  <threadedComment ref="AQ18" dT="2022-08-09T19:56:12.83" personId="{65D185FE-107F-7740-8EA6-7B61EFF194A6}" id="{731425BF-741D-F148-B6DD-0286A8568C63}">
    <text xml:space="preserve">SE COMPRAN 21, SE HACEN 17 A DOBLE CARA </text>
  </threadedComment>
  <threadedComment ref="AQ20" dT="2022-08-09T19:55:52.44" personId="{65D185FE-107F-7740-8EA6-7B61EFF194A6}" id="{6933B4E7-E637-B649-8B1F-13209BFCF976}">
    <text>+1 DE PETER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L12" dT="2022-07-26T09:51:36.06" personId="{65D185FE-107F-7740-8EA6-7B61EFF194A6}" id="{C717E17E-BCF8-DB40-9F55-9D882D578797}">
    <text>10 O MAS
- 2€ NEGRO
- 3€ BLANCO</text>
  </threadedComment>
  <threadedComment ref="AL94" dT="2022-07-26T09:51:36.06" personId="{65D185FE-107F-7740-8EA6-7B61EFF194A6}" id="{1325F4C5-113F-304D-AB86-64019C3DE21D}">
    <text>10 O MAS
- 2€ NEGRO
- 3€ BLANCO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L12" dT="2022-07-26T09:51:36.06" personId="{65D185FE-107F-7740-8EA6-7B61EFF194A6}" id="{9D20E395-AF41-4B43-ADB9-FCBC124C3F0D}">
    <text>10 O MAS
- 2€ NEGRO
- 3€ BLANCO</text>
  </threadedComment>
  <threadedComment ref="BC16" dT="2022-08-10T17:02:50.84" personId="{65D185FE-107F-7740-8EA6-7B61EFF194A6}" id="{D24802AA-2221-2D4D-84DA-0FF3280EF224}">
    <text>FALLO DE WORDANS HAY +1</text>
  </threadedComment>
  <threadedComment ref="BD18" dT="2022-08-10T17:03:12.67" personId="{65D185FE-107F-7740-8EA6-7B61EFF194A6}" id="{2CD92027-7C5D-5044-9632-C4BD2EFCF860}">
    <text>FALLO DE WORDANS HAY +1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P19" dT="2022-07-26T09:51:36.06" personId="{65D185FE-107F-7740-8EA6-7B61EFF194A6}" id="{863A658A-3AB8-0C4F-807D-DF60A8C3632E}">
    <text>10 O MAS
- 2€ NEGRO
- 3€ BLANCO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L26" dT="2022-07-26T09:51:36.06" personId="{65D185FE-107F-7740-8EA6-7B61EFF194A6}" id="{F29A548E-A5C9-1549-9A41-67D366254C59}">
    <text>10 O MAS
- 2€ NEGRO
- 3€ BLANCO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M11" dT="2022-07-26T09:51:36.06" personId="{65D185FE-107F-7740-8EA6-7B61EFF194A6}" id="{7EE54911-2EB7-A845-8B57-8A7EB5D00FED}">
    <text>10 O MAS
- 2€ NEGRO
- 3€ BLANCO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AED56F-0214-E644-848B-10D0363B2930}">
  <we:reference id="wa200005271" version="2.4.1.0" store="es-ES" storeType="OMEX"/>
  <we:alternateReferences>
    <we:reference id="wa200005271" version="2.4.1.0" store="es-E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E12-8EDB-594A-B82F-E5BD1F52C966}">
  <sheetPr>
    <tabColor theme="1" tint="4.9989318521683403E-2"/>
  </sheetPr>
  <dimension ref="A1:P231"/>
  <sheetViews>
    <sheetView topLeftCell="E26" zoomScale="119" workbookViewId="0">
      <selection activeCell="D155" sqref="D155"/>
    </sheetView>
  </sheetViews>
  <sheetFormatPr defaultColWidth="10.875" defaultRowHeight="15"/>
  <cols>
    <col min="2" max="2" width="19.5" bestFit="1" customWidth="1"/>
    <col min="5" max="5" width="19.5" bestFit="1" customWidth="1"/>
    <col min="9" max="9" width="10.875" style="401"/>
    <col min="11" max="11" width="17" bestFit="1" customWidth="1"/>
    <col min="12" max="12" width="23.125" bestFit="1" customWidth="1"/>
    <col min="13" max="13" width="16.625" bestFit="1" customWidth="1"/>
    <col min="14" max="14" width="13.75" bestFit="1" customWidth="1"/>
    <col min="15" max="15" width="20.875" bestFit="1" customWidth="1"/>
    <col min="16" max="16" width="18" bestFit="1" customWidth="1"/>
  </cols>
  <sheetData>
    <row r="1" spans="1:16">
      <c r="A1" s="370" t="s">
        <v>0</v>
      </c>
      <c r="E1" t="s">
        <v>1</v>
      </c>
      <c r="F1" t="s">
        <v>2</v>
      </c>
      <c r="G1" t="s">
        <v>3</v>
      </c>
      <c r="H1" t="s">
        <v>4</v>
      </c>
      <c r="I1" s="401" t="s">
        <v>5</v>
      </c>
      <c r="J1" t="s">
        <v>6</v>
      </c>
    </row>
    <row r="2" spans="1:16" ht="15.95" customHeight="1">
      <c r="A2" t="s">
        <v>7</v>
      </c>
      <c r="D2" s="91">
        <f>1</f>
        <v>1</v>
      </c>
      <c r="E2" t="str" cm="1">
        <f t="array" ref="E2:J2">'DROP 1'!B65:G65</f>
        <v>JAIME MILL</v>
      </c>
      <c r="F2" t="str">
        <v>M</v>
      </c>
      <c r="G2">
        <v>1</v>
      </c>
      <c r="H2">
        <v>3</v>
      </c>
      <c r="I2" s="401">
        <v>120</v>
      </c>
      <c r="J2" t="str">
        <v>DROP 1</v>
      </c>
      <c r="L2" s="367" t="s">
        <v>8</v>
      </c>
      <c r="M2" t="s">
        <v>9</v>
      </c>
      <c r="O2" s="367" t="s">
        <v>8</v>
      </c>
      <c r="P2" t="s">
        <v>10</v>
      </c>
    </row>
    <row r="3" spans="1:16" ht="17.100000000000001" customHeight="1">
      <c r="A3" t="s">
        <v>11</v>
      </c>
      <c r="D3">
        <f>D2+1</f>
        <v>2</v>
      </c>
      <c r="E3" t="str" cm="1">
        <f t="array" ref="E3:J3">'DROP 1'!B66:G66</f>
        <v>PETER</v>
      </c>
      <c r="F3" t="str">
        <v>M</v>
      </c>
      <c r="G3">
        <v>1</v>
      </c>
      <c r="H3">
        <v>2</v>
      </c>
      <c r="I3" s="401">
        <v>105</v>
      </c>
      <c r="J3" t="str">
        <v>DROP 1</v>
      </c>
      <c r="L3" s="196" t="s">
        <v>12</v>
      </c>
      <c r="M3" s="368">
        <v>421</v>
      </c>
      <c r="O3" s="196" t="s">
        <v>13</v>
      </c>
      <c r="P3">
        <v>100</v>
      </c>
    </row>
    <row r="4" spans="1:16" ht="15.95" customHeight="1">
      <c r="A4" t="s">
        <v>14</v>
      </c>
      <c r="D4">
        <f t="shared" ref="D4:D67" si="0">D3+1</f>
        <v>3</v>
      </c>
      <c r="E4" t="str" cm="1">
        <f t="array" ref="E4:J4">'DROP 1'!B67:G67</f>
        <v>LUIS CANADA</v>
      </c>
      <c r="F4" t="str">
        <v>M</v>
      </c>
      <c r="G4">
        <v>1</v>
      </c>
      <c r="H4">
        <v>2</v>
      </c>
      <c r="I4" s="401">
        <v>80</v>
      </c>
      <c r="J4" t="str">
        <v>DROP 1</v>
      </c>
      <c r="L4" s="245" t="s">
        <v>15</v>
      </c>
      <c r="M4" s="368">
        <v>70</v>
      </c>
      <c r="O4" s="196" t="s">
        <v>16</v>
      </c>
      <c r="P4">
        <v>85</v>
      </c>
    </row>
    <row r="5" spans="1:16" ht="17.100000000000001" customHeight="1">
      <c r="A5" t="s">
        <v>17</v>
      </c>
      <c r="D5">
        <f t="shared" si="0"/>
        <v>4</v>
      </c>
      <c r="E5" t="str" cm="1">
        <f t="array" ref="E5:J5">'DROP 1'!B68:G68</f>
        <v>JAIME BUSTAMANTE</v>
      </c>
      <c r="F5" t="str">
        <v>M</v>
      </c>
      <c r="G5">
        <v>1</v>
      </c>
      <c r="H5">
        <v>3</v>
      </c>
      <c r="I5" s="401">
        <v>112</v>
      </c>
      <c r="J5" t="str">
        <v>DROP 1</v>
      </c>
      <c r="L5" s="245" t="s">
        <v>18</v>
      </c>
      <c r="M5" s="368">
        <v>105</v>
      </c>
      <c r="O5" s="196" t="s">
        <v>19</v>
      </c>
      <c r="P5">
        <v>13</v>
      </c>
    </row>
    <row r="6" spans="1:16" ht="15.95" customHeight="1">
      <c r="A6" t="s">
        <v>20</v>
      </c>
      <c r="D6">
        <f t="shared" si="0"/>
        <v>5</v>
      </c>
      <c r="E6" t="str" cm="1">
        <f t="array" ref="E6:J6">'DROP 1'!B69:G69</f>
        <v>QUINTANA</v>
      </c>
      <c r="F6" t="str">
        <v>L</v>
      </c>
      <c r="G6">
        <v>2</v>
      </c>
      <c r="H6">
        <v>1</v>
      </c>
      <c r="I6" s="401">
        <v>55</v>
      </c>
      <c r="J6" t="str">
        <v>DROP 1</v>
      </c>
      <c r="L6" s="245" t="s">
        <v>21</v>
      </c>
      <c r="M6" s="368">
        <v>34</v>
      </c>
      <c r="O6" s="196" t="s">
        <v>22</v>
      </c>
      <c r="P6">
        <v>198</v>
      </c>
    </row>
    <row r="7" spans="1:16" ht="17.100000000000001" customHeight="1">
      <c r="A7" t="s">
        <v>23</v>
      </c>
      <c r="D7">
        <f t="shared" si="0"/>
        <v>6</v>
      </c>
      <c r="E7" t="str" cm="1">
        <f t="array" ref="E7:J7">'DROP 1'!B70:G70</f>
        <v>MUÑOZ</v>
      </c>
      <c r="F7" t="str">
        <v>L</v>
      </c>
      <c r="G7">
        <v>2</v>
      </c>
      <c r="H7">
        <v>4</v>
      </c>
      <c r="I7" s="401">
        <v>232</v>
      </c>
      <c r="J7" t="str">
        <v>DROP 1</v>
      </c>
      <c r="L7" s="245" t="s">
        <v>24</v>
      </c>
      <c r="M7" s="368">
        <v>96</v>
      </c>
    </row>
    <row r="8" spans="1:16" ht="15.95" customHeight="1">
      <c r="A8" t="s">
        <v>25</v>
      </c>
      <c r="D8">
        <f t="shared" si="0"/>
        <v>7</v>
      </c>
      <c r="E8" t="str" cm="1">
        <f t="array" ref="E8:J8">'DROP 1'!B71:G71</f>
        <v>PUIG AMIGO JACO</v>
      </c>
      <c r="F8" t="str">
        <v>M</v>
      </c>
      <c r="G8">
        <v>1</v>
      </c>
      <c r="H8">
        <v>1</v>
      </c>
      <c r="I8" s="401">
        <v>30</v>
      </c>
      <c r="J8" t="str">
        <v>DROP 1</v>
      </c>
      <c r="L8" s="245" t="s">
        <v>26</v>
      </c>
      <c r="M8" s="368">
        <v>78</v>
      </c>
      <c r="O8" s="367" t="s">
        <v>8</v>
      </c>
      <c r="P8" t="s">
        <v>10</v>
      </c>
    </row>
    <row r="9" spans="1:16" ht="17.100000000000001" customHeight="1">
      <c r="A9" t="s">
        <v>27</v>
      </c>
      <c r="D9">
        <f t="shared" si="0"/>
        <v>8</v>
      </c>
      <c r="E9" t="str" cm="1">
        <f t="array" ref="E9:J9">'DROP 1'!B72:G72</f>
        <v>GA</v>
      </c>
      <c r="F9" t="str">
        <v>M</v>
      </c>
      <c r="G9">
        <v>1</v>
      </c>
      <c r="H9">
        <v>1</v>
      </c>
      <c r="I9" s="401">
        <v>30</v>
      </c>
      <c r="J9" t="str">
        <v>DROP 1</v>
      </c>
      <c r="L9" s="245" t="s">
        <v>28</v>
      </c>
      <c r="M9" s="368">
        <v>0</v>
      </c>
      <c r="O9" s="196" t="s">
        <v>12</v>
      </c>
      <c r="P9">
        <v>12</v>
      </c>
    </row>
    <row r="10" spans="1:16" ht="15.95" customHeight="1">
      <c r="A10" t="s">
        <v>29</v>
      </c>
      <c r="D10">
        <f t="shared" si="0"/>
        <v>9</v>
      </c>
      <c r="E10" t="str" cm="1">
        <f t="array" ref="E10:J10">'DROP 1'!B73:G73</f>
        <v>NACHO PEREZ</v>
      </c>
      <c r="F10" t="str">
        <v>M</v>
      </c>
      <c r="G10">
        <v>1</v>
      </c>
      <c r="H10">
        <v>1</v>
      </c>
      <c r="I10" s="401">
        <v>30</v>
      </c>
      <c r="J10" t="str">
        <v>DROP 1</v>
      </c>
      <c r="L10" s="245" t="s">
        <v>30</v>
      </c>
      <c r="M10" s="368">
        <v>38</v>
      </c>
      <c r="O10" s="196" t="s">
        <v>31</v>
      </c>
      <c r="P10">
        <v>12</v>
      </c>
    </row>
    <row r="11" spans="1:16" ht="17.100000000000001" customHeight="1">
      <c r="A11" t="s">
        <v>32</v>
      </c>
      <c r="D11">
        <f t="shared" si="0"/>
        <v>10</v>
      </c>
      <c r="E11" t="str" cm="1">
        <f t="array" ref="E11:J11">'DROP 1'!B74:G74</f>
        <v>CASAPE</v>
      </c>
      <c r="F11" t="str">
        <v>M</v>
      </c>
      <c r="G11">
        <v>1</v>
      </c>
      <c r="H11">
        <v>1</v>
      </c>
      <c r="I11" s="401">
        <v>30</v>
      </c>
      <c r="J11" t="str">
        <v>DROP 1</v>
      </c>
      <c r="L11" s="196" t="s">
        <v>33</v>
      </c>
      <c r="M11" s="368">
        <v>398</v>
      </c>
      <c r="O11" s="196" t="s">
        <v>33</v>
      </c>
      <c r="P11">
        <v>11</v>
      </c>
    </row>
    <row r="12" spans="1:16" ht="15.95" customHeight="1">
      <c r="A12" t="s">
        <v>34</v>
      </c>
      <c r="D12">
        <f t="shared" si="0"/>
        <v>11</v>
      </c>
      <c r="E12" t="str" cm="1">
        <f t="array" ref="E12:J12">'DROP 1'!B75:G75</f>
        <v>JUANTO</v>
      </c>
      <c r="F12" t="str">
        <v>M</v>
      </c>
      <c r="G12">
        <v>1</v>
      </c>
      <c r="H12">
        <v>1</v>
      </c>
      <c r="I12" s="401">
        <v>55</v>
      </c>
      <c r="J12" t="str">
        <v>DROP 1</v>
      </c>
      <c r="L12" s="245" t="s">
        <v>15</v>
      </c>
      <c r="M12" s="368">
        <v>35</v>
      </c>
      <c r="O12" s="196" t="s">
        <v>35</v>
      </c>
      <c r="P12">
        <v>8</v>
      </c>
    </row>
    <row r="13" spans="1:16" ht="17.100000000000001" customHeight="1">
      <c r="A13" t="s">
        <v>36</v>
      </c>
      <c r="D13">
        <f t="shared" si="0"/>
        <v>12</v>
      </c>
      <c r="E13" t="str" cm="1">
        <f t="array" ref="E13:J13">'DROP 1'!B76:G76</f>
        <v>DIEGO AMIGO JACO</v>
      </c>
      <c r="F13" t="str">
        <v>M</v>
      </c>
      <c r="G13">
        <v>1</v>
      </c>
      <c r="H13">
        <v>1</v>
      </c>
      <c r="I13" s="401">
        <v>30</v>
      </c>
      <c r="J13" t="str">
        <v>DROP 1</v>
      </c>
      <c r="L13" s="245" t="s">
        <v>18</v>
      </c>
      <c r="M13" s="368">
        <v>232</v>
      </c>
      <c r="O13" s="196" t="s">
        <v>37</v>
      </c>
      <c r="P13">
        <v>7</v>
      </c>
    </row>
    <row r="14" spans="1:16" ht="15.95" customHeight="1">
      <c r="A14" t="s">
        <v>38</v>
      </c>
      <c r="D14">
        <f t="shared" si="0"/>
        <v>13</v>
      </c>
      <c r="E14" t="str" cm="1">
        <f t="array" ref="E14:J14">'DROP 1'!B77:G77</f>
        <v>JAIME X</v>
      </c>
      <c r="F14" t="str">
        <v>M</v>
      </c>
      <c r="G14">
        <v>1</v>
      </c>
      <c r="H14">
        <v>1</v>
      </c>
      <c r="I14" s="401">
        <v>30</v>
      </c>
      <c r="J14" t="str">
        <v>DROP 1</v>
      </c>
      <c r="L14" s="245" t="s">
        <v>21</v>
      </c>
      <c r="M14" s="368">
        <v>78</v>
      </c>
      <c r="O14" s="196" t="s">
        <v>34</v>
      </c>
      <c r="P14">
        <v>7</v>
      </c>
    </row>
    <row r="15" spans="1:16" ht="17.100000000000001" customHeight="1">
      <c r="A15" t="s">
        <v>39</v>
      </c>
      <c r="D15">
        <f t="shared" si="0"/>
        <v>14</v>
      </c>
      <c r="E15" t="str" cm="1">
        <f t="array" ref="E15:J15">'DROP 1'!B78:G78</f>
        <v>AMIGO ANGEL</v>
      </c>
      <c r="F15" t="str">
        <v>M</v>
      </c>
      <c r="G15">
        <v>1</v>
      </c>
      <c r="H15">
        <v>1</v>
      </c>
      <c r="I15" s="401">
        <v>30</v>
      </c>
      <c r="J15" t="str">
        <v>DROP 1</v>
      </c>
      <c r="L15" s="245" t="s">
        <v>26</v>
      </c>
      <c r="M15" s="368">
        <v>34</v>
      </c>
      <c r="O15" s="196" t="s">
        <v>40</v>
      </c>
      <c r="P15">
        <v>6</v>
      </c>
    </row>
    <row r="16" spans="1:16" ht="15.95" customHeight="1">
      <c r="A16" t="s">
        <v>41</v>
      </c>
      <c r="D16">
        <f t="shared" si="0"/>
        <v>15</v>
      </c>
      <c r="E16" t="str" cm="1">
        <f t="array" ref="E16:J16">'DROP 1'!B79:G79</f>
        <v>GENOVEVA</v>
      </c>
      <c r="F16" t="str">
        <v>M</v>
      </c>
      <c r="G16">
        <v>1</v>
      </c>
      <c r="H16">
        <v>1</v>
      </c>
      <c r="I16" s="401">
        <v>40</v>
      </c>
      <c r="J16" t="str">
        <v>DROP 1</v>
      </c>
      <c r="L16" s="245" t="s">
        <v>28</v>
      </c>
      <c r="M16" s="368">
        <v>0</v>
      </c>
      <c r="O16" s="196" t="s">
        <v>42</v>
      </c>
      <c r="P16">
        <v>6</v>
      </c>
    </row>
    <row r="17" spans="1:16" ht="17.100000000000001" customHeight="1">
      <c r="A17" t="s">
        <v>43</v>
      </c>
      <c r="D17">
        <f t="shared" si="0"/>
        <v>16</v>
      </c>
      <c r="E17" t="str" cm="1">
        <f t="array" ref="E17:J17">'DROP 1'!B80:G80</f>
        <v>CANDELA</v>
      </c>
      <c r="F17" t="str">
        <v>M</v>
      </c>
      <c r="G17">
        <v>1</v>
      </c>
      <c r="H17">
        <v>1</v>
      </c>
      <c r="I17" s="401">
        <v>40</v>
      </c>
      <c r="J17" t="str">
        <v>DROP 1</v>
      </c>
      <c r="L17" s="245" t="s">
        <v>30</v>
      </c>
      <c r="M17" s="368">
        <v>19</v>
      </c>
      <c r="O17" s="196" t="s">
        <v>44</v>
      </c>
      <c r="P17">
        <v>6</v>
      </c>
    </row>
    <row r="18" spans="1:16" ht="15.95" customHeight="1">
      <c r="A18" t="s">
        <v>45</v>
      </c>
      <c r="D18" s="195">
        <f t="shared" si="0"/>
        <v>17</v>
      </c>
      <c r="E18" t="str" cm="1">
        <f t="array" ref="E18:J18">'DROP 2'!B65:G65</f>
        <v>ANGEL AMIGO JACO</v>
      </c>
      <c r="F18" t="str">
        <v>M, L</v>
      </c>
      <c r="G18">
        <v>3</v>
      </c>
      <c r="H18">
        <v>2</v>
      </c>
      <c r="I18" s="401">
        <v>78</v>
      </c>
      <c r="J18" t="str">
        <v>DROP 2</v>
      </c>
      <c r="L18" s="196" t="s">
        <v>31</v>
      </c>
      <c r="M18" s="368">
        <v>393</v>
      </c>
      <c r="O18" s="196" t="s">
        <v>46</v>
      </c>
      <c r="P18">
        <v>5</v>
      </c>
    </row>
    <row r="19" spans="1:16" ht="17.100000000000001" customHeight="1">
      <c r="A19" t="s">
        <v>47</v>
      </c>
      <c r="D19">
        <f t="shared" si="0"/>
        <v>18</v>
      </c>
      <c r="E19" t="str" cm="1">
        <f t="array" ref="E19:J19">'DROP 2'!B66:G66</f>
        <v>DIEGO AMIGO JACO</v>
      </c>
      <c r="F19" t="str">
        <v>L</v>
      </c>
      <c r="G19">
        <v>2</v>
      </c>
      <c r="H19">
        <v>2</v>
      </c>
      <c r="I19" s="401">
        <v>63</v>
      </c>
      <c r="J19" t="str">
        <v>DROP 2</v>
      </c>
      <c r="L19" s="245" t="s">
        <v>15</v>
      </c>
      <c r="M19" s="368">
        <v>70</v>
      </c>
      <c r="O19" s="196" t="s">
        <v>48</v>
      </c>
      <c r="P19">
        <v>5</v>
      </c>
    </row>
    <row r="20" spans="1:16" ht="15.95" customHeight="1">
      <c r="A20" t="s">
        <v>49</v>
      </c>
      <c r="D20">
        <f t="shared" si="0"/>
        <v>19</v>
      </c>
      <c r="E20" t="str" cm="1">
        <f t="array" ref="E20:J20">'DROP 2'!B67:G67</f>
        <v>JUANMA</v>
      </c>
      <c r="F20" t="str">
        <v>M</v>
      </c>
      <c r="G20">
        <v>1</v>
      </c>
      <c r="H20">
        <v>1</v>
      </c>
      <c r="I20" s="401">
        <v>29</v>
      </c>
      <c r="J20" t="str">
        <v>DROP 2</v>
      </c>
      <c r="L20" s="245" t="s">
        <v>18</v>
      </c>
      <c r="M20" s="368">
        <v>112</v>
      </c>
      <c r="O20" s="196" t="s">
        <v>50</v>
      </c>
      <c r="P20">
        <v>5</v>
      </c>
    </row>
    <row r="21" spans="1:16" ht="17.100000000000001" customHeight="1">
      <c r="A21" t="s">
        <v>51</v>
      </c>
      <c r="D21">
        <f t="shared" si="0"/>
        <v>20</v>
      </c>
      <c r="E21" t="str" cm="1">
        <f t="array" ref="E21:J21">'DROP 2'!B68:G68</f>
        <v>JUANTO</v>
      </c>
      <c r="F21" t="str">
        <v>M</v>
      </c>
      <c r="G21">
        <v>1</v>
      </c>
      <c r="H21">
        <v>2</v>
      </c>
      <c r="I21" s="401">
        <v>63</v>
      </c>
      <c r="J21" t="str">
        <v>DROP 2</v>
      </c>
      <c r="L21" s="245" t="s">
        <v>21</v>
      </c>
      <c r="M21" s="368">
        <v>100</v>
      </c>
      <c r="O21" s="196" t="s">
        <v>52</v>
      </c>
      <c r="P21">
        <v>5</v>
      </c>
    </row>
    <row r="22" spans="1:16" ht="15.95" customHeight="1">
      <c r="A22" t="s">
        <v>48</v>
      </c>
      <c r="D22">
        <f t="shared" si="0"/>
        <v>21</v>
      </c>
      <c r="E22" t="str" cm="1">
        <f t="array" ref="E22:J22">'DROP 2'!B69:G69</f>
        <v>JORGE PUIG</v>
      </c>
      <c r="F22" t="str">
        <v>M</v>
      </c>
      <c r="G22">
        <v>1</v>
      </c>
      <c r="H22">
        <v>1</v>
      </c>
      <c r="I22" s="401">
        <v>49</v>
      </c>
      <c r="J22" t="str">
        <v>DROP 2</v>
      </c>
      <c r="L22" s="245" t="s">
        <v>24</v>
      </c>
      <c r="M22" s="368">
        <v>33</v>
      </c>
      <c r="O22" s="196" t="s">
        <v>53</v>
      </c>
      <c r="P22">
        <v>5</v>
      </c>
    </row>
    <row r="23" spans="1:16" ht="17.100000000000001" customHeight="1">
      <c r="A23" t="s">
        <v>54</v>
      </c>
      <c r="D23">
        <f t="shared" si="0"/>
        <v>22</v>
      </c>
      <c r="E23" t="str" cm="1">
        <f t="array" ref="E23:J23">'DROP 2'!B70:G70</f>
        <v>NACHO PEREZ</v>
      </c>
      <c r="F23" t="str">
        <v>L</v>
      </c>
      <c r="G23">
        <v>2</v>
      </c>
      <c r="H23">
        <v>1</v>
      </c>
      <c r="I23" s="401">
        <v>34</v>
      </c>
      <c r="J23" t="str">
        <v>DROP 2</v>
      </c>
      <c r="L23" s="245" t="s">
        <v>26</v>
      </c>
      <c r="M23" s="368">
        <v>78</v>
      </c>
      <c r="O23" s="196" t="s">
        <v>38</v>
      </c>
      <c r="P23">
        <v>5</v>
      </c>
    </row>
    <row r="24" spans="1:16" ht="15.95" customHeight="1">
      <c r="A24" t="s">
        <v>42</v>
      </c>
      <c r="D24">
        <f t="shared" si="0"/>
        <v>23</v>
      </c>
      <c r="E24" t="str" cm="1">
        <f t="array" ref="E24:J24">'DROP 2'!B71:G71</f>
        <v>PETER</v>
      </c>
      <c r="F24" t="str">
        <v>M</v>
      </c>
      <c r="G24">
        <v>1</v>
      </c>
      <c r="H24">
        <v>1</v>
      </c>
      <c r="I24" s="401">
        <v>34</v>
      </c>
      <c r="J24" t="str">
        <v>DROP 2</v>
      </c>
      <c r="L24" s="196" t="s">
        <v>35</v>
      </c>
      <c r="M24" s="368">
        <v>257</v>
      </c>
      <c r="O24" s="196" t="s">
        <v>55</v>
      </c>
      <c r="P24">
        <v>5</v>
      </c>
    </row>
    <row r="25" spans="1:16" ht="17.100000000000001" customHeight="1">
      <c r="A25" t="s">
        <v>56</v>
      </c>
      <c r="D25">
        <f t="shared" si="0"/>
        <v>24</v>
      </c>
      <c r="E25" t="str" cm="1">
        <f t="array" ref="E25:J25">'DROP 2'!B72:G72</f>
        <v>BARALLOBRE</v>
      </c>
      <c r="F25" t="str">
        <v>L</v>
      </c>
      <c r="G25">
        <v>2</v>
      </c>
      <c r="H25">
        <v>1</v>
      </c>
      <c r="I25" s="401">
        <v>29</v>
      </c>
      <c r="J25" t="str">
        <v>DROP 2</v>
      </c>
      <c r="L25" s="245" t="s">
        <v>15</v>
      </c>
      <c r="M25" s="368">
        <v>35</v>
      </c>
      <c r="O25" s="196" t="s">
        <v>57</v>
      </c>
      <c r="P25">
        <v>4</v>
      </c>
    </row>
    <row r="26" spans="1:16" ht="15.95" customHeight="1">
      <c r="A26" t="s">
        <v>58</v>
      </c>
      <c r="D26">
        <f t="shared" si="0"/>
        <v>25</v>
      </c>
      <c r="E26" t="str" cm="1">
        <f t="array" ref="E26:J26">'DROP 2'!B73:G73</f>
        <v>PUIG AMIGO JACO</v>
      </c>
      <c r="F26" t="str">
        <v>M</v>
      </c>
      <c r="G26">
        <v>1</v>
      </c>
      <c r="H26">
        <v>2</v>
      </c>
      <c r="I26" s="401">
        <v>78</v>
      </c>
      <c r="J26" t="str">
        <v>DROP 2</v>
      </c>
      <c r="L26" s="245" t="s">
        <v>18</v>
      </c>
      <c r="M26" s="368">
        <v>55</v>
      </c>
      <c r="O26" s="196" t="s">
        <v>59</v>
      </c>
      <c r="P26">
        <v>4</v>
      </c>
    </row>
    <row r="27" spans="1:16" ht="17.100000000000001" customHeight="1">
      <c r="A27" t="s">
        <v>60</v>
      </c>
      <c r="D27">
        <f t="shared" si="0"/>
        <v>26</v>
      </c>
      <c r="E27" t="str" cm="1">
        <f t="array" ref="E27:J27">'DROP 2'!B74:G74</f>
        <v>FORMARIZ</v>
      </c>
      <c r="F27" t="str">
        <v>M</v>
      </c>
      <c r="G27">
        <v>1</v>
      </c>
      <c r="H27">
        <v>1</v>
      </c>
      <c r="I27" s="401">
        <v>49</v>
      </c>
      <c r="J27" t="str">
        <v>DROP 2</v>
      </c>
      <c r="L27" s="245" t="s">
        <v>21</v>
      </c>
      <c r="M27" s="368">
        <v>63</v>
      </c>
      <c r="O27" s="196" t="s">
        <v>61</v>
      </c>
      <c r="P27">
        <v>3</v>
      </c>
    </row>
    <row r="28" spans="1:16" ht="15.95" customHeight="1">
      <c r="A28" t="s">
        <v>62</v>
      </c>
      <c r="D28">
        <f t="shared" si="0"/>
        <v>27</v>
      </c>
      <c r="E28" t="str" cm="1">
        <f t="array" ref="E28:J28">'DROP 2'!B75:G75</f>
        <v>DOMINGUEZ</v>
      </c>
      <c r="F28" t="str">
        <v>L</v>
      </c>
      <c r="G28">
        <v>2</v>
      </c>
      <c r="H28">
        <v>2</v>
      </c>
      <c r="I28" s="401">
        <v>63</v>
      </c>
      <c r="J28" t="str">
        <v>DROP 2</v>
      </c>
      <c r="L28" s="245" t="s">
        <v>28</v>
      </c>
      <c r="M28" s="368">
        <v>66</v>
      </c>
      <c r="O28" s="196" t="s">
        <v>63</v>
      </c>
      <c r="P28">
        <v>3</v>
      </c>
    </row>
    <row r="29" spans="1:16" ht="17.100000000000001" customHeight="1">
      <c r="A29" t="s">
        <v>64</v>
      </c>
      <c r="D29">
        <f t="shared" si="0"/>
        <v>28</v>
      </c>
      <c r="E29" t="str" cm="1">
        <f t="array" ref="E29:J29">'DROP 2'!B76:G76</f>
        <v>IÑIGO</v>
      </c>
      <c r="F29" t="str">
        <v>L</v>
      </c>
      <c r="G29">
        <v>2</v>
      </c>
      <c r="H29">
        <v>1</v>
      </c>
      <c r="I29" s="401">
        <v>40</v>
      </c>
      <c r="J29" t="str">
        <v>DROP 2</v>
      </c>
      <c r="L29" s="245" t="s">
        <v>30</v>
      </c>
      <c r="M29" s="368">
        <v>38</v>
      </c>
      <c r="O29" s="196" t="s">
        <v>65</v>
      </c>
      <c r="P29">
        <v>3</v>
      </c>
    </row>
    <row r="30" spans="1:16" ht="15.95" customHeight="1">
      <c r="A30" t="s">
        <v>46</v>
      </c>
      <c r="D30">
        <f t="shared" si="0"/>
        <v>29</v>
      </c>
      <c r="E30" t="str" cm="1">
        <f t="array" ref="E30:J30">'DROP 2'!B77:G77</f>
        <v>MUÑOZ</v>
      </c>
      <c r="F30" t="str">
        <v>L</v>
      </c>
      <c r="G30">
        <v>2</v>
      </c>
      <c r="H30">
        <v>2</v>
      </c>
      <c r="I30" s="401">
        <v>78</v>
      </c>
      <c r="J30" t="str">
        <v>DROP 2</v>
      </c>
      <c r="L30" s="196" t="s">
        <v>37</v>
      </c>
      <c r="M30" s="368">
        <v>205</v>
      </c>
      <c r="O30" s="196" t="s">
        <v>60</v>
      </c>
      <c r="P30">
        <v>3</v>
      </c>
    </row>
    <row r="31" spans="1:16" ht="17.100000000000001" customHeight="1">
      <c r="A31" t="s">
        <v>66</v>
      </c>
      <c r="D31">
        <f t="shared" si="0"/>
        <v>30</v>
      </c>
      <c r="E31" t="str" cm="1">
        <f t="array" ref="E31:J31">'DROP 2'!B78:G78</f>
        <v>TITO</v>
      </c>
      <c r="F31" t="str">
        <v>L</v>
      </c>
      <c r="G31">
        <v>2</v>
      </c>
      <c r="H31">
        <v>1</v>
      </c>
      <c r="I31" s="401">
        <v>45</v>
      </c>
      <c r="J31" t="str">
        <v>DROP 2</v>
      </c>
      <c r="L31" s="245" t="s">
        <v>21</v>
      </c>
      <c r="M31" s="368">
        <v>25</v>
      </c>
      <c r="O31" s="196" t="s">
        <v>67</v>
      </c>
      <c r="P31">
        <v>3</v>
      </c>
    </row>
    <row r="32" spans="1:16" ht="15.95" customHeight="1">
      <c r="A32" t="s">
        <v>63</v>
      </c>
      <c r="D32">
        <f t="shared" si="0"/>
        <v>31</v>
      </c>
      <c r="E32" t="str" cm="1">
        <f t="array" ref="E32:J32">'DROP 2'!B79:G79</f>
        <v>CARLOTA DEL OLMO</v>
      </c>
      <c r="F32" t="str">
        <v>L</v>
      </c>
      <c r="G32">
        <v>2</v>
      </c>
      <c r="H32">
        <v>1</v>
      </c>
      <c r="I32" s="401">
        <v>52.7</v>
      </c>
      <c r="J32" t="str">
        <v>DROP 2</v>
      </c>
      <c r="L32" s="245" t="s">
        <v>26</v>
      </c>
      <c r="M32" s="368">
        <v>76</v>
      </c>
      <c r="O32" s="196" t="s">
        <v>39</v>
      </c>
      <c r="P32">
        <v>3</v>
      </c>
    </row>
    <row r="33" spans="1:16" ht="17.100000000000001" customHeight="1">
      <c r="A33" t="s">
        <v>68</v>
      </c>
      <c r="D33">
        <f t="shared" si="0"/>
        <v>32</v>
      </c>
      <c r="E33" t="str" cm="1">
        <f t="array" ref="E33:J33">'DROP 2'!B80:G80</f>
        <v>GENOVEVA</v>
      </c>
      <c r="F33" t="str">
        <v>L</v>
      </c>
      <c r="G33">
        <v>2</v>
      </c>
      <c r="H33">
        <v>1</v>
      </c>
      <c r="I33" s="401">
        <v>54.3</v>
      </c>
      <c r="J33" t="str">
        <v>DROP 2</v>
      </c>
      <c r="L33" s="245" t="s">
        <v>28</v>
      </c>
      <c r="M33" s="368">
        <v>66</v>
      </c>
      <c r="O33" s="196" t="s">
        <v>29</v>
      </c>
      <c r="P33">
        <v>3</v>
      </c>
    </row>
    <row r="34" spans="1:16" ht="15.95" customHeight="1">
      <c r="A34" t="s">
        <v>69</v>
      </c>
      <c r="D34">
        <f t="shared" si="0"/>
        <v>33</v>
      </c>
      <c r="E34" t="str" cm="1">
        <f t="array" ref="E34:J34">'DROP 2'!B81:G81</f>
        <v>RODRI AMIGO JACO</v>
      </c>
      <c r="F34" t="str">
        <v>L</v>
      </c>
      <c r="G34">
        <v>2</v>
      </c>
      <c r="H34">
        <v>1</v>
      </c>
      <c r="I34" s="401">
        <v>34</v>
      </c>
      <c r="J34" t="str">
        <v>DROP 2</v>
      </c>
      <c r="L34" s="245" t="s">
        <v>30</v>
      </c>
      <c r="M34" s="368">
        <v>38</v>
      </c>
      <c r="O34" s="196" t="s">
        <v>70</v>
      </c>
      <c r="P34">
        <v>3</v>
      </c>
    </row>
    <row r="35" spans="1:16" ht="17.100000000000001" customHeight="1">
      <c r="A35" t="s">
        <v>71</v>
      </c>
      <c r="D35">
        <f t="shared" si="0"/>
        <v>34</v>
      </c>
      <c r="E35" t="str" cm="1">
        <f t="array" ref="E35:J35">'DROP 2'!B82:G82</f>
        <v>CASAPE</v>
      </c>
      <c r="F35" t="str">
        <v>L</v>
      </c>
      <c r="G35">
        <v>2</v>
      </c>
      <c r="H35">
        <v>1</v>
      </c>
      <c r="I35" s="401">
        <v>29</v>
      </c>
      <c r="J35" t="str">
        <v>DROP 2</v>
      </c>
      <c r="L35" s="196" t="s">
        <v>34</v>
      </c>
      <c r="M35" s="368">
        <v>193</v>
      </c>
      <c r="O35" s="196" t="s">
        <v>54</v>
      </c>
      <c r="P35">
        <v>2</v>
      </c>
    </row>
    <row r="36" spans="1:16" ht="15.95" customHeight="1">
      <c r="A36" t="s">
        <v>65</v>
      </c>
      <c r="D36">
        <f t="shared" si="0"/>
        <v>35</v>
      </c>
      <c r="E36" t="str" cm="1">
        <f t="array" ref="E36:J36">'DROP 2'!B83:G83</f>
        <v>MARIO MIRON</v>
      </c>
      <c r="F36" t="str">
        <v>L</v>
      </c>
      <c r="G36">
        <v>2</v>
      </c>
      <c r="H36">
        <v>1</v>
      </c>
      <c r="I36" s="401">
        <v>49</v>
      </c>
      <c r="J36" t="str">
        <v>DROP 2</v>
      </c>
      <c r="L36" s="245" t="s">
        <v>15</v>
      </c>
      <c r="M36" s="368">
        <v>60</v>
      </c>
      <c r="O36" s="196" t="s">
        <v>72</v>
      </c>
      <c r="P36">
        <v>2</v>
      </c>
    </row>
    <row r="37" spans="1:16" ht="17.100000000000001" customHeight="1">
      <c r="A37" t="s">
        <v>59</v>
      </c>
      <c r="D37">
        <f t="shared" si="0"/>
        <v>36</v>
      </c>
      <c r="E37" t="str" cm="1">
        <f t="array" ref="E37:J37">'DROP 2'!B84:G84</f>
        <v>CHIARRI</v>
      </c>
      <c r="F37" t="str">
        <v>M</v>
      </c>
      <c r="G37">
        <v>1</v>
      </c>
      <c r="H37">
        <v>1</v>
      </c>
      <c r="I37" s="401">
        <v>39</v>
      </c>
      <c r="J37" t="str">
        <v>DROP 2</v>
      </c>
      <c r="L37" s="245" t="s">
        <v>21</v>
      </c>
      <c r="M37" s="368">
        <v>29</v>
      </c>
      <c r="O37" s="196" t="s">
        <v>73</v>
      </c>
      <c r="P37">
        <v>2</v>
      </c>
    </row>
    <row r="38" spans="1:16" ht="15.95" customHeight="1">
      <c r="A38" t="s">
        <v>31</v>
      </c>
      <c r="D38">
        <f t="shared" si="0"/>
        <v>37</v>
      </c>
      <c r="E38" t="str" cm="1">
        <f t="array" ref="E38:J38">'DROP 2'!B85:G85</f>
        <v>CHORVO</v>
      </c>
      <c r="F38" t="str">
        <v>M</v>
      </c>
      <c r="G38">
        <v>1</v>
      </c>
      <c r="H38">
        <v>1</v>
      </c>
      <c r="I38" s="401">
        <v>27</v>
      </c>
      <c r="J38" t="str">
        <v>DROP 2</v>
      </c>
      <c r="L38" s="245" t="s">
        <v>26</v>
      </c>
      <c r="M38" s="368">
        <v>33</v>
      </c>
      <c r="O38" s="196" t="s">
        <v>71</v>
      </c>
      <c r="P38">
        <v>2</v>
      </c>
    </row>
    <row r="39" spans="1:16" ht="17.100000000000001" customHeight="1">
      <c r="A39" t="s">
        <v>70</v>
      </c>
      <c r="D39">
        <f t="shared" si="0"/>
        <v>38</v>
      </c>
      <c r="E39" t="str" cm="1">
        <f t="array" ref="E39:J39">'DROP 2'!B86:G86</f>
        <v>ALVARO NISTAL</v>
      </c>
      <c r="F39" t="str">
        <v>L</v>
      </c>
      <c r="G39">
        <v>2</v>
      </c>
      <c r="H39">
        <v>1</v>
      </c>
      <c r="I39" s="401">
        <v>39</v>
      </c>
      <c r="J39" t="str">
        <v>DROP 2</v>
      </c>
      <c r="L39" s="245" t="s">
        <v>28</v>
      </c>
      <c r="M39" s="368">
        <v>33</v>
      </c>
      <c r="O39" s="196" t="s">
        <v>51</v>
      </c>
      <c r="P39">
        <v>2</v>
      </c>
    </row>
    <row r="40" spans="1:16" ht="15.95" customHeight="1">
      <c r="A40" t="s">
        <v>74</v>
      </c>
      <c r="D40">
        <f t="shared" si="0"/>
        <v>39</v>
      </c>
      <c r="E40" t="str" cm="1">
        <f t="array" ref="E40:J40">'DROP 2'!B87:G87</f>
        <v>VINTED</v>
      </c>
      <c r="F40" t="str">
        <v>M, L</v>
      </c>
      <c r="G40">
        <v>3</v>
      </c>
      <c r="H40">
        <v>3</v>
      </c>
      <c r="I40" s="401">
        <v>73</v>
      </c>
      <c r="J40" t="str">
        <v>DROP 2</v>
      </c>
      <c r="L40" s="245" t="s">
        <v>30</v>
      </c>
      <c r="M40" s="368">
        <v>38</v>
      </c>
      <c r="O40" s="196" t="s">
        <v>20</v>
      </c>
      <c r="P40">
        <v>2</v>
      </c>
    </row>
    <row r="41" spans="1:16" ht="15.95" customHeight="1">
      <c r="A41" t="s">
        <v>75</v>
      </c>
      <c r="D41">
        <f t="shared" si="0"/>
        <v>40</v>
      </c>
      <c r="E41" t="str" cm="1">
        <f t="array" ref="E41:J41">'DROP 2'!B88:G88</f>
        <v>JAIME BUSTAMANTE</v>
      </c>
      <c r="F41" t="str">
        <v>M, L</v>
      </c>
      <c r="G41">
        <v>3</v>
      </c>
      <c r="H41">
        <v>4</v>
      </c>
      <c r="I41" s="401">
        <v>100</v>
      </c>
      <c r="J41" t="str">
        <v>DROP 2</v>
      </c>
      <c r="L41" s="196" t="s">
        <v>42</v>
      </c>
      <c r="M41" s="368">
        <v>193</v>
      </c>
      <c r="O41" s="196" t="s">
        <v>23</v>
      </c>
      <c r="P41">
        <v>2</v>
      </c>
    </row>
    <row r="42" spans="1:16" ht="15.95" customHeight="1">
      <c r="A42" t="s">
        <v>76</v>
      </c>
      <c r="D42">
        <f t="shared" si="0"/>
        <v>41</v>
      </c>
      <c r="E42" t="str" cm="1">
        <f t="array" ref="E42:J42">'DROP 2'!B89:G89</f>
        <v>NICO RUIZ</v>
      </c>
      <c r="F42" t="str">
        <v>M</v>
      </c>
      <c r="G42">
        <v>1</v>
      </c>
      <c r="H42">
        <v>1</v>
      </c>
      <c r="I42" s="401">
        <v>25</v>
      </c>
      <c r="J42" t="str">
        <v>DROP 2</v>
      </c>
      <c r="L42" s="245" t="s">
        <v>15</v>
      </c>
      <c r="M42" s="368">
        <v>70</v>
      </c>
      <c r="O42" s="196" t="s">
        <v>77</v>
      </c>
      <c r="P42">
        <v>2</v>
      </c>
    </row>
    <row r="43" spans="1:16" ht="17.100000000000001" customHeight="1">
      <c r="A43" t="s">
        <v>55</v>
      </c>
      <c r="D43">
        <f t="shared" si="0"/>
        <v>42</v>
      </c>
      <c r="E43" t="str" cm="1">
        <f t="array" ref="E43:J43">'DROP 2'!B90:G90</f>
        <v>QUINTANA</v>
      </c>
      <c r="F43" t="str">
        <v>L</v>
      </c>
      <c r="G43">
        <v>2</v>
      </c>
      <c r="H43">
        <v>1</v>
      </c>
      <c r="I43" s="401">
        <v>25</v>
      </c>
      <c r="J43" t="str">
        <v>DROP 2</v>
      </c>
      <c r="L43" s="245" t="s">
        <v>21</v>
      </c>
      <c r="M43" s="368">
        <v>27</v>
      </c>
      <c r="O43" s="196" t="s">
        <v>78</v>
      </c>
      <c r="P43">
        <v>1</v>
      </c>
    </row>
    <row r="44" spans="1:16" ht="15.95" customHeight="1">
      <c r="A44" t="s">
        <v>73</v>
      </c>
      <c r="D44">
        <f t="shared" si="0"/>
        <v>43</v>
      </c>
      <c r="E44" t="str" cm="1">
        <f t="array" ref="E44:J44">'DROP 2'!B91:G91</f>
        <v>BARTA</v>
      </c>
      <c r="F44" t="str">
        <v>M</v>
      </c>
      <c r="G44">
        <v>1</v>
      </c>
      <c r="H44">
        <v>1</v>
      </c>
      <c r="I44" s="401">
        <v>25</v>
      </c>
      <c r="J44" t="str">
        <v>DROP 2</v>
      </c>
      <c r="L44" s="245" t="s">
        <v>26</v>
      </c>
      <c r="M44" s="368">
        <v>77</v>
      </c>
      <c r="O44" s="196" t="s">
        <v>25</v>
      </c>
      <c r="P44">
        <v>1</v>
      </c>
    </row>
    <row r="45" spans="1:16" ht="17.100000000000001" customHeight="1">
      <c r="A45" t="s">
        <v>79</v>
      </c>
      <c r="D45" s="97">
        <f t="shared" si="0"/>
        <v>44</v>
      </c>
      <c r="E45" t="str" cm="1">
        <f t="array" ref="E45:J45">'SUMMER DROP'!B65:G65</f>
        <v>MUÑOZ</v>
      </c>
      <c r="F45" t="str">
        <v>L</v>
      </c>
      <c r="G45">
        <v>2</v>
      </c>
      <c r="H45">
        <v>1</v>
      </c>
      <c r="I45" s="401">
        <v>19</v>
      </c>
      <c r="J45" t="str">
        <v>SUMMER DROP</v>
      </c>
      <c r="L45" s="245" t="s">
        <v>30</v>
      </c>
      <c r="M45" s="368">
        <v>19</v>
      </c>
      <c r="O45" s="196" t="s">
        <v>80</v>
      </c>
      <c r="P45">
        <v>1</v>
      </c>
    </row>
    <row r="46" spans="1:16" ht="15.95" customHeight="1">
      <c r="A46" t="s">
        <v>53</v>
      </c>
      <c r="D46">
        <f t="shared" si="0"/>
        <v>45</v>
      </c>
      <c r="E46" t="str" cm="1">
        <f t="array" ref="E46:J46">'SUMMER DROP'!B66:G66</f>
        <v>PETER</v>
      </c>
      <c r="F46" t="str">
        <v>L</v>
      </c>
      <c r="G46">
        <v>2</v>
      </c>
      <c r="H46">
        <v>2</v>
      </c>
      <c r="I46" s="401">
        <v>38</v>
      </c>
      <c r="J46" t="str">
        <v>SUMMER DROP</v>
      </c>
      <c r="L46" s="196" t="s">
        <v>48</v>
      </c>
      <c r="M46" s="368">
        <v>169</v>
      </c>
      <c r="O46" s="196" t="s">
        <v>17</v>
      </c>
      <c r="P46">
        <v>1</v>
      </c>
    </row>
    <row r="47" spans="1:16" ht="17.100000000000001" customHeight="1">
      <c r="A47" t="s">
        <v>35</v>
      </c>
      <c r="D47">
        <f t="shared" si="0"/>
        <v>46</v>
      </c>
      <c r="E47" t="str" cm="1">
        <f t="array" ref="E47:J47">'SUMMER DROP'!B67:G67</f>
        <v>JUANMA</v>
      </c>
      <c r="F47" t="str">
        <v>L</v>
      </c>
      <c r="G47">
        <v>2</v>
      </c>
      <c r="H47">
        <v>1</v>
      </c>
      <c r="I47" s="401">
        <v>19</v>
      </c>
      <c r="J47" t="str">
        <v>SUMMER DROP</v>
      </c>
      <c r="L47" s="245" t="s">
        <v>18</v>
      </c>
      <c r="M47" s="368">
        <v>30</v>
      </c>
      <c r="O47" s="196" t="s">
        <v>14</v>
      </c>
      <c r="P47">
        <v>1</v>
      </c>
    </row>
    <row r="48" spans="1:16" ht="15.95" customHeight="1">
      <c r="A48" t="s">
        <v>81</v>
      </c>
      <c r="D48">
        <f t="shared" si="0"/>
        <v>47</v>
      </c>
      <c r="E48" t="str" cm="1">
        <f t="array" ref="E48:J48">'SUMMER DROP'!B68:G68</f>
        <v>NICO RUIZ</v>
      </c>
      <c r="F48" t="str">
        <v>M</v>
      </c>
      <c r="G48">
        <v>1</v>
      </c>
      <c r="H48">
        <v>2</v>
      </c>
      <c r="I48" s="401">
        <v>38</v>
      </c>
      <c r="J48" t="str">
        <v>SUMMER DROP</v>
      </c>
      <c r="L48" s="245" t="s">
        <v>21</v>
      </c>
      <c r="M48" s="368">
        <v>29</v>
      </c>
      <c r="O48" s="196" t="s">
        <v>11</v>
      </c>
      <c r="P48">
        <v>1</v>
      </c>
    </row>
    <row r="49" spans="1:16" ht="17.100000000000001" customHeight="1">
      <c r="A49" t="s">
        <v>82</v>
      </c>
      <c r="D49">
        <f t="shared" si="0"/>
        <v>48</v>
      </c>
      <c r="E49" t="str" cm="1">
        <f t="array" ref="E49:J49">'SUMMER DROP'!B69:G69</f>
        <v>ASTARLOA</v>
      </c>
      <c r="F49" t="str">
        <v>L</v>
      </c>
      <c r="G49">
        <v>2</v>
      </c>
      <c r="H49">
        <v>1</v>
      </c>
      <c r="I49" s="401">
        <v>19</v>
      </c>
      <c r="J49" t="str">
        <v>SUMMER DROP</v>
      </c>
      <c r="L49" s="245" t="s">
        <v>26</v>
      </c>
      <c r="M49" s="368">
        <v>44</v>
      </c>
      <c r="O49" s="196" t="s">
        <v>69</v>
      </c>
      <c r="P49">
        <v>1</v>
      </c>
    </row>
    <row r="50" spans="1:16" ht="15.95" customHeight="1">
      <c r="A50" t="s">
        <v>57</v>
      </c>
      <c r="D50">
        <f t="shared" si="0"/>
        <v>49</v>
      </c>
      <c r="E50" t="str" cm="1">
        <f t="array" ref="E50:J50">'SUMMER DROP'!B70:G70</f>
        <v>RUBINI</v>
      </c>
      <c r="F50" t="str">
        <v>L</v>
      </c>
      <c r="G50">
        <v>2</v>
      </c>
      <c r="H50">
        <v>1</v>
      </c>
      <c r="I50" s="401">
        <v>19</v>
      </c>
      <c r="J50" t="str">
        <v>SUMMER DROP</v>
      </c>
      <c r="L50" s="245" t="s">
        <v>28</v>
      </c>
      <c r="M50" s="368">
        <v>66</v>
      </c>
      <c r="O50" s="196" t="s">
        <v>74</v>
      </c>
      <c r="P50">
        <v>1</v>
      </c>
    </row>
    <row r="51" spans="1:16" ht="17.100000000000001" customHeight="1">
      <c r="A51" t="s">
        <v>83</v>
      </c>
      <c r="D51">
        <f t="shared" si="0"/>
        <v>50</v>
      </c>
      <c r="E51" t="str" cm="1">
        <f t="array" ref="E51:J51">'SUMMER DROP'!B71:G71</f>
        <v>PUIG AMIGO JACO</v>
      </c>
      <c r="F51" t="str">
        <v>M</v>
      </c>
      <c r="G51">
        <v>1</v>
      </c>
      <c r="H51">
        <v>1</v>
      </c>
      <c r="I51" s="401">
        <v>19</v>
      </c>
      <c r="J51" t="str">
        <v>SUMMER DROP</v>
      </c>
      <c r="L51" s="196" t="s">
        <v>57</v>
      </c>
      <c r="M51" s="368">
        <v>159</v>
      </c>
      <c r="O51" s="196" t="s">
        <v>84</v>
      </c>
      <c r="P51">
        <v>1</v>
      </c>
    </row>
    <row r="52" spans="1:16" ht="15.95" customHeight="1">
      <c r="A52" t="s">
        <v>85</v>
      </c>
      <c r="D52">
        <f t="shared" si="0"/>
        <v>51</v>
      </c>
      <c r="E52" t="str" cm="1">
        <f t="array" ref="E52:J52">'SUMMER DROP'!B72:G72</f>
        <v>JUANTO</v>
      </c>
      <c r="F52" t="str">
        <v>M</v>
      </c>
      <c r="G52">
        <v>1</v>
      </c>
      <c r="H52">
        <v>2</v>
      </c>
      <c r="I52" s="401">
        <v>38</v>
      </c>
      <c r="J52" t="str">
        <v>SUMMER DROP</v>
      </c>
      <c r="L52" s="245" t="s">
        <v>15</v>
      </c>
      <c r="M52" s="368">
        <v>35</v>
      </c>
      <c r="O52" s="196" t="s">
        <v>75</v>
      </c>
      <c r="P52">
        <v>1</v>
      </c>
    </row>
    <row r="53" spans="1:16" ht="17.100000000000001" customHeight="1">
      <c r="A53" t="s">
        <v>86</v>
      </c>
      <c r="D53">
        <f t="shared" si="0"/>
        <v>52</v>
      </c>
      <c r="E53" t="str" cm="1">
        <f t="array" ref="E53:J53">'SUMMER DROP'!B73:G73</f>
        <v>NICO DIAMANTO</v>
      </c>
      <c r="F53" t="str">
        <v>M</v>
      </c>
      <c r="G53">
        <v>1</v>
      </c>
      <c r="H53">
        <v>1</v>
      </c>
      <c r="I53" s="401">
        <v>19</v>
      </c>
      <c r="J53" t="str">
        <v>SUMMER DROP</v>
      </c>
      <c r="L53" s="245" t="s">
        <v>18</v>
      </c>
      <c r="M53" s="368">
        <v>80</v>
      </c>
      <c r="O53" s="196" t="s">
        <v>66</v>
      </c>
      <c r="P53">
        <v>1</v>
      </c>
    </row>
    <row r="54" spans="1:16" ht="15.95" customHeight="1">
      <c r="A54" t="s">
        <v>72</v>
      </c>
      <c r="D54">
        <f t="shared" si="0"/>
        <v>53</v>
      </c>
      <c r="E54" t="str" cm="1">
        <f t="array" ref="E54:J54">'SUMMER DROP'!B74:G74</f>
        <v>DOMINGUEZ</v>
      </c>
      <c r="F54" t="str">
        <v>L</v>
      </c>
      <c r="G54">
        <v>2</v>
      </c>
      <c r="H54">
        <v>1</v>
      </c>
      <c r="I54" s="401">
        <v>19</v>
      </c>
      <c r="J54" t="str">
        <v>SUMMER DROP</v>
      </c>
      <c r="L54" s="245" t="s">
        <v>26</v>
      </c>
      <c r="M54" s="368">
        <v>44</v>
      </c>
      <c r="O54" s="196" t="s">
        <v>76</v>
      </c>
      <c r="P54">
        <v>1</v>
      </c>
    </row>
    <row r="55" spans="1:16" ht="17.100000000000001" customHeight="1">
      <c r="A55" t="s">
        <v>33</v>
      </c>
      <c r="D55">
        <f t="shared" si="0"/>
        <v>54</v>
      </c>
      <c r="E55" t="str" cm="1">
        <f t="array" ref="E55:J55">'SUMMER DROP'!B75:G75</f>
        <v>CHORVO</v>
      </c>
      <c r="F55" t="str">
        <v>M</v>
      </c>
      <c r="G55">
        <v>1</v>
      </c>
      <c r="H55">
        <v>1</v>
      </c>
      <c r="I55" s="401">
        <v>19</v>
      </c>
      <c r="J55" t="str">
        <v>SUMMER DROP</v>
      </c>
      <c r="L55" s="196" t="s">
        <v>40</v>
      </c>
      <c r="M55" s="368">
        <v>156</v>
      </c>
      <c r="O55" s="196" t="s">
        <v>87</v>
      </c>
      <c r="P55">
        <v>1</v>
      </c>
    </row>
    <row r="56" spans="1:16" ht="15.95" customHeight="1">
      <c r="A56" t="s">
        <v>80</v>
      </c>
      <c r="D56">
        <f t="shared" si="0"/>
        <v>55</v>
      </c>
      <c r="E56" t="str" cm="1">
        <f t="array" ref="E56:J56">'SUMMER DROP'!B76:G76</f>
        <v>DIRECTOR AMIGO JACO</v>
      </c>
      <c r="F56" t="str">
        <v>M</v>
      </c>
      <c r="G56">
        <v>1</v>
      </c>
      <c r="H56">
        <v>1</v>
      </c>
      <c r="I56" s="401">
        <v>19</v>
      </c>
      <c r="J56" t="str">
        <v>SUMMER DROP</v>
      </c>
      <c r="L56" s="245" t="s">
        <v>21</v>
      </c>
      <c r="M56" s="368">
        <v>73</v>
      </c>
      <c r="O56" s="196" t="s">
        <v>41</v>
      </c>
      <c r="P56">
        <v>1</v>
      </c>
    </row>
    <row r="57" spans="1:16" ht="17.100000000000001" customHeight="1">
      <c r="A57" t="s">
        <v>44</v>
      </c>
      <c r="D57">
        <f t="shared" si="0"/>
        <v>56</v>
      </c>
      <c r="E57" t="str" cm="1">
        <f t="array" ref="E57:J57">'SUMMER DROP'!B77:G77</f>
        <v>NACHO PEREZ</v>
      </c>
      <c r="F57" t="str">
        <v>M</v>
      </c>
      <c r="G57">
        <v>1</v>
      </c>
      <c r="H57">
        <v>1</v>
      </c>
      <c r="I57" s="401">
        <v>19</v>
      </c>
      <c r="J57" t="str">
        <v>SUMMER DROP</v>
      </c>
      <c r="L57" s="245" t="s">
        <v>24</v>
      </c>
      <c r="M57" s="368">
        <v>26</v>
      </c>
      <c r="O57" s="196" t="s">
        <v>86</v>
      </c>
      <c r="P57">
        <v>1</v>
      </c>
    </row>
    <row r="58" spans="1:16" ht="15.95" customHeight="1">
      <c r="A58" t="s">
        <v>84</v>
      </c>
      <c r="D58">
        <f t="shared" si="0"/>
        <v>57</v>
      </c>
      <c r="E58" t="str" cm="1">
        <f t="array" ref="E58:J58">'SUMMER DROP'!B78:G78</f>
        <v>JOSE AMIGO JACO</v>
      </c>
      <c r="F58" t="str">
        <v>L</v>
      </c>
      <c r="G58">
        <v>2</v>
      </c>
      <c r="H58">
        <v>2</v>
      </c>
      <c r="I58" s="401">
        <v>38</v>
      </c>
      <c r="J58" t="str">
        <v>SUMMER DROP</v>
      </c>
      <c r="L58" s="245" t="s">
        <v>26</v>
      </c>
      <c r="M58" s="368">
        <v>24</v>
      </c>
      <c r="O58" s="196" t="s">
        <v>68</v>
      </c>
      <c r="P58">
        <v>1</v>
      </c>
    </row>
    <row r="59" spans="1:16" ht="17.100000000000001" customHeight="1">
      <c r="A59" t="s">
        <v>88</v>
      </c>
      <c r="D59">
        <f t="shared" si="0"/>
        <v>58</v>
      </c>
      <c r="E59" t="str" cm="1">
        <f t="array" ref="E59:J59">'SUMMER DROP'!B79:G79</f>
        <v>BARALLOBRE</v>
      </c>
      <c r="F59" t="str">
        <v>L</v>
      </c>
      <c r="G59">
        <v>2</v>
      </c>
      <c r="H59">
        <v>2</v>
      </c>
      <c r="I59" s="401">
        <v>38</v>
      </c>
      <c r="J59" t="str">
        <v>SUMMER DROP</v>
      </c>
      <c r="L59" s="245" t="s">
        <v>28</v>
      </c>
      <c r="M59" s="368">
        <v>33</v>
      </c>
      <c r="O59" s="196" t="s">
        <v>49</v>
      </c>
      <c r="P59">
        <v>1</v>
      </c>
    </row>
    <row r="60" spans="1:16" ht="15.95" customHeight="1">
      <c r="A60" t="s">
        <v>37</v>
      </c>
      <c r="D60">
        <f t="shared" si="0"/>
        <v>59</v>
      </c>
      <c r="E60" t="str" cm="1">
        <f t="array" ref="E60:J60">'SUMMER DROP'!B80:G80</f>
        <v>IAGO AMIGO JACO</v>
      </c>
      <c r="F60" t="str">
        <v>M</v>
      </c>
      <c r="G60">
        <v>1</v>
      </c>
      <c r="H60">
        <v>1</v>
      </c>
      <c r="I60" s="401">
        <v>19</v>
      </c>
      <c r="J60" t="str">
        <v>SUMMER DROP</v>
      </c>
      <c r="L60" s="196" t="s">
        <v>44</v>
      </c>
      <c r="M60" s="368">
        <v>151</v>
      </c>
      <c r="O60" s="196" t="s">
        <v>27</v>
      </c>
      <c r="P60">
        <v>1</v>
      </c>
    </row>
    <row r="61" spans="1:16" ht="17.100000000000001" customHeight="1">
      <c r="A61" t="s">
        <v>12</v>
      </c>
      <c r="D61">
        <f t="shared" si="0"/>
        <v>60</v>
      </c>
      <c r="E61" t="str" cm="1">
        <f t="array" ref="E61:J61">'SUMMER DROP'!B81:G81</f>
        <v>CASADO</v>
      </c>
      <c r="F61" t="str">
        <v>M</v>
      </c>
      <c r="G61">
        <v>1</v>
      </c>
      <c r="H61">
        <v>1</v>
      </c>
      <c r="I61" s="401">
        <v>19</v>
      </c>
      <c r="J61" t="str">
        <v>SUMMER DROP</v>
      </c>
      <c r="L61" s="245" t="s">
        <v>15</v>
      </c>
      <c r="M61" s="368">
        <v>35</v>
      </c>
      <c r="O61" s="196" t="s">
        <v>32</v>
      </c>
      <c r="P61">
        <v>1</v>
      </c>
    </row>
    <row r="62" spans="1:16" ht="15.95" customHeight="1">
      <c r="A62" t="s">
        <v>52</v>
      </c>
      <c r="D62">
        <f t="shared" si="0"/>
        <v>61</v>
      </c>
      <c r="E62" t="str" cm="1">
        <f t="array" ref="E62:J62">'SUMMER DROP'!B82:G82</f>
        <v>JORGE PUIG</v>
      </c>
      <c r="F62" t="str">
        <v>M</v>
      </c>
      <c r="G62">
        <v>1</v>
      </c>
      <c r="H62">
        <v>1</v>
      </c>
      <c r="I62" s="401">
        <v>19</v>
      </c>
      <c r="J62" t="str">
        <v>SUMMER DROP</v>
      </c>
      <c r="L62" s="245" t="s">
        <v>18</v>
      </c>
      <c r="M62" s="368">
        <v>30</v>
      </c>
      <c r="O62" s="196" t="s">
        <v>56</v>
      </c>
      <c r="P62">
        <v>1</v>
      </c>
    </row>
    <row r="63" spans="1:16" ht="17.100000000000001" customHeight="1">
      <c r="A63" t="s">
        <v>77</v>
      </c>
      <c r="D63">
        <f t="shared" si="0"/>
        <v>62</v>
      </c>
      <c r="E63" t="str" cm="1">
        <f t="array" ref="E63:J63">'SUMMER DROP'!B83:G83</f>
        <v>IÑIGO</v>
      </c>
      <c r="F63" t="str">
        <v>L</v>
      </c>
      <c r="G63">
        <v>2</v>
      </c>
      <c r="H63">
        <v>2</v>
      </c>
      <c r="I63" s="401">
        <v>38</v>
      </c>
      <c r="J63" t="str">
        <v>SUMMER DROP</v>
      </c>
      <c r="L63" s="245" t="s">
        <v>21</v>
      </c>
      <c r="M63" s="368">
        <v>34</v>
      </c>
      <c r="O63" s="196" t="s">
        <v>88</v>
      </c>
      <c r="P63">
        <v>1</v>
      </c>
    </row>
    <row r="64" spans="1:16" ht="15.95" customHeight="1">
      <c r="A64" t="s">
        <v>50</v>
      </c>
      <c r="D64">
        <f t="shared" si="0"/>
        <v>63</v>
      </c>
      <c r="E64" t="str" cm="1">
        <f t="array" ref="E64:J64">'SUMMER DROP'!B84:G84</f>
        <v>BRUNITO</v>
      </c>
      <c r="F64" t="str">
        <v>M</v>
      </c>
      <c r="G64">
        <v>1</v>
      </c>
      <c r="H64">
        <v>1</v>
      </c>
      <c r="I64" s="401">
        <v>19</v>
      </c>
      <c r="J64" t="str">
        <v>SUMMER DROP</v>
      </c>
      <c r="L64" s="245" t="s">
        <v>26</v>
      </c>
      <c r="M64" s="368">
        <v>33</v>
      </c>
      <c r="O64" s="196" t="s">
        <v>89</v>
      </c>
      <c r="P64">
        <v>1</v>
      </c>
    </row>
    <row r="65" spans="1:16" ht="17.100000000000001" customHeight="1">
      <c r="A65" t="s">
        <v>90</v>
      </c>
      <c r="D65" s="194">
        <f t="shared" si="0"/>
        <v>64</v>
      </c>
      <c r="E65" t="str" cm="1">
        <f t="array" ref="E65:J65">'A33 X NO ART'!B65:G65</f>
        <v>PETER</v>
      </c>
      <c r="F65" t="str">
        <v>L</v>
      </c>
      <c r="G65">
        <v>2</v>
      </c>
      <c r="H65">
        <v>2</v>
      </c>
      <c r="I65" s="401">
        <v>70</v>
      </c>
      <c r="J65" t="str">
        <v>A33 X NO ART</v>
      </c>
      <c r="L65" s="245" t="s">
        <v>28</v>
      </c>
      <c r="M65" s="368">
        <v>0</v>
      </c>
      <c r="O65" s="196" t="s">
        <v>36</v>
      </c>
      <c r="P65">
        <v>1</v>
      </c>
    </row>
    <row r="66" spans="1:16" ht="15.95" customHeight="1">
      <c r="A66" t="s">
        <v>89</v>
      </c>
      <c r="D66">
        <f t="shared" si="0"/>
        <v>65</v>
      </c>
      <c r="E66" t="str" cm="1">
        <f t="array" ref="E66:J66">'A33 X NO ART'!B66:G66</f>
        <v>JP</v>
      </c>
      <c r="F66" t="str">
        <v>L</v>
      </c>
      <c r="G66">
        <v>2</v>
      </c>
      <c r="H66">
        <v>1</v>
      </c>
      <c r="I66" s="401">
        <v>35</v>
      </c>
      <c r="J66" t="str">
        <v>A33 X NO ART</v>
      </c>
      <c r="L66" s="245" t="s">
        <v>30</v>
      </c>
      <c r="M66" s="368">
        <v>19</v>
      </c>
      <c r="O66" s="196" t="s">
        <v>91</v>
      </c>
      <c r="P66">
        <v>1</v>
      </c>
    </row>
    <row r="67" spans="1:16" ht="15.95" customHeight="1">
      <c r="A67" t="s">
        <v>61</v>
      </c>
      <c r="D67">
        <f t="shared" si="0"/>
        <v>66</v>
      </c>
      <c r="E67" t="str" cm="1">
        <f t="array" ref="E67:J67">'A33 X NO ART'!B67:G67</f>
        <v>PUPI</v>
      </c>
      <c r="F67" t="str">
        <v>M</v>
      </c>
      <c r="G67">
        <v>1</v>
      </c>
      <c r="H67">
        <v>1</v>
      </c>
      <c r="I67" s="401">
        <v>35</v>
      </c>
      <c r="J67" t="str">
        <v>A33 X NO ART</v>
      </c>
      <c r="L67" s="196" t="s">
        <v>46</v>
      </c>
      <c r="M67" s="368">
        <v>150</v>
      </c>
      <c r="O67" s="196" t="s">
        <v>92</v>
      </c>
      <c r="P67">
        <v>1</v>
      </c>
    </row>
    <row r="68" spans="1:16" ht="17.100000000000001" customHeight="1">
      <c r="A68" t="s">
        <v>91</v>
      </c>
      <c r="D68">
        <f t="shared" ref="D68:D131" si="1">D67+1</f>
        <v>67</v>
      </c>
      <c r="E68" t="str" cm="1">
        <f t="array" ref="E68:J68">'A33 X NO ART'!B68:G68</f>
        <v>SESE</v>
      </c>
      <c r="F68" t="str">
        <v>L</v>
      </c>
      <c r="G68">
        <v>2</v>
      </c>
      <c r="H68">
        <v>1</v>
      </c>
      <c r="I68" s="401">
        <v>35</v>
      </c>
      <c r="J68" t="str">
        <v>A33 X NO ART</v>
      </c>
      <c r="L68" s="245" t="s">
        <v>15</v>
      </c>
      <c r="M68" s="368">
        <v>35</v>
      </c>
      <c r="O68" s="196" t="s">
        <v>79</v>
      </c>
      <c r="P68">
        <v>1</v>
      </c>
    </row>
    <row r="69" spans="1:16" ht="15.95" customHeight="1">
      <c r="A69" t="s">
        <v>93</v>
      </c>
      <c r="D69">
        <f t="shared" si="1"/>
        <v>68</v>
      </c>
      <c r="E69" t="str" cm="1">
        <f t="array" ref="E69:J69">'A33 X NO ART'!B69:G69</f>
        <v>LUIS CANADA</v>
      </c>
      <c r="F69" t="str">
        <v>M</v>
      </c>
      <c r="G69">
        <v>1</v>
      </c>
      <c r="H69">
        <v>1</v>
      </c>
      <c r="I69" s="401">
        <v>35</v>
      </c>
      <c r="J69" t="str">
        <v>A33 X NO ART</v>
      </c>
      <c r="L69" s="245" t="s">
        <v>21</v>
      </c>
      <c r="M69" s="368">
        <v>63</v>
      </c>
      <c r="O69" s="196" t="s">
        <v>90</v>
      </c>
      <c r="P69">
        <v>1</v>
      </c>
    </row>
    <row r="70" spans="1:16" ht="17.100000000000001" customHeight="1">
      <c r="A70" t="s">
        <v>94</v>
      </c>
      <c r="D70">
        <f t="shared" si="1"/>
        <v>69</v>
      </c>
      <c r="E70" t="str" cm="1">
        <f t="array" ref="E70:J70">'A33 X NO ART'!B70:G70</f>
        <v>MUÑOZ</v>
      </c>
      <c r="F70" t="str">
        <v>L</v>
      </c>
      <c r="G70">
        <v>2</v>
      </c>
      <c r="H70">
        <v>1</v>
      </c>
      <c r="I70" s="401">
        <v>35</v>
      </c>
      <c r="J70" t="str">
        <v>A33 X NO ART</v>
      </c>
      <c r="L70" s="245" t="s">
        <v>28</v>
      </c>
      <c r="M70" s="368">
        <v>33</v>
      </c>
      <c r="O70" s="196" t="s">
        <v>43</v>
      </c>
      <c r="P70">
        <v>1</v>
      </c>
    </row>
    <row r="71" spans="1:16" ht="15.95" customHeight="1">
      <c r="A71" t="s">
        <v>92</v>
      </c>
      <c r="D71">
        <f t="shared" si="1"/>
        <v>70</v>
      </c>
      <c r="E71" t="str" cm="1">
        <f t="array" ref="E71:J71">'A33 X NO ART'!B71:G71</f>
        <v>NACHO BENITO</v>
      </c>
      <c r="F71" t="str">
        <v>L</v>
      </c>
      <c r="G71">
        <v>2</v>
      </c>
      <c r="H71">
        <v>1</v>
      </c>
      <c r="I71" s="401">
        <v>35</v>
      </c>
      <c r="J71" t="str">
        <v>A33 X NO ART</v>
      </c>
      <c r="L71" s="245" t="s">
        <v>30</v>
      </c>
      <c r="M71" s="368">
        <v>19</v>
      </c>
      <c r="O71" s="196" t="s">
        <v>58</v>
      </c>
      <c r="P71">
        <v>1</v>
      </c>
    </row>
    <row r="72" spans="1:16" ht="17.100000000000001" customHeight="1">
      <c r="A72" t="s">
        <v>95</v>
      </c>
      <c r="D72">
        <f t="shared" si="1"/>
        <v>71</v>
      </c>
      <c r="E72" t="str" cm="1">
        <f t="array" ref="E72:J72">'A33 X NO ART'!B72:G72</f>
        <v>NACHO PEREZ</v>
      </c>
      <c r="F72" t="str">
        <v>M</v>
      </c>
      <c r="G72">
        <v>1</v>
      </c>
      <c r="H72">
        <v>1</v>
      </c>
      <c r="I72" s="401">
        <v>35</v>
      </c>
      <c r="J72" t="str">
        <v>A33 X NO ART</v>
      </c>
      <c r="L72" s="196" t="s">
        <v>59</v>
      </c>
      <c r="M72" s="368">
        <v>147</v>
      </c>
      <c r="O72" s="196" t="s">
        <v>45</v>
      </c>
      <c r="P72">
        <v>1</v>
      </c>
    </row>
    <row r="73" spans="1:16" ht="15.95" customHeight="1">
      <c r="A73" t="s">
        <v>67</v>
      </c>
      <c r="D73">
        <f t="shared" si="1"/>
        <v>72</v>
      </c>
      <c r="E73" t="str" cm="1">
        <f t="array" ref="E73:J73">'A33 X NO ART'!B73:G73</f>
        <v>DOMINGUEZ</v>
      </c>
      <c r="F73" t="str">
        <v>M</v>
      </c>
      <c r="G73">
        <v>1</v>
      </c>
      <c r="H73">
        <v>1</v>
      </c>
      <c r="I73" s="401">
        <v>35</v>
      </c>
      <c r="J73" t="str">
        <v>A33 X NO ART</v>
      </c>
      <c r="L73" s="245" t="s">
        <v>21</v>
      </c>
      <c r="M73" s="368">
        <v>40</v>
      </c>
      <c r="O73" s="196" t="s">
        <v>93</v>
      </c>
      <c r="P73">
        <v>1</v>
      </c>
    </row>
    <row r="74" spans="1:16" ht="17.100000000000001" customHeight="1">
      <c r="A74" t="s">
        <v>96</v>
      </c>
      <c r="D74">
        <f t="shared" si="1"/>
        <v>73</v>
      </c>
      <c r="E74" t="str" cm="1">
        <f t="array" ref="E74:J74">'A33 X NO ART'!B74:G74</f>
        <v>CHORVO</v>
      </c>
      <c r="F74" t="str">
        <v>L</v>
      </c>
      <c r="G74">
        <v>2</v>
      </c>
      <c r="H74">
        <v>2</v>
      </c>
      <c r="I74" s="401">
        <v>70</v>
      </c>
      <c r="J74" t="str">
        <v>A33 X NO ART</v>
      </c>
      <c r="L74" s="245" t="s">
        <v>24</v>
      </c>
      <c r="M74" s="368">
        <v>69</v>
      </c>
      <c r="O74" s="196" t="s">
        <v>81</v>
      </c>
      <c r="P74">
        <v>1</v>
      </c>
    </row>
    <row r="75" spans="1:16" ht="15.95" customHeight="1">
      <c r="A75" t="s">
        <v>87</v>
      </c>
      <c r="D75">
        <f t="shared" si="1"/>
        <v>74</v>
      </c>
      <c r="E75" t="str" cm="1">
        <f t="array" ref="E75:J75">'A33 X NO ART'!B75:G75</f>
        <v>CUERVO</v>
      </c>
      <c r="F75" t="str">
        <v>M</v>
      </c>
      <c r="G75">
        <v>1</v>
      </c>
      <c r="H75">
        <v>1</v>
      </c>
      <c r="I75" s="401">
        <v>35</v>
      </c>
      <c r="J75" t="str">
        <v>A33 X NO ART</v>
      </c>
      <c r="L75" s="245" t="s">
        <v>30</v>
      </c>
      <c r="M75" s="368">
        <v>38</v>
      </c>
      <c r="O75" s="196" t="s">
        <v>95</v>
      </c>
      <c r="P75">
        <v>1</v>
      </c>
    </row>
    <row r="76" spans="1:16" ht="17.100000000000001" customHeight="1">
      <c r="A76" t="s">
        <v>40</v>
      </c>
      <c r="D76">
        <f t="shared" si="1"/>
        <v>75</v>
      </c>
      <c r="E76" t="str" cm="1">
        <f t="array" ref="E76:J76">'A33 X NO ART'!B76:G76</f>
        <v>JUANTO</v>
      </c>
      <c r="F76" t="str">
        <v>M</v>
      </c>
      <c r="G76">
        <v>1</v>
      </c>
      <c r="H76">
        <v>1</v>
      </c>
      <c r="I76" s="401">
        <v>35</v>
      </c>
      <c r="J76" t="str">
        <v>A33 X NO ART</v>
      </c>
      <c r="L76" s="196" t="s">
        <v>67</v>
      </c>
      <c r="M76" s="368">
        <v>142</v>
      </c>
      <c r="O76" s="196" t="s">
        <v>82</v>
      </c>
      <c r="P76">
        <v>1</v>
      </c>
    </row>
    <row r="77" spans="1:16" ht="15.95" customHeight="1">
      <c r="A77" t="s">
        <v>78</v>
      </c>
      <c r="D77">
        <f t="shared" si="1"/>
        <v>76</v>
      </c>
      <c r="E77" t="str" cm="1">
        <f t="array" ref="E77:J77">'A33 X NO ART'!B77:G77</f>
        <v>ALVARO NISTAL</v>
      </c>
      <c r="F77" t="str">
        <v>M</v>
      </c>
      <c r="G77">
        <v>1</v>
      </c>
      <c r="H77">
        <v>1</v>
      </c>
      <c r="I77" s="401">
        <v>35</v>
      </c>
      <c r="J77" t="str">
        <v>A33 X NO ART</v>
      </c>
      <c r="L77" s="245" t="s">
        <v>21</v>
      </c>
      <c r="M77" s="368">
        <v>45</v>
      </c>
      <c r="O77" s="196" t="s">
        <v>96</v>
      </c>
      <c r="P77">
        <v>1</v>
      </c>
    </row>
    <row r="78" spans="1:16" ht="15.95" customHeight="1">
      <c r="D78">
        <f t="shared" si="1"/>
        <v>77</v>
      </c>
      <c r="E78" t="str" cm="1">
        <f t="array" ref="E78:J78">'A33 X NO ART'!B78:G78</f>
        <v>BARALLOBRE</v>
      </c>
      <c r="F78" t="str">
        <v>L</v>
      </c>
      <c r="G78">
        <v>2</v>
      </c>
      <c r="H78">
        <v>2</v>
      </c>
      <c r="I78" s="401">
        <v>60</v>
      </c>
      <c r="J78" t="str">
        <v>A33 X NO ART</v>
      </c>
      <c r="L78" s="245" t="s">
        <v>24</v>
      </c>
      <c r="M78" s="368">
        <v>63</v>
      </c>
      <c r="O78" s="196" t="s">
        <v>47</v>
      </c>
      <c r="P78">
        <v>1</v>
      </c>
    </row>
    <row r="79" spans="1:16" ht="15.95" customHeight="1">
      <c r="D79">
        <f t="shared" si="1"/>
        <v>78</v>
      </c>
      <c r="E79" t="str" cm="1">
        <f t="array" ref="E79:J79">'A33 X NO ART'!B79:G79</f>
        <v>GABRIEL</v>
      </c>
      <c r="F79" t="str">
        <v>M</v>
      </c>
      <c r="G79">
        <v>1</v>
      </c>
      <c r="H79">
        <v>1</v>
      </c>
      <c r="I79" s="401">
        <v>35</v>
      </c>
      <c r="J79" t="str">
        <v>A33 X NO ART</v>
      </c>
      <c r="L79" s="245" t="s">
        <v>26</v>
      </c>
      <c r="M79" s="368">
        <v>34</v>
      </c>
      <c r="O79" s="196" t="s">
        <v>62</v>
      </c>
      <c r="P79">
        <v>1</v>
      </c>
    </row>
    <row r="80" spans="1:16" ht="17.100000000000001" customHeight="1">
      <c r="D80">
        <f t="shared" si="1"/>
        <v>79</v>
      </c>
      <c r="E80" t="str" cm="1">
        <f t="array" ref="E80:J80">'A33 X NO ART'!B80:G80</f>
        <v>NATHAN</v>
      </c>
      <c r="F80" t="str">
        <v>M</v>
      </c>
      <c r="G80">
        <v>1</v>
      </c>
      <c r="H80">
        <v>1</v>
      </c>
      <c r="I80" s="401">
        <v>35</v>
      </c>
      <c r="J80" t="str">
        <v>A33 X NO ART</v>
      </c>
      <c r="L80" s="196" t="s">
        <v>55</v>
      </c>
      <c r="M80" s="368">
        <v>131</v>
      </c>
      <c r="O80" s="196" t="s">
        <v>83</v>
      </c>
      <c r="P80">
        <v>1</v>
      </c>
    </row>
    <row r="81" spans="4:16" ht="15.95" customHeight="1">
      <c r="D81">
        <f t="shared" si="1"/>
        <v>80</v>
      </c>
      <c r="E81" t="str" cm="1">
        <f t="array" ref="E81:J81">'A33 X NO ART'!B81:G81</f>
        <v>JAIME BUSTAMANTE</v>
      </c>
      <c r="F81" t="str">
        <v>M, L</v>
      </c>
      <c r="G81">
        <v>3</v>
      </c>
      <c r="H81">
        <v>2</v>
      </c>
      <c r="I81" s="401">
        <v>70</v>
      </c>
      <c r="J81" t="str">
        <v>A33 X NO ART</v>
      </c>
      <c r="L81" s="245" t="s">
        <v>21</v>
      </c>
      <c r="M81" s="368">
        <v>49</v>
      </c>
      <c r="O81" s="196" t="s">
        <v>64</v>
      </c>
      <c r="P81">
        <v>1</v>
      </c>
    </row>
    <row r="82" spans="4:16" ht="17.100000000000001" customHeight="1">
      <c r="D82">
        <f t="shared" si="1"/>
        <v>81</v>
      </c>
      <c r="E82" t="str" cm="1">
        <f t="array" ref="E82:J82">'A33 X NO ART'!B82:G82</f>
        <v>JUANMA</v>
      </c>
      <c r="F82" t="str">
        <v>M</v>
      </c>
      <c r="G82">
        <v>1</v>
      </c>
      <c r="H82">
        <v>1</v>
      </c>
      <c r="I82" s="401">
        <v>35</v>
      </c>
      <c r="J82" t="str">
        <v>A33 X NO ART</v>
      </c>
      <c r="L82" s="245" t="s">
        <v>24</v>
      </c>
      <c r="M82" s="368">
        <v>63</v>
      </c>
      <c r="O82" s="196" t="s">
        <v>85</v>
      </c>
      <c r="P82">
        <v>1</v>
      </c>
    </row>
    <row r="83" spans="4:16" ht="15.95" customHeight="1">
      <c r="D83">
        <f t="shared" si="1"/>
        <v>82</v>
      </c>
      <c r="E83" t="str" cm="1">
        <f t="array" ref="E83:J83">'A33 X NO ART'!B83:G83</f>
        <v>CRIS ARTEAGA</v>
      </c>
      <c r="F83" t="str">
        <v>L</v>
      </c>
      <c r="G83">
        <v>2</v>
      </c>
      <c r="H83">
        <v>1</v>
      </c>
      <c r="I83" s="401">
        <v>35</v>
      </c>
      <c r="J83" t="str">
        <v>A33 X NO ART</v>
      </c>
      <c r="L83" s="245" t="s">
        <v>28</v>
      </c>
      <c r="M83" s="368">
        <v>0</v>
      </c>
      <c r="O83" s="196" t="s">
        <v>22</v>
      </c>
      <c r="P83">
        <v>198</v>
      </c>
    </row>
    <row r="84" spans="4:16" ht="17.100000000000001" customHeight="1">
      <c r="D84">
        <f t="shared" si="1"/>
        <v>83</v>
      </c>
      <c r="E84" t="str" cm="1">
        <f t="array" ref="E84:J84">'A33 X NO ART'!B84:G84</f>
        <v>BRUNITO</v>
      </c>
      <c r="F84" t="str">
        <v>M</v>
      </c>
      <c r="G84">
        <v>1</v>
      </c>
      <c r="H84">
        <v>1</v>
      </c>
      <c r="I84" s="401">
        <v>35</v>
      </c>
      <c r="J84" t="str">
        <v>A33 X NO ART</v>
      </c>
      <c r="L84" s="245" t="s">
        <v>30</v>
      </c>
      <c r="M84" s="368">
        <v>19</v>
      </c>
    </row>
    <row r="85" spans="4:16" ht="15.95" customHeight="1">
      <c r="D85">
        <f t="shared" ref="D85" si="2">D84+1</f>
        <v>84</v>
      </c>
      <c r="E85" t="str" cm="1">
        <f t="array" ref="E85:J85">'A33 X NO ART'!B85:G85</f>
        <v>CANALES</v>
      </c>
      <c r="F85" t="str">
        <v>M</v>
      </c>
      <c r="G85">
        <v>1</v>
      </c>
      <c r="H85">
        <v>1</v>
      </c>
      <c r="I85" s="401">
        <v>0</v>
      </c>
      <c r="J85" t="str">
        <v>A33 X NO ART</v>
      </c>
      <c r="L85" s="196" t="s">
        <v>52</v>
      </c>
      <c r="M85" s="368">
        <v>127</v>
      </c>
    </row>
    <row r="86" spans="4:16" ht="17.100000000000001" customHeight="1">
      <c r="D86" s="99">
        <f>D85+1</f>
        <v>85</v>
      </c>
      <c r="E86" t="str" cm="1">
        <f t="array" ref="E86:J86">'DROP 3'!B65:G65</f>
        <v>CARMEN</v>
      </c>
      <c r="F86" t="str">
        <v>L</v>
      </c>
      <c r="G86">
        <v>2</v>
      </c>
      <c r="H86">
        <v>1</v>
      </c>
      <c r="I86" s="401">
        <v>69</v>
      </c>
      <c r="J86" t="str">
        <v>DROP 3</v>
      </c>
      <c r="L86" s="245" t="s">
        <v>18</v>
      </c>
      <c r="M86" s="368">
        <v>30</v>
      </c>
    </row>
    <row r="87" spans="4:16" ht="15.95" customHeight="1">
      <c r="D87">
        <f t="shared" si="1"/>
        <v>86</v>
      </c>
      <c r="E87" t="str" cm="1">
        <f t="array" ref="E87:J87">'DROP 3'!B66:G66</f>
        <v>IÑIGO</v>
      </c>
      <c r="F87" t="str">
        <v>L</v>
      </c>
      <c r="G87">
        <v>2</v>
      </c>
      <c r="H87">
        <v>1</v>
      </c>
      <c r="I87" s="401">
        <v>69</v>
      </c>
      <c r="J87" t="str">
        <v>DROP 3</v>
      </c>
      <c r="L87" s="245" t="s">
        <v>21</v>
      </c>
      <c r="M87" s="368">
        <v>78</v>
      </c>
    </row>
    <row r="88" spans="4:16" ht="17.100000000000001" customHeight="1">
      <c r="D88">
        <f t="shared" si="1"/>
        <v>87</v>
      </c>
      <c r="E88" t="str" cm="1">
        <f t="array" ref="E88:J88">'DROP 3'!B67:G67</f>
        <v>PETER</v>
      </c>
      <c r="F88" t="str">
        <v>L</v>
      </c>
      <c r="G88">
        <v>2</v>
      </c>
      <c r="H88">
        <v>2</v>
      </c>
      <c r="I88" s="401">
        <v>96</v>
      </c>
      <c r="J88" t="str">
        <v>DROP 3</v>
      </c>
      <c r="L88" s="245" t="s">
        <v>28</v>
      </c>
      <c r="M88" s="368">
        <v>0</v>
      </c>
    </row>
    <row r="89" spans="4:16" ht="15.95" customHeight="1">
      <c r="D89">
        <f t="shared" si="1"/>
        <v>88</v>
      </c>
      <c r="E89" t="str" cm="1">
        <f t="array" ref="E89:J89">'DROP 3'!B68:G68</f>
        <v>JORGE PUIG</v>
      </c>
      <c r="F89" t="str">
        <v>M</v>
      </c>
      <c r="G89">
        <v>1</v>
      </c>
      <c r="H89">
        <v>1</v>
      </c>
      <c r="I89" s="401">
        <v>63</v>
      </c>
      <c r="J89" t="str">
        <v>DROP 3</v>
      </c>
      <c r="L89" s="245" t="s">
        <v>30</v>
      </c>
      <c r="M89" s="368">
        <v>19</v>
      </c>
    </row>
    <row r="90" spans="4:16" ht="17.100000000000001" customHeight="1">
      <c r="D90">
        <f t="shared" si="1"/>
        <v>89</v>
      </c>
      <c r="E90" t="str" cm="1">
        <f t="array" ref="E90:J90">'DROP 3'!B69:G69</f>
        <v>ALEX DELCAUX</v>
      </c>
      <c r="F90" t="str">
        <v>L</v>
      </c>
      <c r="G90">
        <v>2</v>
      </c>
      <c r="H90">
        <v>1</v>
      </c>
      <c r="I90" s="401">
        <v>33</v>
      </c>
      <c r="J90" t="str">
        <v>DROP 3</v>
      </c>
      <c r="L90" s="196" t="s">
        <v>70</v>
      </c>
      <c r="M90" s="368">
        <v>120</v>
      </c>
    </row>
    <row r="91" spans="4:16" ht="15.95" customHeight="1">
      <c r="D91">
        <f t="shared" si="1"/>
        <v>90</v>
      </c>
      <c r="E91" t="str" cm="1">
        <f t="array" ref="E91:J91">'DROP 3'!B70:G70</f>
        <v>TITO</v>
      </c>
      <c r="F91" t="str">
        <v>L</v>
      </c>
      <c r="G91">
        <v>2</v>
      </c>
      <c r="H91">
        <v>1</v>
      </c>
      <c r="I91" s="401">
        <v>63</v>
      </c>
      <c r="J91" t="str">
        <v>DROP 3</v>
      </c>
      <c r="L91" s="245" t="s">
        <v>18</v>
      </c>
      <c r="M91" s="368">
        <v>120</v>
      </c>
    </row>
    <row r="92" spans="4:16" ht="17.100000000000001" customHeight="1">
      <c r="D92">
        <f t="shared" si="1"/>
        <v>91</v>
      </c>
      <c r="E92" t="str" cm="1">
        <f t="array" ref="E92:J92">'DROP 3'!B71:G71</f>
        <v>IAGO AMIGO JACO</v>
      </c>
      <c r="F92" t="str">
        <v>M</v>
      </c>
      <c r="G92">
        <v>1</v>
      </c>
      <c r="H92">
        <v>1</v>
      </c>
      <c r="I92" s="401">
        <v>33</v>
      </c>
      <c r="J92" t="str">
        <v>DROP 3</v>
      </c>
      <c r="L92" s="196" t="s">
        <v>38</v>
      </c>
      <c r="M92" s="368">
        <v>117</v>
      </c>
    </row>
    <row r="93" spans="4:16" ht="15.95" customHeight="1">
      <c r="D93">
        <f t="shared" si="1"/>
        <v>92</v>
      </c>
      <c r="E93" t="str" cm="1">
        <f t="array" ref="E93:J93">'DROP 3'!B72:G72</f>
        <v>BRUNITO</v>
      </c>
      <c r="F93" t="str">
        <v>M</v>
      </c>
      <c r="G93">
        <v>1</v>
      </c>
      <c r="H93">
        <v>1</v>
      </c>
      <c r="I93" s="401">
        <v>63</v>
      </c>
      <c r="J93" t="str">
        <v>DROP 3</v>
      </c>
      <c r="L93" s="245" t="s">
        <v>15</v>
      </c>
      <c r="M93" s="368">
        <v>35</v>
      </c>
    </row>
    <row r="94" spans="4:16" ht="17.100000000000001" customHeight="1">
      <c r="D94">
        <f t="shared" si="1"/>
        <v>93</v>
      </c>
      <c r="E94" t="str" cm="1">
        <f t="array" ref="E94:J94">'DROP 3'!B73:G73</f>
        <v>SAMUEL</v>
      </c>
      <c r="F94" t="str">
        <v>M</v>
      </c>
      <c r="G94">
        <v>1</v>
      </c>
      <c r="H94">
        <v>1</v>
      </c>
      <c r="I94" s="401">
        <v>30</v>
      </c>
      <c r="J94" t="str">
        <v>DROP 3</v>
      </c>
      <c r="L94" s="245" t="s">
        <v>24</v>
      </c>
      <c r="M94" s="368">
        <v>63</v>
      </c>
    </row>
    <row r="95" spans="4:16" ht="15.95" customHeight="1">
      <c r="D95">
        <f t="shared" si="1"/>
        <v>94</v>
      </c>
      <c r="E95" t="str" cm="1">
        <f t="array" ref="E95:J95">'DROP 3'!B74:G74</f>
        <v>VICTOR PUJOL</v>
      </c>
      <c r="F95" t="str">
        <v>M</v>
      </c>
      <c r="G95">
        <v>1</v>
      </c>
      <c r="H95">
        <v>1</v>
      </c>
      <c r="I95" s="401">
        <v>33</v>
      </c>
      <c r="J95" t="str">
        <v>DROP 3</v>
      </c>
      <c r="L95" s="245" t="s">
        <v>26</v>
      </c>
      <c r="M95" s="368">
        <v>0</v>
      </c>
    </row>
    <row r="96" spans="4:16" ht="17.100000000000001" customHeight="1">
      <c r="D96">
        <f t="shared" si="1"/>
        <v>95</v>
      </c>
      <c r="E96" t="str" cm="1">
        <f t="array" ref="E96:J96">'DROP 3'!B75:G75</f>
        <v>CAMACHO</v>
      </c>
      <c r="F96" t="str">
        <v>M</v>
      </c>
      <c r="G96">
        <v>1</v>
      </c>
      <c r="H96">
        <v>1</v>
      </c>
      <c r="I96" s="401">
        <v>33</v>
      </c>
      <c r="J96" t="str">
        <v>DROP 3</v>
      </c>
      <c r="L96" s="245" t="s">
        <v>30</v>
      </c>
      <c r="M96" s="368">
        <v>19</v>
      </c>
    </row>
    <row r="97" spans="4:13" ht="15.95" customHeight="1">
      <c r="D97">
        <f t="shared" si="1"/>
        <v>96</v>
      </c>
      <c r="E97" t="str" cm="1">
        <f t="array" ref="E97:J97">'DROP 3'!B76:G76</f>
        <v>VINTED</v>
      </c>
      <c r="F97" t="str">
        <v>L</v>
      </c>
      <c r="G97">
        <v>2</v>
      </c>
      <c r="H97">
        <v>1</v>
      </c>
      <c r="I97" s="401">
        <v>26</v>
      </c>
      <c r="J97" t="str">
        <v>DROP 3</v>
      </c>
      <c r="L97" s="196" t="s">
        <v>63</v>
      </c>
      <c r="M97" s="368">
        <v>116</v>
      </c>
    </row>
    <row r="98" spans="4:13" ht="17.100000000000001" customHeight="1">
      <c r="D98">
        <f t="shared" si="1"/>
        <v>97</v>
      </c>
      <c r="E98" t="str" cm="1">
        <f t="array" ref="E98:J98">'DROP 3'!B77:G77</f>
        <v>JAIME BUSTAMANTE</v>
      </c>
      <c r="F98" t="str">
        <v>L</v>
      </c>
      <c r="G98">
        <v>2</v>
      </c>
      <c r="H98">
        <v>1</v>
      </c>
      <c r="I98" s="401">
        <v>33</v>
      </c>
      <c r="J98" t="str">
        <v>DROP 3</v>
      </c>
      <c r="L98" s="245" t="s">
        <v>21</v>
      </c>
      <c r="M98" s="368">
        <v>49</v>
      </c>
    </row>
    <row r="99" spans="4:13" ht="15.95" customHeight="1">
      <c r="D99" s="103">
        <f t="shared" si="1"/>
        <v>98</v>
      </c>
      <c r="E99" t="str" cm="1">
        <f t="array" ref="E99:J99">'DROP 4'!B65:G65</f>
        <v>JAIME RAMIREZ</v>
      </c>
      <c r="F99" t="str">
        <v>L</v>
      </c>
      <c r="G99">
        <v>2</v>
      </c>
      <c r="H99">
        <v>1</v>
      </c>
      <c r="I99" s="401">
        <v>34</v>
      </c>
      <c r="J99" t="str">
        <v>DROP 4</v>
      </c>
      <c r="L99" s="245" t="s">
        <v>26</v>
      </c>
      <c r="M99" s="368">
        <v>34</v>
      </c>
    </row>
    <row r="100" spans="4:13" ht="17.100000000000001" customHeight="1">
      <c r="D100">
        <f t="shared" si="1"/>
        <v>99</v>
      </c>
      <c r="E100" t="str" cm="1">
        <f t="array" ref="E100:J100">'DROP 4'!B66:G66</f>
        <v>CASAPE</v>
      </c>
      <c r="F100" t="str">
        <v>L</v>
      </c>
      <c r="G100">
        <v>2</v>
      </c>
      <c r="H100">
        <v>1</v>
      </c>
      <c r="I100" s="401">
        <v>44</v>
      </c>
      <c r="J100" t="str">
        <v>DROP 4</v>
      </c>
      <c r="L100" s="245" t="s">
        <v>28</v>
      </c>
      <c r="M100" s="368">
        <v>33</v>
      </c>
    </row>
    <row r="101" spans="4:13" ht="15.95" customHeight="1">
      <c r="D101">
        <f t="shared" si="1"/>
        <v>100</v>
      </c>
      <c r="E101" t="str" cm="1">
        <f t="array" ref="E101:J101">'DROP 4'!B67:G67</f>
        <v>IAGO AMIGO JACO</v>
      </c>
      <c r="F101" t="str">
        <v>M</v>
      </c>
      <c r="G101">
        <v>1</v>
      </c>
      <c r="H101">
        <v>1</v>
      </c>
      <c r="I101" s="401">
        <v>44</v>
      </c>
      <c r="J101" t="str">
        <v>DROP 4</v>
      </c>
      <c r="L101" s="196" t="s">
        <v>50</v>
      </c>
      <c r="M101" s="368">
        <v>114</v>
      </c>
    </row>
    <row r="102" spans="4:13" ht="17.100000000000001" customHeight="1">
      <c r="D102">
        <f t="shared" si="1"/>
        <v>101</v>
      </c>
      <c r="E102" t="str" cm="1">
        <f t="array" ref="E102:J102">'DROP 4'!B68:G68</f>
        <v>LAURA PUIG</v>
      </c>
      <c r="F102" t="str">
        <v>L</v>
      </c>
      <c r="G102">
        <v>2</v>
      </c>
      <c r="H102">
        <v>1</v>
      </c>
      <c r="I102" s="401">
        <v>44</v>
      </c>
      <c r="J102" t="str">
        <v>DROP 4</v>
      </c>
      <c r="L102" s="245" t="s">
        <v>18</v>
      </c>
      <c r="M102" s="368">
        <v>55</v>
      </c>
    </row>
    <row r="103" spans="4:13" ht="15.95" customHeight="1">
      <c r="D103">
        <f t="shared" si="1"/>
        <v>102</v>
      </c>
      <c r="E103" t="str" cm="1">
        <f t="array" ref="E103:J103">'DROP 4'!B69:G69</f>
        <v>PETER</v>
      </c>
      <c r="F103" t="str">
        <v>M, L</v>
      </c>
      <c r="G103">
        <v>3</v>
      </c>
      <c r="H103">
        <v>2</v>
      </c>
      <c r="I103" s="401">
        <v>78</v>
      </c>
      <c r="J103" t="str">
        <v>DROP 4</v>
      </c>
      <c r="L103" s="245" t="s">
        <v>21</v>
      </c>
      <c r="M103" s="368">
        <v>25</v>
      </c>
    </row>
    <row r="104" spans="4:13" ht="17.100000000000001" customHeight="1">
      <c r="D104">
        <f t="shared" si="1"/>
        <v>103</v>
      </c>
      <c r="E104" t="str" cm="1">
        <f t="array" ref="E104:J104">'DROP 4'!B70:G70</f>
        <v>DIEGUITO</v>
      </c>
      <c r="F104" t="str">
        <v>M</v>
      </c>
      <c r="G104">
        <v>1</v>
      </c>
      <c r="H104">
        <v>1</v>
      </c>
      <c r="I104" s="401">
        <v>44</v>
      </c>
      <c r="J104" t="str">
        <v>DROP 4</v>
      </c>
      <c r="L104" s="245" t="s">
        <v>26</v>
      </c>
      <c r="M104" s="368">
        <v>34</v>
      </c>
    </row>
    <row r="105" spans="4:13" ht="15.95" customHeight="1">
      <c r="D105">
        <f t="shared" si="1"/>
        <v>104</v>
      </c>
      <c r="E105" t="str" cm="1">
        <f t="array" ref="E105:J105">'DROP 4'!B71:G71</f>
        <v>WEITERS</v>
      </c>
      <c r="F105" t="str">
        <v>L</v>
      </c>
      <c r="G105">
        <v>2</v>
      </c>
      <c r="H105">
        <v>1</v>
      </c>
      <c r="I105" s="401">
        <v>34</v>
      </c>
      <c r="J105" t="str">
        <v>DROP 4</v>
      </c>
      <c r="L105" s="245" t="s">
        <v>28</v>
      </c>
      <c r="M105" s="368">
        <v>0</v>
      </c>
    </row>
    <row r="106" spans="4:13" ht="17.100000000000001" customHeight="1">
      <c r="D106">
        <f t="shared" si="1"/>
        <v>105</v>
      </c>
      <c r="E106" t="str" cm="1">
        <f t="array" ref="E106:J106">'DROP 4'!B72:G72</f>
        <v>NICO RUIZ</v>
      </c>
      <c r="F106" t="str">
        <v>M</v>
      </c>
      <c r="G106">
        <v>1</v>
      </c>
      <c r="H106">
        <v>2</v>
      </c>
      <c r="I106" s="401">
        <v>76</v>
      </c>
      <c r="J106" t="str">
        <v>DROP 4</v>
      </c>
      <c r="L106" s="196" t="s">
        <v>53</v>
      </c>
      <c r="M106" s="368">
        <v>113</v>
      </c>
    </row>
    <row r="107" spans="4:13" ht="15.95" customHeight="1">
      <c r="D107">
        <f t="shared" si="1"/>
        <v>106</v>
      </c>
      <c r="E107" t="str" cm="1">
        <f t="array" ref="E107:J107">'DROP 4'!B73:G73</f>
        <v>FELIX</v>
      </c>
      <c r="F107" t="str">
        <v>L</v>
      </c>
      <c r="G107">
        <v>2</v>
      </c>
      <c r="H107">
        <v>1</v>
      </c>
      <c r="I107" s="401">
        <v>34</v>
      </c>
      <c r="J107" t="str">
        <v>DROP 4</v>
      </c>
      <c r="L107" s="245" t="s">
        <v>15</v>
      </c>
      <c r="M107" s="368">
        <v>35</v>
      </c>
    </row>
    <row r="108" spans="4:13" ht="17.100000000000001" customHeight="1">
      <c r="D108">
        <f t="shared" si="1"/>
        <v>107</v>
      </c>
      <c r="E108" t="str" cm="1">
        <f t="array" ref="E108:J108">'DROP 4'!B74:G74</f>
        <v>TITO</v>
      </c>
      <c r="F108" t="str">
        <v>L</v>
      </c>
      <c r="G108">
        <v>2</v>
      </c>
      <c r="H108">
        <v>1</v>
      </c>
      <c r="I108" s="401">
        <v>34</v>
      </c>
      <c r="J108" t="str">
        <v>DROP 4</v>
      </c>
      <c r="L108" s="245" t="s">
        <v>21</v>
      </c>
      <c r="M108" s="368">
        <v>29</v>
      </c>
    </row>
    <row r="109" spans="4:13" ht="15.95" customHeight="1">
      <c r="D109">
        <f t="shared" si="1"/>
        <v>108</v>
      </c>
      <c r="E109" t="str" cm="1">
        <f t="array" ref="E109:J109">'DROP 4'!B75:G75</f>
        <v>FORMARIZ</v>
      </c>
      <c r="F109" t="str">
        <v>M</v>
      </c>
      <c r="G109">
        <v>1</v>
      </c>
      <c r="H109">
        <v>1</v>
      </c>
      <c r="I109" s="401">
        <v>34</v>
      </c>
      <c r="J109" t="str">
        <v>DROP 4</v>
      </c>
      <c r="L109" s="245" t="s">
        <v>26</v>
      </c>
      <c r="M109" s="368">
        <v>30</v>
      </c>
    </row>
    <row r="110" spans="4:13" ht="17.100000000000001" customHeight="1">
      <c r="D110">
        <f t="shared" si="1"/>
        <v>109</v>
      </c>
      <c r="E110" t="str" cm="1">
        <f t="array" ref="E110:J110">'DROP 4'!B76:G76</f>
        <v>CASADO</v>
      </c>
      <c r="F110" t="str">
        <v>L</v>
      </c>
      <c r="G110">
        <v>2</v>
      </c>
      <c r="H110">
        <v>1</v>
      </c>
      <c r="I110" s="401">
        <v>34</v>
      </c>
      <c r="J110" t="str">
        <v>DROP 4</v>
      </c>
      <c r="L110" s="245" t="s">
        <v>28</v>
      </c>
      <c r="M110" s="368">
        <v>0</v>
      </c>
    </row>
    <row r="111" spans="4:13" ht="15.95" customHeight="1">
      <c r="D111">
        <f t="shared" si="1"/>
        <v>110</v>
      </c>
      <c r="E111" t="str" cm="1">
        <f t="array" ref="E111:J111">'DROP 4'!B77:G77</f>
        <v>RUBINI</v>
      </c>
      <c r="F111" t="str">
        <v>L</v>
      </c>
      <c r="G111">
        <v>2</v>
      </c>
      <c r="H111">
        <v>2</v>
      </c>
      <c r="I111" s="401">
        <v>78</v>
      </c>
      <c r="J111" t="str">
        <v>DROP 4</v>
      </c>
      <c r="L111" s="245" t="s">
        <v>30</v>
      </c>
      <c r="M111" s="368">
        <v>19</v>
      </c>
    </row>
    <row r="112" spans="4:13" ht="17.100000000000001" customHeight="1">
      <c r="D112">
        <f t="shared" si="1"/>
        <v>111</v>
      </c>
      <c r="E112" t="str" cm="1">
        <f t="array" ref="E112:J112">'DROP 4'!B78:G78</f>
        <v>PUPI</v>
      </c>
      <c r="F112" t="str">
        <v>L</v>
      </c>
      <c r="G112">
        <v>2</v>
      </c>
      <c r="H112">
        <v>1</v>
      </c>
      <c r="I112" s="401">
        <v>34</v>
      </c>
      <c r="J112" t="str">
        <v>DROP 4</v>
      </c>
      <c r="L112" s="196" t="s">
        <v>61</v>
      </c>
      <c r="M112" s="368">
        <v>97</v>
      </c>
    </row>
    <row r="113" spans="4:13" ht="15.95" customHeight="1">
      <c r="D113">
        <f t="shared" si="1"/>
        <v>112</v>
      </c>
      <c r="E113" t="str" cm="1">
        <f t="array" ref="E113:J113">'DROP 4'!B79:G79</f>
        <v>ANA AMIGA JACO</v>
      </c>
      <c r="F113" t="str">
        <v>M</v>
      </c>
      <c r="G113">
        <v>1</v>
      </c>
      <c r="H113">
        <v>1</v>
      </c>
      <c r="I113" s="401">
        <v>44</v>
      </c>
      <c r="J113" t="str">
        <v>DROP 4</v>
      </c>
      <c r="L113" s="245" t="s">
        <v>26</v>
      </c>
      <c r="M113" s="368">
        <v>78</v>
      </c>
    </row>
    <row r="114" spans="4:13" ht="17.100000000000001" customHeight="1">
      <c r="D114">
        <f t="shared" si="1"/>
        <v>113</v>
      </c>
      <c r="E114" t="str" cm="1">
        <f t="array" ref="E114:J114">'DROP 4'!B80:G80</f>
        <v>MONICA AMIGA JACO</v>
      </c>
      <c r="F114" t="str">
        <v>L</v>
      </c>
      <c r="G114">
        <v>2</v>
      </c>
      <c r="H114">
        <v>1</v>
      </c>
      <c r="I114" s="401">
        <v>34</v>
      </c>
      <c r="J114" t="str">
        <v>DROP 4</v>
      </c>
      <c r="L114" s="245" t="s">
        <v>30</v>
      </c>
      <c r="M114" s="368">
        <v>19</v>
      </c>
    </row>
    <row r="115" spans="4:13" ht="15.95" customHeight="1">
      <c r="D115">
        <f t="shared" si="1"/>
        <v>114</v>
      </c>
      <c r="E115" t="str" cm="1">
        <f t="array" ref="E115:J115">'DROP 4'!B81:G81</f>
        <v>CAMACHO</v>
      </c>
      <c r="F115" t="str">
        <v>L</v>
      </c>
      <c r="G115">
        <v>2</v>
      </c>
      <c r="H115">
        <v>1</v>
      </c>
      <c r="I115" s="401">
        <v>34</v>
      </c>
      <c r="J115" t="str">
        <v>DROP 4</v>
      </c>
      <c r="L115" s="196" t="s">
        <v>65</v>
      </c>
      <c r="M115" s="368">
        <v>96</v>
      </c>
    </row>
    <row r="116" spans="4:13" ht="17.100000000000001" customHeight="1">
      <c r="D116">
        <f t="shared" si="1"/>
        <v>115</v>
      </c>
      <c r="E116" t="str" cm="1">
        <f t="array" ref="E116:J116">'DROP 4'!B82:G82</f>
        <v>MUÑOZ</v>
      </c>
      <c r="F116" t="str">
        <v>L</v>
      </c>
      <c r="G116">
        <v>2</v>
      </c>
      <c r="H116">
        <v>1</v>
      </c>
      <c r="I116" s="401">
        <v>34</v>
      </c>
      <c r="J116" t="str">
        <v>DROP 4</v>
      </c>
      <c r="L116" s="245" t="s">
        <v>24</v>
      </c>
      <c r="M116" s="368">
        <v>33</v>
      </c>
    </row>
    <row r="117" spans="4:13" ht="15.95" customHeight="1">
      <c r="D117">
        <f t="shared" si="1"/>
        <v>116</v>
      </c>
      <c r="E117" t="str" cm="1">
        <f t="array" ref="E117:J117">'DROP 4'!B83:G83</f>
        <v>CHIARRI</v>
      </c>
      <c r="F117" t="str">
        <v>M</v>
      </c>
      <c r="G117">
        <v>1</v>
      </c>
      <c r="H117">
        <v>1</v>
      </c>
      <c r="I117" s="401">
        <v>44</v>
      </c>
      <c r="J117" t="str">
        <v>DROP 4</v>
      </c>
      <c r="L117" s="245" t="s">
        <v>26</v>
      </c>
      <c r="M117" s="368">
        <v>44</v>
      </c>
    </row>
    <row r="118" spans="4:13" ht="17.100000000000001" customHeight="1">
      <c r="D118">
        <f t="shared" si="1"/>
        <v>117</v>
      </c>
      <c r="E118" t="str" cm="1">
        <f t="array" ref="E118:J118">'DROP 4'!B84:G84</f>
        <v>QUINTANA</v>
      </c>
      <c r="F118" t="str">
        <v>L</v>
      </c>
      <c r="G118">
        <v>2</v>
      </c>
      <c r="H118">
        <v>1</v>
      </c>
      <c r="I118" s="401">
        <v>34</v>
      </c>
      <c r="J118" t="str">
        <v>DROP 4</v>
      </c>
      <c r="L118" s="245" t="s">
        <v>30</v>
      </c>
      <c r="M118" s="368">
        <v>19</v>
      </c>
    </row>
    <row r="119" spans="4:13" ht="15.95" customHeight="1">
      <c r="D119">
        <f t="shared" si="1"/>
        <v>118</v>
      </c>
      <c r="E119" t="str" cm="1">
        <f t="array" ref="E119:J119">'DROP 4'!B85:G85</f>
        <v>LUIS CANADA</v>
      </c>
      <c r="F119" t="str">
        <v>M</v>
      </c>
      <c r="G119">
        <v>1</v>
      </c>
      <c r="H119">
        <v>1</v>
      </c>
      <c r="I119" s="401">
        <v>44</v>
      </c>
      <c r="J119" t="str">
        <v>DROP 4</v>
      </c>
      <c r="L119" s="196" t="s">
        <v>71</v>
      </c>
      <c r="M119" s="368">
        <v>94.3</v>
      </c>
    </row>
    <row r="120" spans="4:13" ht="15.95" customHeight="1">
      <c r="D120">
        <f t="shared" si="1"/>
        <v>119</v>
      </c>
      <c r="E120" t="str" cm="1">
        <f t="array" ref="E120:J120">'DROP 4'!B86:G86</f>
        <v>JUANMA</v>
      </c>
      <c r="F120" t="str">
        <v>L</v>
      </c>
      <c r="G120">
        <v>2</v>
      </c>
      <c r="H120">
        <v>1</v>
      </c>
      <c r="I120" s="401">
        <v>30</v>
      </c>
      <c r="J120" t="str">
        <v>DROP 4</v>
      </c>
      <c r="L120" s="245" t="s">
        <v>18</v>
      </c>
      <c r="M120" s="368">
        <v>40</v>
      </c>
    </row>
    <row r="121" spans="4:13">
      <c r="D121">
        <f t="shared" si="1"/>
        <v>120</v>
      </c>
      <c r="E121" t="str" cm="1">
        <f t="array" ref="E121:J121">'DROP 4'!B87:G87</f>
        <v>MARQUINA</v>
      </c>
      <c r="F121" t="str">
        <v>L</v>
      </c>
      <c r="G121">
        <v>2</v>
      </c>
      <c r="H121">
        <v>1</v>
      </c>
      <c r="I121" s="401">
        <v>34</v>
      </c>
      <c r="J121" t="str">
        <v>DROP 4</v>
      </c>
      <c r="L121" s="245" t="s">
        <v>21</v>
      </c>
      <c r="M121" s="368">
        <v>54.3</v>
      </c>
    </row>
    <row r="122" spans="4:13">
      <c r="D122">
        <f t="shared" si="1"/>
        <v>121</v>
      </c>
      <c r="E122" t="str" cm="1">
        <f t="array" ref="E122:J122">'DROP 4'!B88:G88</f>
        <v>NACHO PEREZ</v>
      </c>
      <c r="F122" t="str">
        <v>M</v>
      </c>
      <c r="G122">
        <v>1</v>
      </c>
      <c r="H122">
        <v>1</v>
      </c>
      <c r="I122" s="401">
        <v>33</v>
      </c>
      <c r="J122" t="str">
        <v>DROP 4</v>
      </c>
      <c r="L122" s="196" t="s">
        <v>60</v>
      </c>
      <c r="M122" s="368">
        <v>93</v>
      </c>
    </row>
    <row r="123" spans="4:13">
      <c r="D123">
        <f t="shared" si="1"/>
        <v>122</v>
      </c>
      <c r="E123" t="str" cm="1">
        <f t="array" ref="E123:J123">'DROP 4'!B89:G89</f>
        <v>CHORVO</v>
      </c>
      <c r="F123" t="str">
        <v>M</v>
      </c>
      <c r="G123">
        <v>1</v>
      </c>
      <c r="H123">
        <v>2</v>
      </c>
      <c r="I123" s="401">
        <v>77</v>
      </c>
      <c r="J123" t="str">
        <v>DROP 4</v>
      </c>
      <c r="L123" s="245" t="s">
        <v>18</v>
      </c>
      <c r="M123" s="368">
        <v>30</v>
      </c>
    </row>
    <row r="124" spans="4:13">
      <c r="D124">
        <f t="shared" si="1"/>
        <v>123</v>
      </c>
      <c r="E124" t="str" cm="1">
        <f t="array" ref="E124:J124">'DROP 4'!B90:G90</f>
        <v>BARALLOBRE</v>
      </c>
      <c r="F124" t="str">
        <v>L</v>
      </c>
      <c r="G124">
        <v>2</v>
      </c>
      <c r="H124">
        <v>1</v>
      </c>
      <c r="I124" s="401">
        <v>33</v>
      </c>
      <c r="J124" t="str">
        <v>DROP 4</v>
      </c>
      <c r="L124" s="245" t="s">
        <v>21</v>
      </c>
      <c r="M124" s="368">
        <v>63</v>
      </c>
    </row>
    <row r="125" spans="4:13">
      <c r="D125">
        <f t="shared" si="1"/>
        <v>124</v>
      </c>
      <c r="E125" t="str" cm="1">
        <f t="array" ref="E125:J125">'DROP 4'!B91:G91</f>
        <v>RITXI AMIGO JACO</v>
      </c>
      <c r="F125" t="str">
        <v>L</v>
      </c>
      <c r="G125">
        <v>2</v>
      </c>
      <c r="H125">
        <v>1</v>
      </c>
      <c r="I125" s="401">
        <v>44</v>
      </c>
      <c r="J125" t="str">
        <v>DROP 4</v>
      </c>
      <c r="L125" s="196" t="s">
        <v>54</v>
      </c>
      <c r="M125" s="368">
        <v>83</v>
      </c>
    </row>
    <row r="126" spans="4:13">
      <c r="D126">
        <f t="shared" si="1"/>
        <v>125</v>
      </c>
      <c r="E126" t="str" cm="1">
        <f t="array" ref="E126:J126">'DROP 4'!B92:G92</f>
        <v>JAIME BUSTAMANTE</v>
      </c>
      <c r="F126" t="str">
        <v>L</v>
      </c>
      <c r="G126">
        <v>2</v>
      </c>
      <c r="H126">
        <v>2</v>
      </c>
      <c r="I126" s="401">
        <v>78</v>
      </c>
      <c r="J126" t="str">
        <v>DROP 4</v>
      </c>
      <c r="L126" s="245" t="s">
        <v>21</v>
      </c>
      <c r="M126" s="368">
        <v>39</v>
      </c>
    </row>
    <row r="127" spans="4:13">
      <c r="D127">
        <f t="shared" si="1"/>
        <v>126</v>
      </c>
      <c r="E127" t="str" cm="1">
        <f t="array" ref="E127:J127">'DROP 4'!B93:G93</f>
        <v>VINTED</v>
      </c>
      <c r="F127" t="str">
        <v>L</v>
      </c>
      <c r="G127">
        <v>2</v>
      </c>
      <c r="H127">
        <v>1</v>
      </c>
      <c r="I127" s="401">
        <v>24</v>
      </c>
      <c r="J127" t="str">
        <v>DROP 4</v>
      </c>
      <c r="L127" s="245" t="s">
        <v>26</v>
      </c>
      <c r="M127" s="368">
        <v>44</v>
      </c>
    </row>
    <row r="128" spans="4:13">
      <c r="D128">
        <f t="shared" si="1"/>
        <v>127</v>
      </c>
      <c r="E128" t="str" cm="1">
        <f t="array" ref="E128:J128">'DROP 4'!B94:G94</f>
        <v>BRUNITO</v>
      </c>
      <c r="F128" t="str">
        <v>M</v>
      </c>
      <c r="G128">
        <v>1</v>
      </c>
      <c r="H128">
        <v>2</v>
      </c>
      <c r="I128" s="401">
        <v>0</v>
      </c>
      <c r="J128" t="str">
        <v>DROP 4</v>
      </c>
      <c r="L128" s="196" t="s">
        <v>29</v>
      </c>
      <c r="M128" s="368">
        <v>78</v>
      </c>
    </row>
    <row r="129" spans="4:13">
      <c r="D129">
        <f t="shared" si="1"/>
        <v>128</v>
      </c>
      <c r="E129" t="str" cm="1">
        <f t="array" ref="E129:J129">'DROP 4'!B95:G95</f>
        <v>ANGEL AMIGO JACO</v>
      </c>
      <c r="F129" t="str">
        <v>L</v>
      </c>
      <c r="G129">
        <v>2</v>
      </c>
      <c r="H129">
        <v>1</v>
      </c>
      <c r="I129" s="401">
        <v>0</v>
      </c>
      <c r="J129" t="str">
        <v>DROP 4</v>
      </c>
      <c r="L129" s="245" t="s">
        <v>21</v>
      </c>
      <c r="M129" s="368">
        <v>78</v>
      </c>
    </row>
    <row r="130" spans="4:13">
      <c r="D130">
        <f t="shared" si="1"/>
        <v>129</v>
      </c>
      <c r="E130" t="str" cm="1">
        <f t="array" ref="E130:J130">'DROP 4'!B96:G96</f>
        <v>ALVARO PEREZ</v>
      </c>
      <c r="F130" t="str">
        <v>L</v>
      </c>
      <c r="G130">
        <v>2</v>
      </c>
      <c r="H130">
        <v>2</v>
      </c>
      <c r="I130" s="401">
        <v>0</v>
      </c>
      <c r="J130" t="str">
        <v>DROP 4</v>
      </c>
      <c r="L130" s="245" t="s">
        <v>26</v>
      </c>
      <c r="M130" s="368">
        <v>0</v>
      </c>
    </row>
    <row r="131" spans="4:13">
      <c r="D131" s="171">
        <f t="shared" si="1"/>
        <v>130</v>
      </c>
      <c r="E131" t="str" cm="1">
        <f t="array" ref="E131:J131">'DROP 5'!B65:G65</f>
        <v>DOMINGUEZ</v>
      </c>
      <c r="F131" t="str">
        <v>L</v>
      </c>
      <c r="G131">
        <v>2</v>
      </c>
      <c r="H131">
        <v>1</v>
      </c>
      <c r="I131" s="401">
        <v>33</v>
      </c>
      <c r="J131" t="str">
        <v>DROP 5</v>
      </c>
      <c r="L131" s="196" t="s">
        <v>20</v>
      </c>
      <c r="M131" s="368">
        <v>74</v>
      </c>
    </row>
    <row r="132" spans="4:13">
      <c r="D132">
        <f t="shared" ref="D132:D195" si="3">D131+1</f>
        <v>131</v>
      </c>
      <c r="E132" t="str" cm="1">
        <f t="array" ref="E132:J132">'DROP 5'!B66:G66</f>
        <v>BARALLOBRE</v>
      </c>
      <c r="F132" t="str">
        <v>L</v>
      </c>
      <c r="G132">
        <v>2</v>
      </c>
      <c r="H132">
        <v>1</v>
      </c>
      <c r="I132" s="401">
        <v>33</v>
      </c>
      <c r="J132" t="str">
        <v>DROP 5</v>
      </c>
      <c r="L132" s="245" t="s">
        <v>15</v>
      </c>
      <c r="M132" s="368">
        <v>35</v>
      </c>
    </row>
    <row r="133" spans="4:13">
      <c r="D133">
        <f t="shared" si="3"/>
        <v>132</v>
      </c>
      <c r="E133" t="str" cm="1">
        <f t="array" ref="E133:J133">'DROP 5'!B67:G67</f>
        <v>TOMAS ACHA</v>
      </c>
      <c r="F133" t="str">
        <v>L</v>
      </c>
      <c r="G133">
        <v>2</v>
      </c>
      <c r="H133">
        <v>1</v>
      </c>
      <c r="I133" s="401">
        <v>33</v>
      </c>
      <c r="J133" t="str">
        <v>DROP 5</v>
      </c>
      <c r="L133" s="245" t="s">
        <v>21</v>
      </c>
      <c r="M133" s="368">
        <v>39</v>
      </c>
    </row>
    <row r="134" spans="4:13">
      <c r="D134">
        <f t="shared" si="3"/>
        <v>133</v>
      </c>
      <c r="E134" t="str" cm="1">
        <f t="array" ref="E134:J134">'DROP 5'!B68:G68</f>
        <v>FORMARIZ</v>
      </c>
      <c r="F134" t="str">
        <v>M</v>
      </c>
      <c r="G134">
        <v>1</v>
      </c>
      <c r="H134">
        <v>1</v>
      </c>
      <c r="I134" s="401">
        <v>33</v>
      </c>
      <c r="J134" t="str">
        <v>DROP 5</v>
      </c>
      <c r="L134" s="196" t="s">
        <v>77</v>
      </c>
      <c r="M134" s="368">
        <v>69</v>
      </c>
    </row>
    <row r="135" spans="4:13">
      <c r="D135">
        <f t="shared" si="3"/>
        <v>134</v>
      </c>
      <c r="E135" t="str" cm="1">
        <f t="array" ref="E135:J135">'DROP 5'!B69:G69</f>
        <v>CASAPE</v>
      </c>
      <c r="F135" t="str">
        <v>L</v>
      </c>
      <c r="G135">
        <v>2</v>
      </c>
      <c r="H135">
        <v>2</v>
      </c>
      <c r="I135" s="401">
        <v>66</v>
      </c>
      <c r="J135" t="str">
        <v>DROP 5</v>
      </c>
      <c r="L135" s="245" t="s">
        <v>15</v>
      </c>
      <c r="M135" s="368">
        <v>35</v>
      </c>
    </row>
    <row r="136" spans="4:13">
      <c r="D136">
        <f t="shared" si="3"/>
        <v>135</v>
      </c>
      <c r="E136" t="str" cm="1">
        <f t="array" ref="E136:J136">'DROP 5'!B70:G70</f>
        <v>JUANTO</v>
      </c>
      <c r="F136" t="str">
        <v>M</v>
      </c>
      <c r="G136">
        <v>1</v>
      </c>
      <c r="H136">
        <v>2</v>
      </c>
      <c r="I136" s="401">
        <v>66</v>
      </c>
      <c r="J136" t="str">
        <v>DROP 5</v>
      </c>
      <c r="L136" s="245" t="s">
        <v>26</v>
      </c>
      <c r="M136" s="368">
        <v>34</v>
      </c>
    </row>
    <row r="137" spans="4:13">
      <c r="D137">
        <f t="shared" si="3"/>
        <v>136</v>
      </c>
      <c r="E137" t="str" cm="1">
        <f t="array" ref="E137:J137">'DROP 5'!B71:G71</f>
        <v>VINTED</v>
      </c>
      <c r="F137" t="str">
        <v>M</v>
      </c>
      <c r="G137">
        <v>1</v>
      </c>
      <c r="H137">
        <v>1</v>
      </c>
      <c r="I137" s="401">
        <v>33</v>
      </c>
      <c r="J137" t="str">
        <v>DROP 5</v>
      </c>
      <c r="L137" s="196" t="s">
        <v>49</v>
      </c>
      <c r="M137" s="368">
        <v>69</v>
      </c>
    </row>
    <row r="138" spans="4:13">
      <c r="D138">
        <f t="shared" si="3"/>
        <v>137</v>
      </c>
      <c r="E138" t="str" cm="1">
        <f t="array" ref="E138:J138">'DROP 5'!B72:G72</f>
        <v>NICO RUIZ</v>
      </c>
      <c r="F138" t="str">
        <v>L</v>
      </c>
      <c r="G138">
        <v>2</v>
      </c>
      <c r="H138">
        <v>2</v>
      </c>
      <c r="I138" s="401">
        <v>66</v>
      </c>
      <c r="J138" t="str">
        <v>DROP 5</v>
      </c>
      <c r="L138" s="245" t="s">
        <v>24</v>
      </c>
      <c r="M138" s="368">
        <v>69</v>
      </c>
    </row>
    <row r="139" spans="4:13">
      <c r="D139">
        <f t="shared" si="3"/>
        <v>138</v>
      </c>
      <c r="E139" t="str" cm="1">
        <f t="array" ref="E139:J139">'DROP 5'!B73:G73</f>
        <v>CAMACHO</v>
      </c>
      <c r="F139" t="str">
        <v>L</v>
      </c>
      <c r="G139">
        <v>2</v>
      </c>
      <c r="H139">
        <v>1</v>
      </c>
      <c r="I139" s="401">
        <v>0</v>
      </c>
      <c r="J139" t="str">
        <v>DROP 5</v>
      </c>
      <c r="L139" s="196" t="s">
        <v>39</v>
      </c>
      <c r="M139" s="368">
        <v>67</v>
      </c>
    </row>
    <row r="140" spans="4:13">
      <c r="D140">
        <f t="shared" si="3"/>
        <v>139</v>
      </c>
      <c r="E140" t="str" cm="1">
        <f t="array" ref="E140:J140">'DROP 5'!B74:G74</f>
        <v>CANTERO</v>
      </c>
      <c r="F140" t="str">
        <v>L</v>
      </c>
      <c r="G140">
        <v>2</v>
      </c>
      <c r="H140">
        <v>1</v>
      </c>
      <c r="I140" s="401">
        <v>0</v>
      </c>
      <c r="J140" t="str">
        <v>DROP 5</v>
      </c>
      <c r="L140" s="245" t="s">
        <v>24</v>
      </c>
      <c r="M140" s="368">
        <v>33</v>
      </c>
    </row>
    <row r="141" spans="4:13">
      <c r="D141">
        <f t="shared" si="3"/>
        <v>140</v>
      </c>
      <c r="E141" t="str" cm="1">
        <f t="array" ref="E141:J141">'DROP 5'!B75:G75</f>
        <v>PETER</v>
      </c>
      <c r="F141" t="str">
        <v>L</v>
      </c>
      <c r="G141">
        <v>2</v>
      </c>
      <c r="H141">
        <v>1</v>
      </c>
      <c r="I141" s="401">
        <v>0</v>
      </c>
      <c r="J141" t="str">
        <v>DROP 5</v>
      </c>
      <c r="L141" s="245" t="s">
        <v>26</v>
      </c>
      <c r="M141" s="368">
        <v>34</v>
      </c>
    </row>
    <row r="142" spans="4:13">
      <c r="D142">
        <f t="shared" si="3"/>
        <v>141</v>
      </c>
      <c r="E142" t="str" cm="1">
        <f t="array" ref="E142:J142">'DROP 5'!B76:G76</f>
        <v>NACHO PEREZ</v>
      </c>
      <c r="F142" t="str">
        <v>L</v>
      </c>
      <c r="G142">
        <v>2</v>
      </c>
      <c r="H142">
        <v>1</v>
      </c>
      <c r="I142" s="401">
        <v>0</v>
      </c>
      <c r="J142" t="str">
        <v>DROP 5</v>
      </c>
      <c r="L142" s="245" t="s">
        <v>28</v>
      </c>
      <c r="M142" s="368">
        <v>0</v>
      </c>
    </row>
    <row r="143" spans="4:13">
      <c r="D143">
        <f t="shared" si="3"/>
        <v>142</v>
      </c>
      <c r="E143" t="str" cm="1">
        <f t="array" ref="E143:J143">'DROP 5'!B77:G77</f>
        <v>JUANMA</v>
      </c>
      <c r="F143" t="str">
        <v>L</v>
      </c>
      <c r="G143">
        <v>2</v>
      </c>
      <c r="H143">
        <v>1</v>
      </c>
      <c r="I143" s="401">
        <v>0</v>
      </c>
      <c r="J143" t="str">
        <v>DROP 5</v>
      </c>
      <c r="L143" s="196" t="s">
        <v>51</v>
      </c>
      <c r="M143" s="368">
        <v>53</v>
      </c>
    </row>
    <row r="144" spans="4:13">
      <c r="D144">
        <f t="shared" si="3"/>
        <v>143</v>
      </c>
      <c r="E144" t="str" cm="1">
        <f t="array" ref="E144:J144">'DROP 5'!B78:G78</f>
        <v>MUÑOZ</v>
      </c>
      <c r="F144" t="str">
        <v>L</v>
      </c>
      <c r="G144">
        <v>2</v>
      </c>
      <c r="H144">
        <v>2</v>
      </c>
      <c r="I144" s="401">
        <v>0</v>
      </c>
      <c r="J144" t="str">
        <v>DROP 5</v>
      </c>
      <c r="L144" s="245" t="s">
        <v>26</v>
      </c>
      <c r="M144" s="368">
        <v>34</v>
      </c>
    </row>
    <row r="145" spans="4:13">
      <c r="D145">
        <f t="shared" si="3"/>
        <v>144</v>
      </c>
      <c r="E145" t="str" cm="1">
        <f t="array" ref="E145:J145">'DROP 5'!B79:G79</f>
        <v>PUIG AMIGO JACO</v>
      </c>
      <c r="F145" t="str">
        <v>M</v>
      </c>
      <c r="G145">
        <v>1</v>
      </c>
      <c r="H145">
        <v>1</v>
      </c>
      <c r="I145" s="401">
        <v>0</v>
      </c>
      <c r="J145" t="str">
        <v>DROP 5</v>
      </c>
      <c r="L145" s="245" t="s">
        <v>30</v>
      </c>
      <c r="M145" s="368">
        <v>19</v>
      </c>
    </row>
    <row r="146" spans="4:13">
      <c r="D146">
        <f t="shared" si="3"/>
        <v>145</v>
      </c>
      <c r="E146" t="str" cm="1">
        <f t="array" ref="E146:J146">'DROP 5'!B80:G80</f>
        <v>MMEDRANO</v>
      </c>
      <c r="F146" t="str">
        <v/>
      </c>
      <c r="G146" t="b">
        <v>0</v>
      </c>
      <c r="H146">
        <v>0</v>
      </c>
      <c r="I146" s="401">
        <v>0</v>
      </c>
      <c r="J146" t="str">
        <v>DROP 5</v>
      </c>
      <c r="L146" s="196" t="s">
        <v>47</v>
      </c>
      <c r="M146" s="368">
        <v>52.7</v>
      </c>
    </row>
    <row r="147" spans="4:13">
      <c r="D147">
        <f t="shared" si="3"/>
        <v>146</v>
      </c>
      <c r="E147" t="str" cm="1">
        <f t="array" ref="E147:J147">'DROP 5'!B81:G81</f>
        <v>LUCAS MARTINEZ</v>
      </c>
      <c r="F147" t="str">
        <v>M</v>
      </c>
      <c r="G147">
        <v>1</v>
      </c>
      <c r="H147">
        <v>1</v>
      </c>
      <c r="I147" s="401">
        <v>0</v>
      </c>
      <c r="J147" t="str">
        <v>DROP 5</v>
      </c>
      <c r="L147" s="245" t="s">
        <v>21</v>
      </c>
      <c r="M147" s="368">
        <v>52.7</v>
      </c>
    </row>
    <row r="148" spans="4:13">
      <c r="D148">
        <f t="shared" si="3"/>
        <v>147</v>
      </c>
      <c r="E148" t="str" cm="1">
        <f t="array" ref="E148:J148">'DROP 5'!B82:G82</f>
        <v>ALVARO GOMEZ</v>
      </c>
      <c r="F148" t="str">
        <v>L</v>
      </c>
      <c r="G148">
        <v>2</v>
      </c>
      <c r="H148">
        <v>2</v>
      </c>
      <c r="I148" s="401">
        <v>0</v>
      </c>
      <c r="J148" t="str">
        <v>DROP 5</v>
      </c>
      <c r="L148" s="196" t="s">
        <v>83</v>
      </c>
      <c r="M148" s="368">
        <v>49</v>
      </c>
    </row>
    <row r="149" spans="4:13">
      <c r="D149">
        <f t="shared" si="3"/>
        <v>148</v>
      </c>
      <c r="E149" t="str" cm="1">
        <f t="array" ref="E149:J149">'DROP 5'!B83:G83</f>
        <v>ALEX GARCIA</v>
      </c>
      <c r="F149" t="str">
        <v>M</v>
      </c>
      <c r="G149">
        <v>1</v>
      </c>
      <c r="H149">
        <v>1</v>
      </c>
      <c r="I149" s="401">
        <v>0</v>
      </c>
      <c r="J149" t="str">
        <v>DROP 5</v>
      </c>
      <c r="L149" s="245" t="s">
        <v>21</v>
      </c>
      <c r="M149" s="368">
        <v>49</v>
      </c>
    </row>
    <row r="150" spans="4:13">
      <c r="D150">
        <f t="shared" si="3"/>
        <v>149</v>
      </c>
      <c r="E150" t="str" cm="1">
        <f t="array" ref="E150:J150">'DROP 5'!B84:G84</f>
        <v>SUAREZ</v>
      </c>
      <c r="F150" t="str">
        <v>L</v>
      </c>
      <c r="G150">
        <v>2</v>
      </c>
      <c r="H150">
        <v>1</v>
      </c>
      <c r="I150" s="401">
        <v>0</v>
      </c>
      <c r="J150" t="str">
        <v>DROP 5</v>
      </c>
      <c r="L150" s="196" t="s">
        <v>90</v>
      </c>
      <c r="M150" s="368">
        <v>44</v>
      </c>
    </row>
    <row r="151" spans="4:13">
      <c r="D151">
        <f t="shared" si="3"/>
        <v>150</v>
      </c>
      <c r="E151" t="str" cm="1">
        <f t="array" ref="E151:J151">'DROP 5'!B85:G85</f>
        <v>JORGE CALVO</v>
      </c>
      <c r="F151" t="str">
        <v/>
      </c>
      <c r="G151" t="b">
        <v>0</v>
      </c>
      <c r="H151">
        <v>0</v>
      </c>
      <c r="I151" s="401">
        <v>0</v>
      </c>
      <c r="J151" t="str">
        <v>DROP 5</v>
      </c>
      <c r="L151" s="245" t="s">
        <v>26</v>
      </c>
      <c r="M151" s="368">
        <v>44</v>
      </c>
    </row>
    <row r="152" spans="4:13">
      <c r="D152">
        <f t="shared" si="3"/>
        <v>151</v>
      </c>
      <c r="E152" t="str" cm="1">
        <f t="array" ref="E152:J152">'DROP 5'!B86:G86</f>
        <v>QUINTANA</v>
      </c>
      <c r="F152" t="str">
        <v>L</v>
      </c>
      <c r="G152">
        <v>2</v>
      </c>
      <c r="H152">
        <v>1</v>
      </c>
      <c r="I152" s="401">
        <v>0</v>
      </c>
      <c r="J152" t="str">
        <v>DROP 5</v>
      </c>
      <c r="L152" s="196" t="s">
        <v>62</v>
      </c>
      <c r="M152" s="368">
        <v>44</v>
      </c>
    </row>
    <row r="153" spans="4:13">
      <c r="D153">
        <f t="shared" si="3"/>
        <v>152</v>
      </c>
      <c r="E153" t="str" cm="1">
        <f t="array" ref="E153:J153">'DROP 5'!B87:G87</f>
        <v>JORGE PUIG</v>
      </c>
      <c r="F153" t="str">
        <v>L</v>
      </c>
      <c r="G153">
        <v>2</v>
      </c>
      <c r="H153">
        <v>1</v>
      </c>
      <c r="I153" s="401">
        <v>0</v>
      </c>
      <c r="J153" t="str">
        <v>DROP 5</v>
      </c>
      <c r="L153" s="245" t="s">
        <v>26</v>
      </c>
      <c r="M153" s="368">
        <v>44</v>
      </c>
    </row>
    <row r="154" spans="4:13">
      <c r="D154">
        <f t="shared" si="3"/>
        <v>153</v>
      </c>
      <c r="E154" cm="1">
        <f t="array" ref="E154:J154">'DROP 5'!B88:G88</f>
        <v>0</v>
      </c>
      <c r="F154" t="str">
        <v>M</v>
      </c>
      <c r="G154">
        <v>1</v>
      </c>
      <c r="H154">
        <v>1</v>
      </c>
      <c r="I154" s="401">
        <v>0</v>
      </c>
      <c r="J154" t="str">
        <v>DROP 5</v>
      </c>
      <c r="L154" s="196" t="s">
        <v>27</v>
      </c>
      <c r="M154" s="368">
        <v>44</v>
      </c>
    </row>
    <row r="155" spans="4:13">
      <c r="D155">
        <f t="shared" si="3"/>
        <v>154</v>
      </c>
      <c r="E155" cm="1">
        <f t="array" ref="E155:J155">'DROP 5'!B89:G89</f>
        <v>0</v>
      </c>
      <c r="F155" t="str">
        <v/>
      </c>
      <c r="G155" t="b">
        <v>0</v>
      </c>
      <c r="H155">
        <v>0</v>
      </c>
      <c r="I155" s="401">
        <v>0</v>
      </c>
      <c r="J155" t="str">
        <v>DROP 5</v>
      </c>
      <c r="L155" s="245" t="s">
        <v>26</v>
      </c>
      <c r="M155" s="368">
        <v>44</v>
      </c>
    </row>
    <row r="156" spans="4:13">
      <c r="D156">
        <f t="shared" si="3"/>
        <v>155</v>
      </c>
      <c r="L156" s="196" t="s">
        <v>81</v>
      </c>
      <c r="M156" s="368">
        <v>44</v>
      </c>
    </row>
    <row r="157" spans="4:13">
      <c r="D157">
        <f t="shared" si="3"/>
        <v>156</v>
      </c>
      <c r="L157" s="245" t="s">
        <v>26</v>
      </c>
      <c r="M157" s="368">
        <v>44</v>
      </c>
    </row>
    <row r="158" spans="4:13">
      <c r="D158">
        <f t="shared" si="3"/>
        <v>157</v>
      </c>
      <c r="L158" s="196" t="s">
        <v>43</v>
      </c>
      <c r="M158" s="368">
        <v>40</v>
      </c>
    </row>
    <row r="159" spans="4:13">
      <c r="D159">
        <f t="shared" si="3"/>
        <v>158</v>
      </c>
      <c r="L159" s="245" t="s">
        <v>18</v>
      </c>
      <c r="M159" s="368">
        <v>40</v>
      </c>
    </row>
    <row r="160" spans="4:13">
      <c r="D160">
        <f t="shared" si="3"/>
        <v>159</v>
      </c>
      <c r="L160" s="196" t="s">
        <v>73</v>
      </c>
      <c r="M160" s="368">
        <v>38</v>
      </c>
    </row>
    <row r="161" spans="4:13">
      <c r="D161">
        <f t="shared" si="3"/>
        <v>160</v>
      </c>
      <c r="L161" s="245" t="s">
        <v>30</v>
      </c>
      <c r="M161" s="368">
        <v>38</v>
      </c>
    </row>
    <row r="162" spans="4:13">
      <c r="D162">
        <f t="shared" si="3"/>
        <v>161</v>
      </c>
      <c r="L162" s="196" t="s">
        <v>56</v>
      </c>
      <c r="M162" s="368">
        <v>35</v>
      </c>
    </row>
    <row r="163" spans="4:13">
      <c r="D163">
        <f t="shared" si="3"/>
        <v>162</v>
      </c>
      <c r="L163" s="245" t="s">
        <v>15</v>
      </c>
      <c r="M163" s="368">
        <v>35</v>
      </c>
    </row>
    <row r="164" spans="4:13">
      <c r="D164">
        <f t="shared" si="3"/>
        <v>163</v>
      </c>
      <c r="L164" s="196" t="s">
        <v>80</v>
      </c>
      <c r="M164" s="368">
        <v>35</v>
      </c>
    </row>
    <row r="165" spans="4:13">
      <c r="D165">
        <f t="shared" si="3"/>
        <v>164</v>
      </c>
      <c r="L165" s="245" t="s">
        <v>15</v>
      </c>
      <c r="M165" s="368">
        <v>35</v>
      </c>
    </row>
    <row r="166" spans="4:13">
      <c r="D166">
        <f t="shared" si="3"/>
        <v>165</v>
      </c>
      <c r="L166" s="196" t="s">
        <v>69</v>
      </c>
      <c r="M166" s="368">
        <v>35</v>
      </c>
    </row>
    <row r="167" spans="4:13">
      <c r="D167">
        <f t="shared" si="3"/>
        <v>166</v>
      </c>
      <c r="L167" s="245" t="s">
        <v>15</v>
      </c>
      <c r="M167" s="368">
        <v>35</v>
      </c>
    </row>
    <row r="168" spans="4:13">
      <c r="D168">
        <f t="shared" si="3"/>
        <v>167</v>
      </c>
      <c r="L168" s="196" t="s">
        <v>79</v>
      </c>
      <c r="M168" s="368">
        <v>35</v>
      </c>
    </row>
    <row r="169" spans="4:13">
      <c r="D169">
        <f t="shared" si="3"/>
        <v>168</v>
      </c>
      <c r="L169" s="245" t="s">
        <v>15</v>
      </c>
      <c r="M169" s="368">
        <v>35</v>
      </c>
    </row>
    <row r="170" spans="4:13">
      <c r="D170">
        <f t="shared" si="3"/>
        <v>169</v>
      </c>
      <c r="L170" s="196" t="s">
        <v>92</v>
      </c>
      <c r="M170" s="368">
        <v>35</v>
      </c>
    </row>
    <row r="171" spans="4:13">
      <c r="D171">
        <f t="shared" si="3"/>
        <v>170</v>
      </c>
      <c r="L171" s="245" t="s">
        <v>15</v>
      </c>
      <c r="M171" s="368">
        <v>35</v>
      </c>
    </row>
    <row r="172" spans="4:13">
      <c r="D172">
        <f t="shared" si="3"/>
        <v>171</v>
      </c>
      <c r="L172" s="196" t="s">
        <v>58</v>
      </c>
      <c r="M172" s="368">
        <v>35</v>
      </c>
    </row>
    <row r="173" spans="4:13">
      <c r="D173">
        <f t="shared" si="3"/>
        <v>172</v>
      </c>
      <c r="L173" s="245" t="s">
        <v>15</v>
      </c>
      <c r="M173" s="368">
        <v>35</v>
      </c>
    </row>
    <row r="174" spans="4:13">
      <c r="D174">
        <f t="shared" si="3"/>
        <v>173</v>
      </c>
      <c r="L174" s="196" t="s">
        <v>84</v>
      </c>
      <c r="M174" s="368">
        <v>35</v>
      </c>
    </row>
    <row r="175" spans="4:13">
      <c r="D175">
        <f t="shared" si="3"/>
        <v>174</v>
      </c>
      <c r="L175" s="245" t="s">
        <v>15</v>
      </c>
      <c r="M175" s="368">
        <v>35</v>
      </c>
    </row>
    <row r="176" spans="4:13">
      <c r="D176">
        <f t="shared" si="3"/>
        <v>175</v>
      </c>
      <c r="L176" s="196" t="s">
        <v>66</v>
      </c>
      <c r="M176" s="368">
        <v>34</v>
      </c>
    </row>
    <row r="177" spans="4:13">
      <c r="D177">
        <f t="shared" si="3"/>
        <v>176</v>
      </c>
      <c r="L177" s="245" t="s">
        <v>26</v>
      </c>
      <c r="M177" s="368">
        <v>34</v>
      </c>
    </row>
    <row r="178" spans="4:13">
      <c r="D178">
        <f t="shared" si="3"/>
        <v>177</v>
      </c>
      <c r="L178" s="196" t="s">
        <v>89</v>
      </c>
      <c r="M178" s="368">
        <v>34</v>
      </c>
    </row>
    <row r="179" spans="4:13">
      <c r="D179">
        <f t="shared" si="3"/>
        <v>178</v>
      </c>
      <c r="L179" s="245" t="s">
        <v>21</v>
      </c>
      <c r="M179" s="368">
        <v>34</v>
      </c>
    </row>
    <row r="180" spans="4:13">
      <c r="D180">
        <f t="shared" si="3"/>
        <v>179</v>
      </c>
      <c r="L180" s="196" t="s">
        <v>78</v>
      </c>
      <c r="M180" s="368">
        <v>34</v>
      </c>
    </row>
    <row r="181" spans="4:13">
      <c r="D181">
        <f t="shared" si="3"/>
        <v>180</v>
      </c>
      <c r="L181" s="245" t="s">
        <v>26</v>
      </c>
      <c r="M181" s="368">
        <v>34</v>
      </c>
    </row>
    <row r="182" spans="4:13">
      <c r="D182">
        <f t="shared" si="3"/>
        <v>181</v>
      </c>
      <c r="L182" s="196" t="s">
        <v>85</v>
      </c>
      <c r="M182" s="368">
        <v>34</v>
      </c>
    </row>
    <row r="183" spans="4:13">
      <c r="D183">
        <f t="shared" si="3"/>
        <v>182</v>
      </c>
      <c r="L183" s="245" t="s">
        <v>26</v>
      </c>
      <c r="M183" s="368">
        <v>34</v>
      </c>
    </row>
    <row r="184" spans="4:13">
      <c r="D184">
        <f t="shared" si="3"/>
        <v>183</v>
      </c>
      <c r="L184" s="196" t="s">
        <v>72</v>
      </c>
      <c r="M184" s="368">
        <v>34</v>
      </c>
    </row>
    <row r="185" spans="4:13">
      <c r="D185">
        <f t="shared" si="3"/>
        <v>184</v>
      </c>
      <c r="L185" s="245" t="s">
        <v>26</v>
      </c>
      <c r="M185" s="368">
        <v>34</v>
      </c>
    </row>
    <row r="186" spans="4:13">
      <c r="D186">
        <f t="shared" si="3"/>
        <v>185</v>
      </c>
      <c r="L186" s="245" t="s">
        <v>28</v>
      </c>
      <c r="M186" s="368">
        <v>0</v>
      </c>
    </row>
    <row r="187" spans="4:13">
      <c r="D187">
        <f t="shared" si="3"/>
        <v>186</v>
      </c>
      <c r="L187" s="196" t="s">
        <v>74</v>
      </c>
      <c r="M187" s="368">
        <v>34</v>
      </c>
    </row>
    <row r="188" spans="4:13">
      <c r="D188">
        <f t="shared" si="3"/>
        <v>187</v>
      </c>
      <c r="L188" s="245" t="s">
        <v>26</v>
      </c>
      <c r="M188" s="368">
        <v>34</v>
      </c>
    </row>
    <row r="189" spans="4:13">
      <c r="D189">
        <f t="shared" si="3"/>
        <v>188</v>
      </c>
      <c r="L189" s="196" t="s">
        <v>87</v>
      </c>
      <c r="M189" s="368">
        <v>33</v>
      </c>
    </row>
    <row r="190" spans="4:13">
      <c r="D190">
        <f t="shared" si="3"/>
        <v>189</v>
      </c>
      <c r="L190" s="245" t="s">
        <v>24</v>
      </c>
      <c r="M190" s="368">
        <v>33</v>
      </c>
    </row>
    <row r="191" spans="4:13">
      <c r="D191">
        <f t="shared" si="3"/>
        <v>190</v>
      </c>
      <c r="L191" s="196" t="s">
        <v>11</v>
      </c>
      <c r="M191" s="368">
        <v>33</v>
      </c>
    </row>
    <row r="192" spans="4:13">
      <c r="D192">
        <f t="shared" si="3"/>
        <v>191</v>
      </c>
      <c r="L192" s="245" t="s">
        <v>24</v>
      </c>
      <c r="M192" s="368">
        <v>33</v>
      </c>
    </row>
    <row r="193" spans="4:13">
      <c r="D193">
        <f t="shared" si="3"/>
        <v>192</v>
      </c>
      <c r="L193" s="196" t="s">
        <v>96</v>
      </c>
      <c r="M193" s="368">
        <v>33</v>
      </c>
    </row>
    <row r="194" spans="4:13">
      <c r="D194">
        <f t="shared" si="3"/>
        <v>193</v>
      </c>
      <c r="L194" s="245" t="s">
        <v>28</v>
      </c>
      <c r="M194" s="368">
        <v>33</v>
      </c>
    </row>
    <row r="195" spans="4:13">
      <c r="D195">
        <f t="shared" si="3"/>
        <v>194</v>
      </c>
      <c r="L195" s="196" t="s">
        <v>75</v>
      </c>
      <c r="M195" s="368">
        <v>30</v>
      </c>
    </row>
    <row r="196" spans="4:13">
      <c r="D196">
        <f t="shared" ref="D196:D219" si="4">D195+1</f>
        <v>195</v>
      </c>
      <c r="L196" s="245" t="s">
        <v>18</v>
      </c>
      <c r="M196" s="368">
        <v>30</v>
      </c>
    </row>
    <row r="197" spans="4:13">
      <c r="D197">
        <f t="shared" si="4"/>
        <v>196</v>
      </c>
      <c r="L197" s="196" t="s">
        <v>91</v>
      </c>
      <c r="M197" s="368">
        <v>30</v>
      </c>
    </row>
    <row r="198" spans="4:13">
      <c r="D198">
        <f t="shared" si="4"/>
        <v>197</v>
      </c>
      <c r="L198" s="245" t="s">
        <v>24</v>
      </c>
      <c r="M198" s="368">
        <v>30</v>
      </c>
    </row>
    <row r="199" spans="4:13">
      <c r="D199">
        <f t="shared" si="4"/>
        <v>198</v>
      </c>
      <c r="L199" s="196" t="s">
        <v>68</v>
      </c>
      <c r="M199" s="368">
        <v>30</v>
      </c>
    </row>
    <row r="200" spans="4:13">
      <c r="D200">
        <f t="shared" si="4"/>
        <v>199</v>
      </c>
      <c r="L200" s="245" t="s">
        <v>18</v>
      </c>
      <c r="M200" s="368">
        <v>30</v>
      </c>
    </row>
    <row r="201" spans="4:13">
      <c r="D201">
        <f t="shared" si="4"/>
        <v>200</v>
      </c>
      <c r="L201" s="196" t="s">
        <v>25</v>
      </c>
      <c r="M201" s="368">
        <v>30</v>
      </c>
    </row>
    <row r="202" spans="4:13">
      <c r="D202">
        <f t="shared" si="4"/>
        <v>201</v>
      </c>
      <c r="L202" s="245" t="s">
        <v>18</v>
      </c>
      <c r="M202" s="368">
        <v>30</v>
      </c>
    </row>
    <row r="203" spans="4:13">
      <c r="D203">
        <f t="shared" si="4"/>
        <v>202</v>
      </c>
      <c r="L203" s="196" t="s">
        <v>36</v>
      </c>
      <c r="M203" s="368">
        <v>25</v>
      </c>
    </row>
    <row r="204" spans="4:13">
      <c r="D204">
        <f t="shared" si="4"/>
        <v>203</v>
      </c>
      <c r="L204" s="245" t="s">
        <v>21</v>
      </c>
      <c r="M204" s="368">
        <v>25</v>
      </c>
    </row>
    <row r="205" spans="4:13">
      <c r="D205">
        <f t="shared" si="4"/>
        <v>204</v>
      </c>
      <c r="L205" s="196" t="s">
        <v>64</v>
      </c>
      <c r="M205" s="368">
        <v>19</v>
      </c>
    </row>
    <row r="206" spans="4:13">
      <c r="D206">
        <f t="shared" si="4"/>
        <v>205</v>
      </c>
      <c r="L206" s="245" t="s">
        <v>30</v>
      </c>
      <c r="M206" s="368">
        <v>19</v>
      </c>
    </row>
    <row r="207" spans="4:13">
      <c r="D207">
        <f t="shared" si="4"/>
        <v>206</v>
      </c>
      <c r="L207" s="196" t="s">
        <v>88</v>
      </c>
      <c r="M207" s="368">
        <v>19</v>
      </c>
    </row>
    <row r="208" spans="4:13">
      <c r="D208">
        <f t="shared" si="4"/>
        <v>207</v>
      </c>
      <c r="L208" s="245" t="s">
        <v>30</v>
      </c>
      <c r="M208" s="368">
        <v>19</v>
      </c>
    </row>
    <row r="209" spans="4:13">
      <c r="D209">
        <f t="shared" si="4"/>
        <v>208</v>
      </c>
      <c r="L209" s="196" t="s">
        <v>32</v>
      </c>
      <c r="M209" s="368">
        <v>19</v>
      </c>
    </row>
    <row r="210" spans="4:13">
      <c r="D210">
        <f t="shared" si="4"/>
        <v>209</v>
      </c>
      <c r="L210" s="245" t="s">
        <v>30</v>
      </c>
      <c r="M210" s="368">
        <v>19</v>
      </c>
    </row>
    <row r="211" spans="4:13">
      <c r="D211">
        <f t="shared" si="4"/>
        <v>210</v>
      </c>
      <c r="L211" s="196" t="s">
        <v>17</v>
      </c>
      <c r="M211" s="368">
        <v>0</v>
      </c>
    </row>
    <row r="212" spans="4:13">
      <c r="D212">
        <f t="shared" si="4"/>
        <v>211</v>
      </c>
      <c r="L212" s="245" t="s">
        <v>28</v>
      </c>
      <c r="M212" s="368">
        <v>0</v>
      </c>
    </row>
    <row r="213" spans="4:13">
      <c r="D213">
        <f t="shared" si="4"/>
        <v>212</v>
      </c>
      <c r="L213" s="196" t="s">
        <v>45</v>
      </c>
      <c r="M213" s="368">
        <v>0</v>
      </c>
    </row>
    <row r="214" spans="4:13">
      <c r="D214">
        <f t="shared" si="4"/>
        <v>213</v>
      </c>
      <c r="L214" s="245" t="s">
        <v>28</v>
      </c>
      <c r="M214" s="368">
        <v>0</v>
      </c>
    </row>
    <row r="215" spans="4:13">
      <c r="D215">
        <f t="shared" si="4"/>
        <v>214</v>
      </c>
      <c r="L215" s="196" t="s">
        <v>23</v>
      </c>
      <c r="M215" s="368">
        <v>0</v>
      </c>
    </row>
    <row r="216" spans="4:13">
      <c r="D216">
        <f t="shared" si="4"/>
        <v>215</v>
      </c>
      <c r="L216" s="245" t="s">
        <v>26</v>
      </c>
      <c r="M216" s="368">
        <v>0</v>
      </c>
    </row>
    <row r="217" spans="4:13">
      <c r="D217">
        <f t="shared" si="4"/>
        <v>216</v>
      </c>
      <c r="L217" s="196" t="s">
        <v>14</v>
      </c>
      <c r="M217" s="368">
        <v>0</v>
      </c>
    </row>
    <row r="218" spans="4:13">
      <c r="D218">
        <f t="shared" si="4"/>
        <v>217</v>
      </c>
      <c r="L218" s="245" t="s">
        <v>28</v>
      </c>
      <c r="M218" s="368">
        <v>0</v>
      </c>
    </row>
    <row r="219" spans="4:13">
      <c r="D219">
        <f t="shared" si="4"/>
        <v>218</v>
      </c>
      <c r="L219" s="196" t="s">
        <v>86</v>
      </c>
      <c r="M219" s="368">
        <v>0</v>
      </c>
    </row>
    <row r="220" spans="4:13">
      <c r="L220" s="245" t="s">
        <v>28</v>
      </c>
      <c r="M220" s="368">
        <v>0</v>
      </c>
    </row>
    <row r="221" spans="4:13">
      <c r="L221" s="196" t="s">
        <v>93</v>
      </c>
      <c r="M221" s="368">
        <v>0</v>
      </c>
    </row>
    <row r="222" spans="4:13">
      <c r="L222" s="245" t="s">
        <v>28</v>
      </c>
      <c r="M222" s="368">
        <v>0</v>
      </c>
    </row>
    <row r="223" spans="4:13">
      <c r="L223" s="196" t="s">
        <v>41</v>
      </c>
      <c r="M223" s="368">
        <v>0</v>
      </c>
    </row>
    <row r="224" spans="4:13">
      <c r="L224" s="245" t="s">
        <v>15</v>
      </c>
      <c r="M224" s="368">
        <v>0</v>
      </c>
    </row>
    <row r="225" spans="12:13">
      <c r="L225" s="196" t="s">
        <v>82</v>
      </c>
      <c r="M225" s="368">
        <v>0</v>
      </c>
    </row>
    <row r="226" spans="12:13">
      <c r="L226" s="245" t="s">
        <v>28</v>
      </c>
      <c r="M226" s="368">
        <v>0</v>
      </c>
    </row>
    <row r="227" spans="12:13">
      <c r="L227" s="196" t="s">
        <v>95</v>
      </c>
      <c r="M227" s="368">
        <v>0</v>
      </c>
    </row>
    <row r="228" spans="12:13">
      <c r="L228" s="245" t="s">
        <v>28</v>
      </c>
      <c r="M228" s="368">
        <v>0</v>
      </c>
    </row>
    <row r="229" spans="12:13">
      <c r="L229" s="196" t="s">
        <v>76</v>
      </c>
      <c r="M229" s="368">
        <v>0</v>
      </c>
    </row>
    <row r="230" spans="12:13">
      <c r="L230" s="245" t="s">
        <v>28</v>
      </c>
      <c r="M230" s="368">
        <v>0</v>
      </c>
    </row>
    <row r="231" spans="12:13">
      <c r="L231" s="196" t="s">
        <v>22</v>
      </c>
      <c r="M231" s="368">
        <v>5951</v>
      </c>
    </row>
  </sheetData>
  <sortState xmlns:xlrd2="http://schemas.microsoft.com/office/spreadsheetml/2017/richdata2" ref="A2:A77">
    <sortCondition ref="A2:A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5E43-90C7-9841-A98F-67B4AE931A86}">
  <sheetPr>
    <tabColor theme="1" tint="0.499984740745262"/>
  </sheetPr>
  <dimension ref="B1:AF41"/>
  <sheetViews>
    <sheetView zoomScale="75" zoomScaleNormal="160" zoomScaleSheetLayoutView="108" workbookViewId="0">
      <selection activeCell="M3" sqref="M3"/>
    </sheetView>
  </sheetViews>
  <sheetFormatPr defaultColWidth="10.875" defaultRowHeight="20.100000000000001" customHeight="1"/>
  <cols>
    <col min="8" max="8" width="14.125" bestFit="1" customWidth="1"/>
    <col min="9" max="9" width="16.5" bestFit="1" customWidth="1"/>
    <col min="10" max="10" width="14.625" bestFit="1" customWidth="1"/>
    <col min="11" max="11" width="11.25" bestFit="1" customWidth="1"/>
    <col min="12" max="12" width="9.875" bestFit="1" customWidth="1"/>
    <col min="13" max="13" width="8.875" bestFit="1" customWidth="1"/>
    <col min="14" max="14" width="3.25" customWidth="1"/>
    <col min="15" max="15" width="13.75" bestFit="1" customWidth="1"/>
    <col min="16" max="16" width="14.125" bestFit="1" customWidth="1"/>
    <col min="17" max="17" width="16.5" bestFit="1" customWidth="1"/>
    <col min="18" max="18" width="14.625" bestFit="1" customWidth="1"/>
    <col min="19" max="19" width="11.25" bestFit="1" customWidth="1"/>
    <col min="20" max="20" width="9.875" bestFit="1" customWidth="1"/>
    <col min="21" max="21" width="7.125" bestFit="1" customWidth="1"/>
    <col min="22" max="22" width="3.375" customWidth="1"/>
    <col min="27" max="27" width="18.125" bestFit="1" customWidth="1"/>
  </cols>
  <sheetData>
    <row r="1" spans="2:32" ht="20.100000000000001" customHeight="1" thickBot="1"/>
    <row r="2" spans="2:32" ht="20.100000000000001" customHeight="1" thickBot="1">
      <c r="B2" s="415" t="s">
        <v>97</v>
      </c>
      <c r="C2" s="415"/>
      <c r="D2" s="415"/>
      <c r="E2" s="416"/>
      <c r="F2" s="416"/>
      <c r="H2" s="409" t="s">
        <v>98</v>
      </c>
      <c r="I2" s="410"/>
      <c r="J2" s="410"/>
      <c r="K2" s="410"/>
      <c r="L2" s="410"/>
      <c r="M2" s="411"/>
      <c r="P2" s="409" t="s">
        <v>99</v>
      </c>
      <c r="Q2" s="410"/>
      <c r="R2" s="410"/>
      <c r="S2" s="410"/>
      <c r="T2" s="410"/>
      <c r="U2" s="411"/>
      <c r="AA2" s="315" t="s">
        <v>100</v>
      </c>
      <c r="AB2" s="202" t="s">
        <v>101</v>
      </c>
      <c r="AC2" s="202" t="s">
        <v>4</v>
      </c>
      <c r="AD2" s="202" t="s">
        <v>102</v>
      </c>
      <c r="AE2" s="203" t="s">
        <v>103</v>
      </c>
    </row>
    <row r="3" spans="2:32" ht="20.100000000000001" customHeight="1" thickBot="1">
      <c r="B3" s="415"/>
      <c r="C3" s="415"/>
      <c r="D3" s="415"/>
      <c r="E3" s="416"/>
      <c r="F3" s="416"/>
      <c r="H3" s="211" t="s">
        <v>6</v>
      </c>
      <c r="I3" s="212" t="s">
        <v>104</v>
      </c>
      <c r="J3" s="212" t="s">
        <v>105</v>
      </c>
      <c r="K3" s="212" t="s">
        <v>98</v>
      </c>
      <c r="L3" s="213" t="s">
        <v>106</v>
      </c>
      <c r="M3" s="214" t="s">
        <v>107</v>
      </c>
      <c r="N3" s="6"/>
      <c r="P3" s="211" t="s">
        <v>6</v>
      </c>
      <c r="Q3" s="212" t="s">
        <v>104</v>
      </c>
      <c r="R3" s="212" t="s">
        <v>105</v>
      </c>
      <c r="S3" s="212" t="s">
        <v>99</v>
      </c>
      <c r="T3" s="213" t="s">
        <v>106</v>
      </c>
      <c r="U3" s="214" t="s">
        <v>107</v>
      </c>
      <c r="X3" s="6"/>
      <c r="Y3" s="46"/>
      <c r="Z3" s="46"/>
      <c r="AA3" s="302" t="s">
        <v>108</v>
      </c>
      <c r="AB3" s="358">
        <v>148.63</v>
      </c>
      <c r="AC3" s="310">
        <v>100</v>
      </c>
      <c r="AD3" s="309"/>
      <c r="AE3" s="398">
        <f>IFERROR(AB3/AC3,"-")</f>
        <v>1.4863</v>
      </c>
    </row>
    <row r="4" spans="2:32" ht="20.100000000000001" customHeight="1">
      <c r="H4" s="218">
        <v>1</v>
      </c>
      <c r="I4" s="224">
        <v>0</v>
      </c>
      <c r="J4" s="224">
        <f>'D1'!C8</f>
        <v>1015</v>
      </c>
      <c r="K4" s="224">
        <f>'D1'!D8</f>
        <v>0</v>
      </c>
      <c r="L4" s="220" t="str">
        <f>IFERROR(IF(I4&lt;0,-(K4/I4-1),K4/I4-1),"-")</f>
        <v>-</v>
      </c>
      <c r="M4" s="221">
        <f>IFERROR(1+(K4-J4)/ABS(J4),"-")</f>
        <v>0</v>
      </c>
      <c r="N4" s="199">
        <f>IF(M4&gt;=1,3,IF(M4&gt;=0.95,2,1))</f>
        <v>1</v>
      </c>
      <c r="P4" s="218">
        <v>1</v>
      </c>
      <c r="Q4" s="219">
        <v>0</v>
      </c>
      <c r="R4" s="219">
        <f>'D1'!C14</f>
        <v>-824.16469999999993</v>
      </c>
      <c r="S4" s="219">
        <f>'D1'!D14</f>
        <v>-781.06200000000001</v>
      </c>
      <c r="T4" s="220" t="str">
        <f t="shared" ref="T4:T6" si="0">IFERROR(IF(Q4&gt;0,-(S4/Q4-1),S4/Q4-1),"-")</f>
        <v>-</v>
      </c>
      <c r="U4" s="221">
        <f>IFERROR(1+(S4-R4)/ABS(R4),"-")</f>
        <v>1.0522986485589589</v>
      </c>
      <c r="V4" s="199">
        <f>IF(U4&gt;=1,3,IF(U4&gt;=0.95,2,1))</f>
        <v>3</v>
      </c>
      <c r="Y4" s="197"/>
      <c r="Z4" s="197"/>
      <c r="AA4" s="302" t="s">
        <v>109</v>
      </c>
      <c r="AB4" s="358">
        <v>94.4</v>
      </c>
      <c r="AC4" s="310">
        <v>100</v>
      </c>
      <c r="AD4" s="309"/>
      <c r="AE4" s="400">
        <f t="shared" ref="AE4:AE8" si="1">IFERROR(AB4/AC4,"-")</f>
        <v>0.94400000000000006</v>
      </c>
      <c r="AF4" s="31"/>
    </row>
    <row r="5" spans="2:32" ht="20.100000000000001" customHeight="1">
      <c r="B5" s="415" t="s">
        <v>110</v>
      </c>
      <c r="C5" s="415"/>
      <c r="D5" s="415"/>
      <c r="E5" s="417"/>
      <c r="F5" s="417"/>
      <c r="H5" s="225">
        <v>2</v>
      </c>
      <c r="I5" s="226">
        <f>K4</f>
        <v>0</v>
      </c>
      <c r="J5" s="226"/>
      <c r="K5" s="226"/>
      <c r="L5" s="227" t="str">
        <f t="shared" ref="L5:L11" si="2">IFERROR(IF(I5&lt;0,-(K5/I5-1),K5/I5-1),"-")</f>
        <v>-</v>
      </c>
      <c r="M5" s="228" t="str">
        <f>IFERROR(1+(K5-J5)/ABS(J5),"-")</f>
        <v>-</v>
      </c>
      <c r="N5" s="199">
        <f>IF(M5&gt;=1,3,IF(M5&gt;=0.95,2,1))</f>
        <v>3</v>
      </c>
      <c r="P5" s="225">
        <v>2</v>
      </c>
      <c r="Q5" s="229">
        <f>S4</f>
        <v>-781.06200000000001</v>
      </c>
      <c r="R5" s="229"/>
      <c r="S5" s="229"/>
      <c r="T5" s="227">
        <f t="shared" si="0"/>
        <v>-1</v>
      </c>
      <c r="U5" s="228" t="str">
        <f>IFERROR(1+(S5-R5)/ABS(R5),"-")</f>
        <v>-</v>
      </c>
      <c r="V5" s="199">
        <f>IF(U5&gt;=1,3,IF(U5&gt;=0.95,2,1))</f>
        <v>3</v>
      </c>
      <c r="Y5" s="197"/>
      <c r="Z5" s="197"/>
      <c r="AA5" s="302">
        <f>'A33'!$S$5</f>
        <v>0</v>
      </c>
      <c r="AB5" s="358"/>
      <c r="AC5" s="310" t="e">
        <f>#REF!</f>
        <v>#REF!</v>
      </c>
      <c r="AD5" s="309" t="str">
        <f>IFERROR(((AB5*AC5)*0.21)/AC5,"-")</f>
        <v>-</v>
      </c>
      <c r="AE5" s="398" t="str">
        <f t="shared" si="1"/>
        <v>-</v>
      </c>
    </row>
    <row r="6" spans="2:32" ht="20.100000000000001" customHeight="1">
      <c r="B6" s="415"/>
      <c r="C6" s="415"/>
      <c r="D6" s="415"/>
      <c r="E6" s="417"/>
      <c r="F6" s="417"/>
      <c r="H6" s="222">
        <v>3</v>
      </c>
      <c r="I6" s="215">
        <f>K5</f>
        <v>0</v>
      </c>
      <c r="J6" s="215"/>
      <c r="K6" s="215"/>
      <c r="L6" s="216" t="str">
        <f t="shared" si="2"/>
        <v>-</v>
      </c>
      <c r="M6" s="223" t="str">
        <f t="shared" ref="M6:M11" si="3">IFERROR(1+(K6-J6)/ABS(J6),"-")</f>
        <v>-</v>
      </c>
      <c r="N6" s="199">
        <f t="shared" ref="N6:N11" si="4">IF(M6&gt;=1,3,IF(M6&gt;=0.95,2,1))</f>
        <v>3</v>
      </c>
      <c r="P6" s="222">
        <v>3</v>
      </c>
      <c r="Q6" s="217">
        <f>S5</f>
        <v>0</v>
      </c>
      <c r="R6" s="217"/>
      <c r="S6" s="217"/>
      <c r="T6" s="216" t="str">
        <f t="shared" si="0"/>
        <v>-</v>
      </c>
      <c r="U6" s="223" t="str">
        <f t="shared" ref="U6:U11" si="5">IFERROR(1+(S6-R6)/ABS(R6),"-")</f>
        <v>-</v>
      </c>
      <c r="V6" s="199">
        <f>IF(U6&gt;=1,3,IF(U6&gt;=0.95,2,1))</f>
        <v>3</v>
      </c>
      <c r="Y6" s="197"/>
      <c r="Z6" s="197"/>
      <c r="AA6" s="302">
        <f>'A33'!$S$6</f>
        <v>0</v>
      </c>
      <c r="AB6" s="358"/>
      <c r="AC6" s="310" t="e">
        <f>#REF!</f>
        <v>#REF!</v>
      </c>
      <c r="AD6" s="320" t="str">
        <f>IFERROR(((AB6*AC6)*0.21)/AC6,"-")</f>
        <v>-</v>
      </c>
      <c r="AE6" s="398" t="str">
        <f t="shared" si="1"/>
        <v>-</v>
      </c>
    </row>
    <row r="7" spans="2:32" ht="20.100000000000001" customHeight="1">
      <c r="H7" s="225">
        <v>4</v>
      </c>
      <c r="I7" s="226">
        <f>K6</f>
        <v>0</v>
      </c>
      <c r="J7" s="226"/>
      <c r="K7" s="226"/>
      <c r="L7" s="227" t="str">
        <f t="shared" si="2"/>
        <v>-</v>
      </c>
      <c r="M7" s="228" t="str">
        <f t="shared" si="3"/>
        <v>-</v>
      </c>
      <c r="N7" s="199">
        <f t="shared" si="4"/>
        <v>3</v>
      </c>
      <c r="P7" s="225">
        <v>4</v>
      </c>
      <c r="Q7" s="229">
        <f>S6</f>
        <v>0</v>
      </c>
      <c r="R7" s="229"/>
      <c r="S7" s="229"/>
      <c r="T7" s="227" t="str">
        <f>IFERROR(IF(Q7&gt;0,-(S7/Q7-1),S7/Q7-1),"-")</f>
        <v>-</v>
      </c>
      <c r="U7" s="228" t="str">
        <f t="shared" si="5"/>
        <v>-</v>
      </c>
      <c r="V7" s="199">
        <f>IF(U7&gt;=1,3,IF(U7&gt;=0.95,2,1))</f>
        <v>3</v>
      </c>
      <c r="Y7" s="197"/>
      <c r="Z7" s="197"/>
      <c r="AA7" s="278"/>
      <c r="AB7" s="359"/>
      <c r="AC7" s="310"/>
      <c r="AD7" s="317" t="str">
        <f>IFERROR(((AB7*AC7)*0.21)/AC7,"-")</f>
        <v>-</v>
      </c>
      <c r="AE7" s="398" t="str">
        <f t="shared" si="1"/>
        <v>-</v>
      </c>
    </row>
    <row r="8" spans="2:32" ht="20.100000000000001" customHeight="1" thickBot="1">
      <c r="B8" s="415" t="s">
        <v>111</v>
      </c>
      <c r="C8" s="415"/>
      <c r="D8" s="415"/>
      <c r="E8" s="418">
        <f>R27</f>
        <v>0.81198492610837436</v>
      </c>
      <c r="F8" s="417"/>
      <c r="H8" s="222">
        <v>5</v>
      </c>
      <c r="I8" s="215">
        <f>K7</f>
        <v>0</v>
      </c>
      <c r="J8" s="215"/>
      <c r="K8" s="215"/>
      <c r="L8" s="216" t="str">
        <f t="shared" si="2"/>
        <v>-</v>
      </c>
      <c r="M8" s="223" t="str">
        <f t="shared" si="3"/>
        <v>-</v>
      </c>
      <c r="N8" s="199">
        <f t="shared" si="4"/>
        <v>3</v>
      </c>
      <c r="P8" s="222">
        <v>5</v>
      </c>
      <c r="Q8" s="217">
        <f>S7</f>
        <v>0</v>
      </c>
      <c r="R8" s="217"/>
      <c r="S8" s="217"/>
      <c r="T8" s="216" t="str">
        <f t="shared" ref="T8:T11" si="6">IFERROR(IF(Q8&gt;0,-(S8/Q8-1),S8/Q8-1),"-")</f>
        <v>-</v>
      </c>
      <c r="U8" s="223" t="str">
        <f t="shared" si="5"/>
        <v>-</v>
      </c>
      <c r="V8" s="199">
        <f>IF(U8&gt;=1,3,IF(U8&gt;=0.95,2,1))</f>
        <v>3</v>
      </c>
      <c r="Y8" s="197"/>
      <c r="Z8" s="197"/>
      <c r="AA8" s="279"/>
      <c r="AB8" s="360"/>
      <c r="AC8" s="312"/>
      <c r="AD8" s="319" t="str">
        <f>IFERROR(((AB8*AC8)*0.21)/AC8,"-")</f>
        <v>-</v>
      </c>
      <c r="AE8" s="398" t="str">
        <f t="shared" si="1"/>
        <v>-</v>
      </c>
    </row>
    <row r="9" spans="2:32" ht="20.100000000000001" customHeight="1" thickBot="1">
      <c r="B9" s="415"/>
      <c r="C9" s="415"/>
      <c r="D9" s="415"/>
      <c r="E9" s="417"/>
      <c r="F9" s="417"/>
      <c r="H9" s="225">
        <v>6</v>
      </c>
      <c r="I9" s="226">
        <f>K8</f>
        <v>0</v>
      </c>
      <c r="J9" s="226"/>
      <c r="K9" s="226"/>
      <c r="L9" s="227" t="str">
        <f>IFERROR(IF(I9&lt;0,-(K9/I9-1),K9/I9-1),"-")</f>
        <v>-</v>
      </c>
      <c r="M9" s="228" t="str">
        <f t="shared" si="3"/>
        <v>-</v>
      </c>
      <c r="N9" s="199">
        <f t="shared" si="4"/>
        <v>3</v>
      </c>
      <c r="P9" s="225">
        <v>6</v>
      </c>
      <c r="Q9" s="229">
        <f>S8</f>
        <v>0</v>
      </c>
      <c r="R9" s="229"/>
      <c r="S9" s="229"/>
      <c r="T9" s="227" t="str">
        <f t="shared" si="6"/>
        <v>-</v>
      </c>
      <c r="U9" s="228" t="str">
        <f t="shared" si="5"/>
        <v>-</v>
      </c>
      <c r="V9" s="199">
        <f>IF(U9&gt;=1,3,IF(U9&gt;=0.95,2,1))</f>
        <v>3</v>
      </c>
      <c r="Y9" s="197"/>
      <c r="Z9" s="197"/>
      <c r="AA9" s="305" t="s">
        <v>112</v>
      </c>
      <c r="AB9" s="306"/>
      <c r="AC9" s="306" t="e">
        <f>SUM(AC3:AC8)</f>
        <v>#REF!</v>
      </c>
      <c r="AD9" s="321"/>
      <c r="AE9" s="399"/>
    </row>
    <row r="10" spans="2:32" ht="20.100000000000001" customHeight="1">
      <c r="H10" s="222">
        <v>7</v>
      </c>
      <c r="I10" s="215">
        <f>K9</f>
        <v>0</v>
      </c>
      <c r="J10" s="215"/>
      <c r="K10" s="215"/>
      <c r="L10" s="216" t="str">
        <f t="shared" si="2"/>
        <v>-</v>
      </c>
      <c r="M10" s="223" t="str">
        <f t="shared" si="3"/>
        <v>-</v>
      </c>
      <c r="N10" s="201">
        <f t="shared" si="4"/>
        <v>3</v>
      </c>
      <c r="P10" s="222">
        <v>7</v>
      </c>
      <c r="Q10" s="217">
        <f>S9</f>
        <v>0</v>
      </c>
      <c r="R10" s="217"/>
      <c r="S10" s="217"/>
      <c r="T10" s="216" t="str">
        <f t="shared" si="6"/>
        <v>-</v>
      </c>
      <c r="U10" s="223" t="str">
        <f t="shared" si="5"/>
        <v>-</v>
      </c>
      <c r="V10" s="199">
        <f>IF(U10&gt;=1,3,IF(U10&gt;=0.95,2,1))</f>
        <v>3</v>
      </c>
      <c r="Y10" s="197"/>
      <c r="Z10" s="197"/>
    </row>
    <row r="11" spans="2:32" ht="20.100000000000001" customHeight="1" thickBot="1">
      <c r="H11" s="231">
        <v>8</v>
      </c>
      <c r="I11" s="232">
        <f>K10</f>
        <v>0</v>
      </c>
      <c r="J11" s="232"/>
      <c r="K11" s="232"/>
      <c r="L11" s="233" t="str">
        <f t="shared" si="2"/>
        <v>-</v>
      </c>
      <c r="M11" s="234" t="str">
        <f t="shared" si="3"/>
        <v>-</v>
      </c>
      <c r="N11" s="199">
        <f t="shared" si="4"/>
        <v>3</v>
      </c>
      <c r="P11" s="231">
        <v>8</v>
      </c>
      <c r="Q11" s="235">
        <f>S10</f>
        <v>0</v>
      </c>
      <c r="R11" s="235"/>
      <c r="S11" s="235"/>
      <c r="T11" s="233" t="str">
        <f t="shared" si="6"/>
        <v>-</v>
      </c>
      <c r="U11" s="234" t="str">
        <f t="shared" si="5"/>
        <v>-</v>
      </c>
      <c r="V11" s="199">
        <f>IF(U11&gt;=1,3,IF(U11&gt;=0.95,2,1))</f>
        <v>3</v>
      </c>
      <c r="Y11" s="197"/>
      <c r="Z11" s="197"/>
    </row>
    <row r="12" spans="2:32" ht="20.100000000000001" customHeight="1" thickBot="1">
      <c r="Y12" s="197"/>
      <c r="Z12" s="197"/>
    </row>
    <row r="13" spans="2:32" ht="20.100000000000001" customHeight="1" thickBot="1">
      <c r="H13" s="206" t="s">
        <v>113</v>
      </c>
      <c r="I13" s="207"/>
      <c r="J13" s="208">
        <f>SUM(J4:J11)</f>
        <v>1015</v>
      </c>
      <c r="K13" s="208">
        <f>SUM(K4:K11)</f>
        <v>0</v>
      </c>
      <c r="L13" s="209"/>
      <c r="M13" s="210">
        <f>IFERROR(1+(K13-J13)/ABS(J13),"-")</f>
        <v>0</v>
      </c>
      <c r="N13" s="199">
        <f>IF(M13&gt;=1,3,IF(M13&gt;=0.95,2,1))</f>
        <v>1</v>
      </c>
      <c r="P13" s="206" t="s">
        <v>113</v>
      </c>
      <c r="Q13" s="207"/>
      <c r="R13" s="230">
        <f>SUM(R4:R11)</f>
        <v>-824.16469999999993</v>
      </c>
      <c r="S13" s="230">
        <f>SUM(S4:S11)</f>
        <v>-781.06200000000001</v>
      </c>
      <c r="T13" s="209"/>
      <c r="U13" s="210">
        <f>IFERROR(1+(S13-R13)/ABS(R13),"-")</f>
        <v>1.0522986485589589</v>
      </c>
      <c r="V13" s="199">
        <f>IF(U13&gt;=1,3,IF(U13&gt;=0.95,2,1))</f>
        <v>3</v>
      </c>
      <c r="Y13" s="197"/>
      <c r="Z13" s="197"/>
    </row>
    <row r="15" spans="2:32" ht="20.100000000000001" customHeight="1" thickBot="1"/>
    <row r="16" spans="2:32" ht="20.100000000000001" customHeight="1" thickBot="1">
      <c r="H16" s="412" t="s">
        <v>110</v>
      </c>
      <c r="I16" s="413"/>
      <c r="J16" s="413"/>
      <c r="K16" s="413"/>
      <c r="L16" s="413"/>
      <c r="M16" s="414"/>
      <c r="P16" s="409" t="s">
        <v>114</v>
      </c>
      <c r="Q16" s="410"/>
      <c r="R16" s="410"/>
      <c r="S16" s="410"/>
      <c r="T16" s="410"/>
      <c r="U16" s="411"/>
    </row>
    <row r="17" spans="8:24" ht="20.100000000000001" customHeight="1" thickBot="1">
      <c r="H17" s="211" t="s">
        <v>6</v>
      </c>
      <c r="I17" s="212" t="s">
        <v>104</v>
      </c>
      <c r="J17" s="212" t="s">
        <v>105</v>
      </c>
      <c r="K17" s="212" t="s">
        <v>110</v>
      </c>
      <c r="L17" s="213" t="s">
        <v>106</v>
      </c>
      <c r="M17" s="214" t="s">
        <v>107</v>
      </c>
      <c r="N17" s="6"/>
      <c r="P17" s="211" t="s">
        <v>6</v>
      </c>
      <c r="Q17" s="212" t="s">
        <v>104</v>
      </c>
      <c r="R17" s="212" t="s">
        <v>105</v>
      </c>
      <c r="S17" s="212" t="s">
        <v>114</v>
      </c>
      <c r="T17" s="213" t="s">
        <v>106</v>
      </c>
      <c r="U17" s="214" t="s">
        <v>107</v>
      </c>
    </row>
    <row r="18" spans="8:24" ht="20.100000000000001" customHeight="1">
      <c r="H18" s="218">
        <v>1</v>
      </c>
      <c r="I18" s="219">
        <v>0</v>
      </c>
      <c r="J18" s="219">
        <f>'D1'!C17</f>
        <v>190.83530000000007</v>
      </c>
      <c r="K18" s="219">
        <f>'D1'!D17</f>
        <v>-781.06200000000001</v>
      </c>
      <c r="L18" s="220" t="str">
        <f>IFERROR(IF(AND(I18&lt;0,K18&gt;0),-(K18/I18-1),IF(AND(I18&gt;0,K18&lt;0),K18/I18-1,IF(AND(I18&lt;0,K18&lt;0),-(K18/I18-1),K18/I18-1))),"-")</f>
        <v>-</v>
      </c>
      <c r="M18" s="221">
        <f>IFERROR(1+(K18-J18)/ABS(J18),"-")</f>
        <v>-4.0928591303600523</v>
      </c>
      <c r="N18" s="199">
        <f>IF(M18&gt;=1,3,IF(M18&gt;=0.95,2,1))</f>
        <v>1</v>
      </c>
      <c r="P18" s="218">
        <v>1</v>
      </c>
      <c r="Q18" s="220">
        <v>0</v>
      </c>
      <c r="R18" s="220">
        <f>'D1'!C22</f>
        <v>0.81198492610837436</v>
      </c>
      <c r="S18" s="220" t="str">
        <f>'D1'!D22</f>
        <v>-</v>
      </c>
      <c r="T18" s="220" t="str">
        <f>IFERROR(CONCATENATE(FIXED(100*(S18-Q18),1),"p.p."),"n.a.")</f>
        <v>n.a.</v>
      </c>
      <c r="U18" s="221" t="str">
        <f>IFERROR(CONCATENATE(FIXED(100*(S18-R18),1),"p.p."),"n.a.")</f>
        <v>n.a.</v>
      </c>
      <c r="V18" s="199">
        <f>IFERROR(IF(S18&lt;R18,3,IF(U18&gt;R18,1,2)),"-")</f>
        <v>1</v>
      </c>
      <c r="W18" s="276">
        <f>ABS(R4/J4)-R18</f>
        <v>0</v>
      </c>
      <c r="X18" s="276" t="e">
        <f t="shared" ref="X18:X25" si="7">ABS(S4/K4)-S18</f>
        <v>#DIV/0!</v>
      </c>
    </row>
    <row r="19" spans="8:24" ht="20.100000000000001" customHeight="1">
      <c r="H19" s="225">
        <v>2</v>
      </c>
      <c r="I19" s="229">
        <f>K18</f>
        <v>-781.06200000000001</v>
      </c>
      <c r="J19" s="229"/>
      <c r="K19" s="229"/>
      <c r="L19" s="227">
        <f t="shared" ref="L19:L25" si="8">IFERROR(IF(AND(I19&lt;0,K19&gt;0),-(K19/I19-1),IF(AND(I19&gt;0,K19&lt;0),K19/I19-1,IF(AND(I19&lt;0,K19&lt;0),-(K19/I19-1),K19/I19-1))),"-")</f>
        <v>-1</v>
      </c>
      <c r="M19" s="228" t="str">
        <f>IFERROR(1+(K19-J19)/ABS(J19),"-")</f>
        <v>-</v>
      </c>
      <c r="N19" s="199">
        <f>IF(M19&gt;=1,3,IF(M19&gt;=0.95,2,1))</f>
        <v>3</v>
      </c>
      <c r="P19" s="225">
        <v>2</v>
      </c>
      <c r="Q19" s="227" t="str">
        <f>S18</f>
        <v>-</v>
      </c>
      <c r="R19" s="227"/>
      <c r="S19" s="227"/>
      <c r="T19" s="227" t="str">
        <f t="shared" ref="T19:T25" si="9">IFERROR(CONCATENATE(FIXED(100*(S19-Q19),1),"p.p."),"n.a.")</f>
        <v>n.a.</v>
      </c>
      <c r="U19" s="228" t="str">
        <f t="shared" ref="U19:U27" si="10">IFERROR(CONCATENATE(FIXED(100*(S19-R19),1),"p.p."),"n.a.")</f>
        <v>0,0p.p.</v>
      </c>
      <c r="V19" s="199">
        <f t="shared" ref="V19:V27" si="11">IFERROR(IF(S19&lt;R19,3,IF(U19&gt;R19,1,2)),"-")</f>
        <v>1</v>
      </c>
      <c r="W19" s="276" t="e">
        <f>ABS(R5/J5)-R19</f>
        <v>#DIV/0!</v>
      </c>
      <c r="X19" s="276" t="e">
        <f t="shared" si="7"/>
        <v>#DIV/0!</v>
      </c>
    </row>
    <row r="20" spans="8:24" ht="20.100000000000001" customHeight="1">
      <c r="H20" s="222">
        <v>3</v>
      </c>
      <c r="I20" s="217">
        <f>K19</f>
        <v>0</v>
      </c>
      <c r="J20" s="217"/>
      <c r="K20" s="217"/>
      <c r="L20" s="216" t="str">
        <f t="shared" si="8"/>
        <v>-</v>
      </c>
      <c r="M20" s="223" t="str">
        <f t="shared" ref="M20:M25" si="12">IFERROR(1+(K20-J20)/ABS(J20),"-")</f>
        <v>-</v>
      </c>
      <c r="N20" s="199">
        <f t="shared" ref="N20:N25" si="13">IF(M20&gt;=1,3,IF(M20&gt;=0.95,2,1))</f>
        <v>3</v>
      </c>
      <c r="P20" s="222">
        <v>3</v>
      </c>
      <c r="Q20" s="243">
        <f>S19</f>
        <v>0</v>
      </c>
      <c r="R20" s="243"/>
      <c r="S20" s="243"/>
      <c r="T20" s="243" t="str">
        <f t="shared" si="9"/>
        <v>0,0p.p.</v>
      </c>
      <c r="U20" s="244" t="str">
        <f t="shared" si="10"/>
        <v>0,0p.p.</v>
      </c>
      <c r="V20" s="199">
        <f t="shared" si="11"/>
        <v>1</v>
      </c>
      <c r="W20" s="276" t="e">
        <f t="shared" ref="W20:W25" si="14">ABS(R6/J6)-R20</f>
        <v>#DIV/0!</v>
      </c>
      <c r="X20" s="276" t="e">
        <f t="shared" si="7"/>
        <v>#DIV/0!</v>
      </c>
    </row>
    <row r="21" spans="8:24" ht="20.100000000000001" customHeight="1">
      <c r="H21" s="225">
        <v>4</v>
      </c>
      <c r="I21" s="229">
        <f>K20</f>
        <v>0</v>
      </c>
      <c r="J21" s="229"/>
      <c r="K21" s="229"/>
      <c r="L21" s="227" t="str">
        <f t="shared" si="8"/>
        <v>-</v>
      </c>
      <c r="M21" s="228" t="str">
        <f t="shared" si="12"/>
        <v>-</v>
      </c>
      <c r="N21" s="199">
        <f t="shared" si="13"/>
        <v>3</v>
      </c>
      <c r="P21" s="225">
        <v>4</v>
      </c>
      <c r="Q21" s="227">
        <f>S20</f>
        <v>0</v>
      </c>
      <c r="R21" s="227"/>
      <c r="S21" s="227"/>
      <c r="T21" s="227" t="str">
        <f t="shared" si="9"/>
        <v>0,0p.p.</v>
      </c>
      <c r="U21" s="228" t="str">
        <f t="shared" si="10"/>
        <v>0,0p.p.</v>
      </c>
      <c r="V21" s="199">
        <f t="shared" si="11"/>
        <v>1</v>
      </c>
      <c r="W21" s="276" t="e">
        <f t="shared" si="14"/>
        <v>#DIV/0!</v>
      </c>
      <c r="X21" s="276" t="e">
        <f t="shared" si="7"/>
        <v>#DIV/0!</v>
      </c>
    </row>
    <row r="22" spans="8:24" ht="20.100000000000001" customHeight="1">
      <c r="H22" s="222">
        <v>5</v>
      </c>
      <c r="I22" s="217">
        <f>K21</f>
        <v>0</v>
      </c>
      <c r="J22" s="217"/>
      <c r="K22" s="217"/>
      <c r="L22" s="216" t="str">
        <f t="shared" si="8"/>
        <v>-</v>
      </c>
      <c r="M22" s="223" t="str">
        <f t="shared" si="12"/>
        <v>-</v>
      </c>
      <c r="N22" s="199">
        <f t="shared" si="13"/>
        <v>3</v>
      </c>
      <c r="P22" s="222">
        <v>5</v>
      </c>
      <c r="Q22" s="243">
        <f>S21</f>
        <v>0</v>
      </c>
      <c r="R22" s="243"/>
      <c r="S22" s="243"/>
      <c r="T22" s="243" t="str">
        <f t="shared" si="9"/>
        <v>0,0p.p.</v>
      </c>
      <c r="U22" s="223" t="str">
        <f t="shared" si="10"/>
        <v>0,0p.p.</v>
      </c>
      <c r="V22" s="199">
        <f t="shared" si="11"/>
        <v>1</v>
      </c>
      <c r="W22" s="276" t="e">
        <f t="shared" si="14"/>
        <v>#DIV/0!</v>
      </c>
      <c r="X22" s="276" t="e">
        <f t="shared" si="7"/>
        <v>#DIV/0!</v>
      </c>
    </row>
    <row r="23" spans="8:24" ht="20.100000000000001" customHeight="1">
      <c r="H23" s="225">
        <v>6</v>
      </c>
      <c r="I23" s="229">
        <f>K22</f>
        <v>0</v>
      </c>
      <c r="J23" s="229"/>
      <c r="K23" s="229"/>
      <c r="L23" s="227" t="str">
        <f t="shared" si="8"/>
        <v>-</v>
      </c>
      <c r="M23" s="228" t="str">
        <f t="shared" si="12"/>
        <v>-</v>
      </c>
      <c r="N23" s="199">
        <f t="shared" si="13"/>
        <v>3</v>
      </c>
      <c r="P23" s="225">
        <v>6</v>
      </c>
      <c r="Q23" s="227">
        <f>S22</f>
        <v>0</v>
      </c>
      <c r="R23" s="227"/>
      <c r="S23" s="227"/>
      <c r="T23" s="227" t="str">
        <f t="shared" si="9"/>
        <v>0,0p.p.</v>
      </c>
      <c r="U23" s="228" t="str">
        <f t="shared" si="10"/>
        <v>0,0p.p.</v>
      </c>
      <c r="V23" s="199">
        <f t="shared" si="11"/>
        <v>1</v>
      </c>
      <c r="W23" s="276" t="e">
        <f t="shared" si="14"/>
        <v>#DIV/0!</v>
      </c>
      <c r="X23" s="276" t="e">
        <f t="shared" si="7"/>
        <v>#DIV/0!</v>
      </c>
    </row>
    <row r="24" spans="8:24" ht="20.100000000000001" customHeight="1">
      <c r="H24" s="222">
        <v>7</v>
      </c>
      <c r="I24" s="217">
        <f>K23</f>
        <v>0</v>
      </c>
      <c r="J24" s="217"/>
      <c r="K24" s="217"/>
      <c r="L24" s="216" t="str">
        <f t="shared" si="8"/>
        <v>-</v>
      </c>
      <c r="M24" s="223" t="str">
        <f t="shared" si="12"/>
        <v>-</v>
      </c>
      <c r="N24" s="199">
        <f t="shared" si="13"/>
        <v>3</v>
      </c>
      <c r="P24" s="222">
        <v>7</v>
      </c>
      <c r="Q24" s="243">
        <f>S23</f>
        <v>0</v>
      </c>
      <c r="R24" s="243"/>
      <c r="S24" s="243"/>
      <c r="T24" s="243" t="str">
        <f t="shared" si="9"/>
        <v>0,0p.p.</v>
      </c>
      <c r="U24" s="244" t="str">
        <f t="shared" si="10"/>
        <v>0,0p.p.</v>
      </c>
      <c r="V24" s="199">
        <f t="shared" si="11"/>
        <v>1</v>
      </c>
      <c r="W24" s="276" t="e">
        <f t="shared" si="14"/>
        <v>#DIV/0!</v>
      </c>
      <c r="X24" s="276" t="e">
        <f t="shared" si="7"/>
        <v>#DIV/0!</v>
      </c>
    </row>
    <row r="25" spans="8:24" ht="20.100000000000001" customHeight="1" thickBot="1">
      <c r="H25" s="231">
        <v>8</v>
      </c>
      <c r="I25" s="235">
        <f>K24</f>
        <v>0</v>
      </c>
      <c r="J25" s="235"/>
      <c r="K25" s="235"/>
      <c r="L25" s="233" t="str">
        <f t="shared" si="8"/>
        <v>-</v>
      </c>
      <c r="M25" s="234" t="str">
        <f t="shared" si="12"/>
        <v>-</v>
      </c>
      <c r="N25" s="199">
        <f t="shared" si="13"/>
        <v>3</v>
      </c>
      <c r="P25" s="231">
        <v>8</v>
      </c>
      <c r="Q25" s="233">
        <f>S24</f>
        <v>0</v>
      </c>
      <c r="R25" s="233"/>
      <c r="S25" s="233"/>
      <c r="T25" s="233" t="str">
        <f t="shared" si="9"/>
        <v>0,0p.p.</v>
      </c>
      <c r="U25" s="234" t="str">
        <f t="shared" si="10"/>
        <v>0,0p.p.</v>
      </c>
      <c r="V25" s="199">
        <f t="shared" si="11"/>
        <v>1</v>
      </c>
      <c r="W25" s="276" t="e">
        <f t="shared" si="14"/>
        <v>#DIV/0!</v>
      </c>
      <c r="X25" s="276" t="e">
        <f t="shared" si="7"/>
        <v>#DIV/0!</v>
      </c>
    </row>
    <row r="26" spans="8:24" ht="20.100000000000001" customHeight="1" thickBot="1">
      <c r="Q26" s="197"/>
      <c r="R26" s="197"/>
      <c r="S26" s="197"/>
      <c r="V26" s="199"/>
      <c r="W26" s="276"/>
      <c r="X26" s="276"/>
    </row>
    <row r="27" spans="8:24" ht="20.100000000000001" customHeight="1" thickBot="1">
      <c r="H27" s="206" t="s">
        <v>113</v>
      </c>
      <c r="I27" s="207"/>
      <c r="J27" s="230">
        <f>SUM(J18:J25)</f>
        <v>190.83530000000007</v>
      </c>
      <c r="K27" s="230">
        <f>SUM(K18:K25)</f>
        <v>-781.06200000000001</v>
      </c>
      <c r="L27" s="209"/>
      <c r="M27" s="210">
        <f>IFERROR(1+(K27-J27)/ABS(J27),"-")</f>
        <v>-4.0928591303600523</v>
      </c>
      <c r="N27" s="199">
        <f>IF(M27&gt;=1,3,IF(M27&gt;=0.95,2,1))</f>
        <v>1</v>
      </c>
      <c r="P27" s="206" t="s">
        <v>113</v>
      </c>
      <c r="Q27" s="242"/>
      <c r="R27" s="242">
        <f>ABS(R13/J13)</f>
        <v>0.81198492610837436</v>
      </c>
      <c r="S27" s="242" t="e">
        <f>ABS(S13/K13)</f>
        <v>#DIV/0!</v>
      </c>
      <c r="T27" s="209"/>
      <c r="U27" s="210" t="str">
        <f>IFERROR(CONCATENATE(FIXED(100*(S27-R27),1),"p.p."),"n.a.")</f>
        <v>n.a.</v>
      </c>
      <c r="V27" s="199" t="str">
        <f t="shared" si="11"/>
        <v>-</v>
      </c>
      <c r="W27" s="276">
        <f t="shared" ref="W27:X27" si="15">ABS(R13/J13)-R27</f>
        <v>0</v>
      </c>
      <c r="X27" s="276" t="e">
        <f t="shared" si="15"/>
        <v>#DIV/0!</v>
      </c>
    </row>
    <row r="29" spans="8:24" ht="20.100000000000001" customHeight="1" thickBot="1"/>
    <row r="30" spans="8:24" ht="20.100000000000001" customHeight="1" thickBot="1">
      <c r="H30" s="412" t="s">
        <v>4</v>
      </c>
      <c r="I30" s="413"/>
      <c r="J30" s="413"/>
      <c r="K30" s="413"/>
      <c r="L30" s="413"/>
      <c r="M30" s="414"/>
    </row>
    <row r="31" spans="8:24" ht="20.100000000000001" customHeight="1" thickBot="1">
      <c r="H31" s="211" t="s">
        <v>6</v>
      </c>
      <c r="I31" s="212" t="s">
        <v>104</v>
      </c>
      <c r="J31" s="212" t="s">
        <v>105</v>
      </c>
      <c r="K31" s="212" t="s">
        <v>4</v>
      </c>
      <c r="L31" s="213" t="s">
        <v>106</v>
      </c>
      <c r="M31" s="214" t="s">
        <v>107</v>
      </c>
      <c r="N31" s="6"/>
    </row>
    <row r="32" spans="8:24" ht="20.100000000000001" customHeight="1">
      <c r="H32" s="218">
        <v>1</v>
      </c>
      <c r="I32" s="236">
        <v>0</v>
      </c>
      <c r="J32" s="236">
        <f>'D1'!AH9</f>
        <v>29</v>
      </c>
      <c r="K32" s="236">
        <f>'D1'!O27</f>
        <v>0</v>
      </c>
      <c r="L32" s="220" t="str">
        <f>IFERROR(IF(AND(I32&lt;0,K32&gt;0),-(K32/I32-1),IF(AND(I32&gt;0,K32&lt;0),K32/I32-1,IF(AND(I32&lt;0,K32&lt;0),-(K32/I32-1),K32/I32-1))),"-")</f>
        <v>-</v>
      </c>
      <c r="M32" s="221">
        <f>IFERROR(1+(K32-J32)/ABS(J32),"-")</f>
        <v>0</v>
      </c>
      <c r="N32" s="199">
        <f>IF(M32&gt;=1,3,IF(M32&gt;=0.95,2,1))</f>
        <v>1</v>
      </c>
    </row>
    <row r="33" spans="8:14" ht="20.100000000000001" customHeight="1">
      <c r="H33" s="225">
        <v>2</v>
      </c>
      <c r="I33" s="237">
        <f>K32</f>
        <v>0</v>
      </c>
      <c r="J33" s="237"/>
      <c r="K33" s="237"/>
      <c r="L33" s="227" t="str">
        <f t="shared" ref="L33:L39" si="16">IFERROR(IF(AND(I33&lt;0,K33&gt;0),-(K33/I33-1),IF(AND(I33&gt;0,K33&lt;0),K33/I33-1,IF(AND(I33&lt;0,K33&lt;0),-(K33/I33-1),K33/I33-1))),"-")</f>
        <v>-</v>
      </c>
      <c r="M33" s="228" t="str">
        <f>IFERROR(1+(K33-J33)/ABS(J33),"-")</f>
        <v>-</v>
      </c>
      <c r="N33" s="199">
        <f>IF(M33&gt;=1,3,IF(M33&gt;=0.95,2,1))</f>
        <v>3</v>
      </c>
    </row>
    <row r="34" spans="8:14" ht="20.100000000000001" customHeight="1">
      <c r="H34" s="222">
        <v>3</v>
      </c>
      <c r="I34" s="238">
        <f>K33</f>
        <v>0</v>
      </c>
      <c r="J34" s="238"/>
      <c r="K34" s="238"/>
      <c r="L34" s="216" t="str">
        <f t="shared" si="16"/>
        <v>-</v>
      </c>
      <c r="M34" s="223" t="str">
        <f t="shared" ref="M34:M39" si="17">IFERROR(1+(K34-J34)/ABS(J34),"-")</f>
        <v>-</v>
      </c>
      <c r="N34" s="199">
        <f t="shared" ref="N34:N39" si="18">IF(M34&gt;=1,3,IF(M34&gt;=0.95,2,1))</f>
        <v>3</v>
      </c>
    </row>
    <row r="35" spans="8:14" ht="20.100000000000001" customHeight="1">
      <c r="H35" s="225">
        <v>4</v>
      </c>
      <c r="I35" s="237">
        <f>K34</f>
        <v>0</v>
      </c>
      <c r="J35" s="237"/>
      <c r="K35" s="237"/>
      <c r="L35" s="227" t="str">
        <f t="shared" si="16"/>
        <v>-</v>
      </c>
      <c r="M35" s="228" t="str">
        <f t="shared" si="17"/>
        <v>-</v>
      </c>
      <c r="N35" s="199">
        <f t="shared" si="18"/>
        <v>3</v>
      </c>
    </row>
    <row r="36" spans="8:14" ht="20.100000000000001" customHeight="1">
      <c r="H36" s="222">
        <v>5</v>
      </c>
      <c r="I36" s="238">
        <f>K35</f>
        <v>0</v>
      </c>
      <c r="J36" s="238"/>
      <c r="K36" s="238"/>
      <c r="L36" s="216" t="str">
        <f t="shared" si="16"/>
        <v>-</v>
      </c>
      <c r="M36" s="223" t="str">
        <f t="shared" si="17"/>
        <v>-</v>
      </c>
      <c r="N36" s="199">
        <f t="shared" si="18"/>
        <v>3</v>
      </c>
    </row>
    <row r="37" spans="8:14" ht="20.100000000000001" customHeight="1">
      <c r="H37" s="225">
        <v>6</v>
      </c>
      <c r="I37" s="237">
        <f>K36</f>
        <v>0</v>
      </c>
      <c r="J37" s="237"/>
      <c r="K37" s="237"/>
      <c r="L37" s="227" t="str">
        <f t="shared" si="16"/>
        <v>-</v>
      </c>
      <c r="M37" s="228" t="str">
        <f t="shared" si="17"/>
        <v>-</v>
      </c>
      <c r="N37" s="199">
        <f t="shared" si="18"/>
        <v>3</v>
      </c>
    </row>
    <row r="38" spans="8:14" ht="20.100000000000001" customHeight="1">
      <c r="H38" s="222">
        <v>7</v>
      </c>
      <c r="I38" s="238">
        <f>K37</f>
        <v>0</v>
      </c>
      <c r="J38" s="238"/>
      <c r="K38" s="238"/>
      <c r="L38" s="216" t="str">
        <f t="shared" si="16"/>
        <v>-</v>
      </c>
      <c r="M38" s="223" t="str">
        <f t="shared" si="17"/>
        <v>-</v>
      </c>
      <c r="N38" s="199">
        <f t="shared" si="18"/>
        <v>3</v>
      </c>
    </row>
    <row r="39" spans="8:14" ht="20.100000000000001" customHeight="1" thickBot="1">
      <c r="H39" s="231">
        <v>8</v>
      </c>
      <c r="I39" s="239">
        <f>K38</f>
        <v>0</v>
      </c>
      <c r="J39" s="239"/>
      <c r="K39" s="239"/>
      <c r="L39" s="233" t="str">
        <f t="shared" si="16"/>
        <v>-</v>
      </c>
      <c r="M39" s="234" t="str">
        <f t="shared" si="17"/>
        <v>-</v>
      </c>
      <c r="N39" s="199">
        <f t="shared" si="18"/>
        <v>3</v>
      </c>
    </row>
    <row r="40" spans="8:14" ht="20.100000000000001" customHeight="1" thickBot="1">
      <c r="I40" s="240"/>
      <c r="J40" s="240"/>
      <c r="K40" s="240"/>
    </row>
    <row r="41" spans="8:14" ht="20.100000000000001" customHeight="1" thickBot="1">
      <c r="H41" s="206" t="s">
        <v>113</v>
      </c>
      <c r="I41" s="241"/>
      <c r="J41" s="241">
        <f>SUM(J32:J39)</f>
        <v>29</v>
      </c>
      <c r="K41" s="241">
        <f>SUM(K32:K39)</f>
        <v>0</v>
      </c>
      <c r="L41" s="209"/>
      <c r="M41" s="210">
        <f>IFERROR(1+(K41-J41)/ABS(J41),"-")</f>
        <v>0</v>
      </c>
      <c r="N41" s="199">
        <f>IF(M41&gt;=1,3,IF(M41&gt;=0.95,2,1))</f>
        <v>1</v>
      </c>
    </row>
  </sheetData>
  <mergeCells count="11">
    <mergeCell ref="B2:D3"/>
    <mergeCell ref="E2:F3"/>
    <mergeCell ref="B5:D6"/>
    <mergeCell ref="E5:F6"/>
    <mergeCell ref="B8:D9"/>
    <mergeCell ref="E8:F9"/>
    <mergeCell ref="H2:M2"/>
    <mergeCell ref="P2:U2"/>
    <mergeCell ref="H16:M16"/>
    <mergeCell ref="P16:U16"/>
    <mergeCell ref="H30:M30"/>
  </mergeCells>
  <conditionalFormatting sqref="L4:L11">
    <cfRule type="dataBar" priority="6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{D0AD4F3C-9E7A-C643-8B92-F8103102C427}</x14:id>
        </ext>
      </extLst>
    </cfRule>
  </conditionalFormatting>
  <conditionalFormatting sqref="L13">
    <cfRule type="dataBar" priority="1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{DE45C5F7-F823-4D41-93CF-A97894E062DE}</x14:id>
        </ext>
      </extLst>
    </cfRule>
  </conditionalFormatting>
  <conditionalFormatting sqref="L18:L25">
    <cfRule type="dataBar" priority="8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{4083E112-5EA2-304E-8B12-A3F9D075643E}</x14:id>
        </ext>
      </extLst>
    </cfRule>
  </conditionalFormatting>
  <conditionalFormatting sqref="L27">
    <cfRule type="dataBar" priority="9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{D7A7DAF1-A8A2-8941-BA7C-984CEC44E933}</x14:id>
        </ext>
      </extLst>
    </cfRule>
  </conditionalFormatting>
  <conditionalFormatting sqref="L32:L39">
    <cfRule type="dataBar" priority="4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{2DA17701-00A5-5D4D-9D18-50521895A8D7}</x14:id>
        </ext>
      </extLst>
    </cfRule>
  </conditionalFormatting>
  <conditionalFormatting sqref="L41">
    <cfRule type="dataBar" priority="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{54B73427-4CE4-E14B-A147-E83F676480BF}</x14:id>
        </ext>
      </extLst>
    </cfRule>
  </conditionalFormatting>
  <conditionalFormatting sqref="N4:N11 N13">
    <cfRule type="iconSet" priority="14">
      <iconSet showValue="0">
        <cfvo type="percent" val="0"/>
        <cfvo type="num" val="2"/>
        <cfvo type="num" val="3"/>
      </iconSet>
    </cfRule>
  </conditionalFormatting>
  <conditionalFormatting sqref="N18:N25 N27">
    <cfRule type="iconSet" priority="12">
      <iconSet showValue="0">
        <cfvo type="percent" val="0"/>
        <cfvo type="num" val="2"/>
        <cfvo type="num" val="3"/>
      </iconSet>
    </cfRule>
  </conditionalFormatting>
  <conditionalFormatting sqref="N32:N39 N41">
    <cfRule type="iconSet" priority="11">
      <iconSet showValue="0">
        <cfvo type="percent" val="0"/>
        <cfvo type="num" val="2"/>
        <cfvo type="num" val="3"/>
      </iconSet>
    </cfRule>
  </conditionalFormatting>
  <conditionalFormatting sqref="T4:T11">
    <cfRule type="dataBar" priority="7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{59D2E329-B9BB-9347-B5EF-4A7C2EF20841}</x14:id>
        </ext>
      </extLst>
    </cfRule>
  </conditionalFormatting>
  <conditionalFormatting sqref="T13">
    <cfRule type="dataBar" priority="10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{39FFC46B-5C1F-094C-AC1A-624FAFE78F33}</x14:id>
        </ext>
      </extLst>
    </cfRule>
  </conditionalFormatting>
  <conditionalFormatting sqref="T18:T25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{9ED7B269-F764-D143-811C-31D1DD724429}</x14:id>
        </ext>
      </extLst>
    </cfRule>
  </conditionalFormatting>
  <conditionalFormatting sqref="T27">
    <cfRule type="dataBar" priority="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{0013A7C0-9698-334D-968A-2ED4AF149209}</x14:id>
        </ext>
      </extLst>
    </cfRule>
  </conditionalFormatting>
  <conditionalFormatting sqref="V4:V11 V13">
    <cfRule type="iconSet" priority="13">
      <iconSet showValue="0">
        <cfvo type="percent" val="0"/>
        <cfvo type="num" val="2"/>
        <cfvo type="num" val="3"/>
      </iconSet>
    </cfRule>
  </conditionalFormatting>
  <conditionalFormatting sqref="V18:V27">
    <cfRule type="iconSet" priority="3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AD4F3C-9E7A-C643-8B92-F8103102C427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L4:L11</xm:sqref>
        </x14:conditionalFormatting>
        <x14:conditionalFormatting xmlns:xm="http://schemas.microsoft.com/office/excel/2006/main">
          <x14:cfRule type="dataBar" id="{DE45C5F7-F823-4D41-93CF-A97894E062DE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4083E112-5EA2-304E-8B12-A3F9D075643E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L18:L25</xm:sqref>
        </x14:conditionalFormatting>
        <x14:conditionalFormatting xmlns:xm="http://schemas.microsoft.com/office/excel/2006/main">
          <x14:cfRule type="dataBar" id="{D7A7DAF1-A8A2-8941-BA7C-984CEC44E933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DA17701-00A5-5D4D-9D18-50521895A8D7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L32:L39</xm:sqref>
        </x14:conditionalFormatting>
        <x14:conditionalFormatting xmlns:xm="http://schemas.microsoft.com/office/excel/2006/main">
          <x14:cfRule type="dataBar" id="{54B73427-4CE4-E14B-A147-E83F676480BF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59D2E329-B9BB-9347-B5EF-4A7C2EF20841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T4:T11</xm:sqref>
        </x14:conditionalFormatting>
        <x14:conditionalFormatting xmlns:xm="http://schemas.microsoft.com/office/excel/2006/main">
          <x14:cfRule type="dataBar" id="{39FFC46B-5C1F-094C-AC1A-624FAFE78F33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9ED7B269-F764-D143-811C-31D1DD724429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T18:T25</xm:sqref>
        </x14:conditionalFormatting>
        <x14:conditionalFormatting xmlns:xm="http://schemas.microsoft.com/office/excel/2006/main">
          <x14:cfRule type="dataBar" id="{0013A7C0-9698-334D-968A-2ED4AF149209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T27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8499-03FE-3E4B-B062-04F8A8B42956}">
  <sheetPr>
    <tabColor theme="1" tint="0.499984740745262"/>
  </sheetPr>
  <dimension ref="B1:T41"/>
  <sheetViews>
    <sheetView topLeftCell="A27" zoomScale="110" zoomScaleNormal="160" zoomScaleSheetLayoutView="108" workbookViewId="0">
      <selection activeCell="E39" sqref="E39"/>
    </sheetView>
  </sheetViews>
  <sheetFormatPr defaultColWidth="10.875" defaultRowHeight="20.100000000000001" customHeight="1"/>
  <cols>
    <col min="2" max="2" width="14.125" bestFit="1" customWidth="1"/>
    <col min="3" max="3" width="16.5" bestFit="1" customWidth="1"/>
    <col min="4" max="4" width="14.625" bestFit="1" customWidth="1"/>
    <col min="5" max="5" width="11.25" bestFit="1" customWidth="1"/>
    <col min="6" max="6" width="9.875" bestFit="1" customWidth="1"/>
    <col min="7" max="7" width="8.875" bestFit="1" customWidth="1"/>
    <col min="8" max="8" width="3.25" customWidth="1"/>
    <col min="9" max="9" width="13.75" bestFit="1" customWidth="1"/>
    <col min="10" max="10" width="14.125" bestFit="1" customWidth="1"/>
    <col min="11" max="11" width="16.5" bestFit="1" customWidth="1"/>
    <col min="12" max="12" width="14.625" bestFit="1" customWidth="1"/>
    <col min="13" max="13" width="11.25" bestFit="1" customWidth="1"/>
    <col min="14" max="14" width="9.875" bestFit="1" customWidth="1"/>
    <col min="15" max="15" width="7.125" bestFit="1" customWidth="1"/>
    <col min="16" max="16" width="3.375" customWidth="1"/>
  </cols>
  <sheetData>
    <row r="1" spans="2:20" ht="20.100000000000001" customHeight="1" thickBot="1"/>
    <row r="2" spans="2:20" ht="20.100000000000001" customHeight="1" thickBot="1">
      <c r="B2" s="409" t="s">
        <v>98</v>
      </c>
      <c r="C2" s="410"/>
      <c r="D2" s="410"/>
      <c r="E2" s="410"/>
      <c r="F2" s="410"/>
      <c r="G2" s="411"/>
      <c r="J2" s="409" t="s">
        <v>99</v>
      </c>
      <c r="K2" s="410"/>
      <c r="L2" s="410"/>
      <c r="M2" s="410"/>
      <c r="N2" s="410"/>
      <c r="O2" s="411"/>
    </row>
    <row r="3" spans="2:20" ht="20.100000000000001" customHeight="1" thickBot="1">
      <c r="B3" s="211" t="s">
        <v>6</v>
      </c>
      <c r="C3" s="212" t="s">
        <v>104</v>
      </c>
      <c r="D3" s="212" t="s">
        <v>105</v>
      </c>
      <c r="E3" s="212" t="s">
        <v>98</v>
      </c>
      <c r="F3" s="213" t="s">
        <v>106</v>
      </c>
      <c r="G3" s="214" t="s">
        <v>107</v>
      </c>
      <c r="H3" s="6"/>
      <c r="J3" s="211" t="s">
        <v>6</v>
      </c>
      <c r="K3" s="212" t="s">
        <v>104</v>
      </c>
      <c r="L3" s="212" t="s">
        <v>105</v>
      </c>
      <c r="M3" s="212" t="s">
        <v>99</v>
      </c>
      <c r="N3" s="213" t="s">
        <v>106</v>
      </c>
      <c r="O3" s="214" t="s">
        <v>107</v>
      </c>
      <c r="R3" s="6"/>
      <c r="S3" s="46"/>
    </row>
    <row r="4" spans="2:20" ht="20.100000000000001" customHeight="1">
      <c r="B4" s="218">
        <v>1</v>
      </c>
      <c r="C4" s="224">
        <v>0</v>
      </c>
      <c r="D4" s="224">
        <f>'DROP 1'!C6</f>
        <v>1130</v>
      </c>
      <c r="E4" s="224">
        <f>'DROP 1'!D6</f>
        <v>1049</v>
      </c>
      <c r="F4" s="220" t="str">
        <f>IFERROR(IF(C4&lt;0,-(E4/C4-1),E4/C4-1),"-")</f>
        <v>-</v>
      </c>
      <c r="G4" s="221">
        <f>IFERROR(1+(E4-D4)/ABS(D4),"-")</f>
        <v>0.92831858407079648</v>
      </c>
      <c r="H4" s="199">
        <f>IF(G4&gt;=1,3,IF(G4&gt;=0.95,2,1))</f>
        <v>1</v>
      </c>
      <c r="J4" s="218">
        <v>1</v>
      </c>
      <c r="K4" s="219">
        <v>0</v>
      </c>
      <c r="L4" s="219">
        <f>'DROP 1'!C14</f>
        <v>-838.10000000000014</v>
      </c>
      <c r="M4" s="219">
        <f>'DROP 1'!D14</f>
        <v>-838.10000000000014</v>
      </c>
      <c r="N4" s="220" t="str">
        <f t="shared" ref="N4:N6" si="0">IFERROR(IF(K4&gt;0,-(M4/K4-1),M4/K4-1),"-")</f>
        <v>-</v>
      </c>
      <c r="O4" s="221">
        <f>IFERROR(1+(M4-L4)/ABS(L4),"-")</f>
        <v>1</v>
      </c>
      <c r="P4" s="199">
        <f>IF(O4&gt;=1,3,IF(O4&gt;=0.95,2,1))</f>
        <v>3</v>
      </c>
      <c r="S4" s="197"/>
    </row>
    <row r="5" spans="2:20" ht="20.100000000000001" customHeight="1">
      <c r="B5" s="225">
        <v>2</v>
      </c>
      <c r="C5" s="226">
        <f>E4</f>
        <v>1049</v>
      </c>
      <c r="D5" s="226">
        <f>'DROP 2'!C8</f>
        <v>1318</v>
      </c>
      <c r="E5" s="226">
        <f>'DROP 2'!D8</f>
        <v>1304</v>
      </c>
      <c r="F5" s="227">
        <f t="shared" ref="F5:F10" si="1">IFERROR(IF(C5&lt;0,-(E5/C5-1),E5/C5-1),"-")</f>
        <v>0.24308865586272632</v>
      </c>
      <c r="G5" s="228">
        <f>IFERROR(1+(E5-D5)/ABS(D5),"-")</f>
        <v>0.98937784522003036</v>
      </c>
      <c r="H5" s="199">
        <f>IF(G5&gt;=1,3,IF(G5&gt;=0.95,2,1))</f>
        <v>2</v>
      </c>
      <c r="J5" s="225">
        <v>2</v>
      </c>
      <c r="K5" s="229">
        <f>M4</f>
        <v>-838.10000000000014</v>
      </c>
      <c r="L5" s="229">
        <f>'DROP 2'!C14</f>
        <v>-1261.6949999999999</v>
      </c>
      <c r="M5" s="229">
        <f>'DROP 2'!D14</f>
        <v>-1261.6949999999999</v>
      </c>
      <c r="N5" s="227">
        <f t="shared" si="0"/>
        <v>0.50542298055124646</v>
      </c>
      <c r="O5" s="228">
        <f>IFERROR(1+(M5-L5)/ABS(L5),"-")</f>
        <v>1</v>
      </c>
      <c r="P5" s="199">
        <f>IF(O5&gt;=1,3,IF(O5&gt;=0.95,2,1))</f>
        <v>3</v>
      </c>
      <c r="S5" s="197"/>
    </row>
    <row r="6" spans="2:20" ht="20.100000000000001" customHeight="1">
      <c r="B6" s="222" t="s">
        <v>30</v>
      </c>
      <c r="C6" s="215">
        <f>E5</f>
        <v>1304</v>
      </c>
      <c r="D6" s="215">
        <f>'SUMMER DROP'!C8</f>
        <v>494</v>
      </c>
      <c r="E6" s="215">
        <f>'SUMMER DROP'!D8</f>
        <v>494</v>
      </c>
      <c r="F6" s="216">
        <f t="shared" si="1"/>
        <v>-0.62116564417177922</v>
      </c>
      <c r="G6" s="223">
        <f t="shared" ref="G6:G10" si="2">IFERROR(1+(E6-D6)/ABS(D6),"-")</f>
        <v>1</v>
      </c>
      <c r="H6" s="199">
        <f t="shared" ref="H6:H11" si="3">IF(G6&gt;=1,3,IF(G6&gt;=0.95,2,1))</f>
        <v>3</v>
      </c>
      <c r="J6" s="222" t="s">
        <v>30</v>
      </c>
      <c r="K6" s="217">
        <f>M5</f>
        <v>-1261.6949999999999</v>
      </c>
      <c r="L6" s="217">
        <f>'SUMMER DROP'!C14</f>
        <v>-211.17000000000002</v>
      </c>
      <c r="M6" s="217">
        <f>'SUMMER DROP'!D14</f>
        <v>-211.17000000000002</v>
      </c>
      <c r="N6" s="216">
        <f t="shared" si="0"/>
        <v>-0.8326299145197531</v>
      </c>
      <c r="O6" s="223">
        <f t="shared" ref="O6:O11" si="4">IFERROR(1+(M6-L6)/ABS(L6),"-")</f>
        <v>1</v>
      </c>
      <c r="P6" s="199">
        <f>IF(O6&gt;=1,3,IF(O6&gt;=0.95,2,1))</f>
        <v>3</v>
      </c>
      <c r="S6" s="197"/>
    </row>
    <row r="7" spans="2:20" ht="20.100000000000001" customHeight="1">
      <c r="B7" s="225" t="s">
        <v>15</v>
      </c>
      <c r="C7" s="226">
        <f>E6</f>
        <v>494</v>
      </c>
      <c r="D7" s="226">
        <f>'A33 X NO ART'!C8</f>
        <v>875</v>
      </c>
      <c r="E7" s="226">
        <f>'A33 X NO ART'!D8</f>
        <v>830</v>
      </c>
      <c r="F7" s="227">
        <f t="shared" si="1"/>
        <v>0.68016194331983804</v>
      </c>
      <c r="G7" s="228">
        <f t="shared" si="2"/>
        <v>0.94857142857142862</v>
      </c>
      <c r="H7" s="199">
        <f t="shared" si="3"/>
        <v>1</v>
      </c>
      <c r="J7" s="225" t="s">
        <v>15</v>
      </c>
      <c r="K7" s="229">
        <f>M6</f>
        <v>-211.17000000000002</v>
      </c>
      <c r="L7" s="229">
        <f>'A33 X NO ART'!C14</f>
        <v>-790.83</v>
      </c>
      <c r="M7" s="229">
        <f>'A33 X NO ART'!D14</f>
        <v>-790.83</v>
      </c>
      <c r="N7" s="227">
        <f>IFERROR(IF(K7&gt;0,-(M7/K7-1),M7/K7-1),"-")</f>
        <v>2.7449921863901121</v>
      </c>
      <c r="O7" s="228">
        <f t="shared" si="4"/>
        <v>1</v>
      </c>
      <c r="P7" s="199">
        <f>IF(O7&gt;=1,3,IF(O7&gt;=0.95,2,1))</f>
        <v>3</v>
      </c>
      <c r="S7" s="197"/>
    </row>
    <row r="8" spans="2:20" ht="20.100000000000001" customHeight="1">
      <c r="B8" s="222">
        <v>3</v>
      </c>
      <c r="C8" s="215">
        <f>E7</f>
        <v>830</v>
      </c>
      <c r="D8" s="215">
        <f>'DROP 3'!C8</f>
        <v>1014</v>
      </c>
      <c r="E8" s="215">
        <f>'DROP 3'!D8</f>
        <v>644</v>
      </c>
      <c r="F8" s="216">
        <f t="shared" si="1"/>
        <v>-0.22409638554216871</v>
      </c>
      <c r="G8" s="223">
        <f t="shared" si="2"/>
        <v>0.63510848126232744</v>
      </c>
      <c r="H8" s="199">
        <f t="shared" si="3"/>
        <v>1</v>
      </c>
      <c r="J8" s="222">
        <v>3</v>
      </c>
      <c r="K8" s="217">
        <f>M7</f>
        <v>-790.83</v>
      </c>
      <c r="L8" s="217">
        <f>'DROP 3'!C14</f>
        <v>-948.71</v>
      </c>
      <c r="M8" s="217">
        <f>'DROP 3'!D14</f>
        <v>-948.71</v>
      </c>
      <c r="N8" s="216">
        <f t="shared" ref="N8:N11" si="5">IFERROR(IF(K8&gt;0,-(M8/K8-1),M8/K8-1),"-")</f>
        <v>0.19963835464006174</v>
      </c>
      <c r="O8" s="223">
        <f t="shared" si="4"/>
        <v>1</v>
      </c>
      <c r="P8" s="199">
        <f>IF(O8&gt;=1,3,IF(O8&gt;=0.95,2,1))</f>
        <v>3</v>
      </c>
      <c r="S8" s="197"/>
    </row>
    <row r="9" spans="2:20" ht="20.100000000000001" customHeight="1">
      <c r="B9" s="225">
        <v>4</v>
      </c>
      <c r="C9" s="226">
        <f>E8</f>
        <v>644</v>
      </c>
      <c r="D9" s="226">
        <f>'DROP 4'!C8</f>
        <v>1476</v>
      </c>
      <c r="E9" s="226">
        <f>'DROP 4'!D8</f>
        <v>1267</v>
      </c>
      <c r="F9" s="227">
        <f>IFERROR(IF(C9&lt;0,-(E9/C9-1),E9/C9-1),"-")</f>
        <v>0.96739130434782616</v>
      </c>
      <c r="G9" s="228">
        <f t="shared" si="2"/>
        <v>0.85840108401084014</v>
      </c>
      <c r="H9" s="199">
        <f t="shared" si="3"/>
        <v>1</v>
      </c>
      <c r="J9" s="225">
        <v>4</v>
      </c>
      <c r="K9" s="229">
        <f>M8</f>
        <v>-948.71</v>
      </c>
      <c r="L9" s="229">
        <f>'DROP 4'!C14</f>
        <v>-1318.04</v>
      </c>
      <c r="M9" s="229">
        <f>'DROP 4'!D14</f>
        <v>-1318.04</v>
      </c>
      <c r="N9" s="227">
        <f t="shared" si="5"/>
        <v>0.38929704546173216</v>
      </c>
      <c r="O9" s="228">
        <f t="shared" si="4"/>
        <v>1</v>
      </c>
      <c r="P9" s="199">
        <f>IF(O9&gt;=1,3,IF(O9&gt;=0.95,2,1))</f>
        <v>3</v>
      </c>
      <c r="S9" s="197"/>
    </row>
    <row r="10" spans="2:20" ht="20.100000000000001" customHeight="1">
      <c r="B10" s="222">
        <v>5</v>
      </c>
      <c r="C10" s="215">
        <f>E9</f>
        <v>1267</v>
      </c>
      <c r="D10" s="215">
        <f>'DROP 5'!C8</f>
        <v>1221</v>
      </c>
      <c r="E10" s="215">
        <f>'DROP 5'!D8</f>
        <v>363</v>
      </c>
      <c r="F10" s="216">
        <f t="shared" si="1"/>
        <v>-0.71349644830307812</v>
      </c>
      <c r="G10" s="223">
        <f t="shared" si="2"/>
        <v>0.29729729729729726</v>
      </c>
      <c r="H10" s="201">
        <f t="shared" si="3"/>
        <v>1</v>
      </c>
      <c r="J10" s="222">
        <v>5</v>
      </c>
      <c r="K10" s="217">
        <f>M9</f>
        <v>-1318.04</v>
      </c>
      <c r="L10" s="217">
        <f>'DROP 5'!C14</f>
        <v>-942.27</v>
      </c>
      <c r="M10" s="217">
        <f>'DROP 5'!D14</f>
        <v>-942.27</v>
      </c>
      <c r="N10" s="216">
        <f t="shared" si="5"/>
        <v>-0.28509756911778095</v>
      </c>
      <c r="O10" s="223">
        <f t="shared" si="4"/>
        <v>1</v>
      </c>
      <c r="P10" s="199">
        <f>IF(O10&gt;=1,3,IF(O10&gt;=0.95,2,1))</f>
        <v>3</v>
      </c>
      <c r="S10" s="197"/>
      <c r="T10" s="197"/>
    </row>
    <row r="11" spans="2:20" ht="20.100000000000001" customHeight="1" thickBot="1">
      <c r="B11" s="231">
        <v>6</v>
      </c>
      <c r="C11" s="232">
        <f>E10</f>
        <v>363</v>
      </c>
      <c r="D11" s="232"/>
      <c r="E11" s="232"/>
      <c r="F11" s="233">
        <f t="shared" ref="F11" si="6">IFERROR(IF(C11&lt;0,-(E11/C11-1),E11/C11-1),"-")</f>
        <v>-1</v>
      </c>
      <c r="G11" s="234" t="str">
        <f t="shared" ref="G11:G12" si="7">IFERROR(1+(E11-D11)/ABS(D11),"-")</f>
        <v>-</v>
      </c>
      <c r="H11" s="199">
        <f t="shared" si="3"/>
        <v>3</v>
      </c>
      <c r="J11" s="231">
        <v>6</v>
      </c>
      <c r="K11" s="235">
        <f>M10</f>
        <v>-942.27</v>
      </c>
      <c r="L11" s="235"/>
      <c r="M11" s="235"/>
      <c r="N11" s="233">
        <f t="shared" si="5"/>
        <v>-1</v>
      </c>
      <c r="O11" s="234" t="str">
        <f t="shared" si="4"/>
        <v>-</v>
      </c>
      <c r="P11" s="199">
        <f>IF(O11&gt;=1,3,IF(O11&gt;=0.95,2,1))</f>
        <v>3</v>
      </c>
      <c r="S11" s="197"/>
      <c r="T11" s="197"/>
    </row>
    <row r="12" spans="2:20" ht="20.100000000000001" customHeight="1" thickBot="1">
      <c r="S12" s="197"/>
      <c r="T12" s="197"/>
    </row>
    <row r="13" spans="2:20" ht="20.100000000000001" customHeight="1" thickBot="1">
      <c r="B13" s="206" t="s">
        <v>113</v>
      </c>
      <c r="C13" s="207"/>
      <c r="D13" s="208">
        <f>SUM(D4:D11)</f>
        <v>7528</v>
      </c>
      <c r="E13" s="208">
        <f>SUM(E4:E11)</f>
        <v>5951</v>
      </c>
      <c r="F13" s="209"/>
      <c r="G13" s="210">
        <f>IFERROR(1+(E13-D13)/ABS(D13),"-")</f>
        <v>0.79051540913921359</v>
      </c>
      <c r="H13" s="199">
        <f>IF(G13&gt;=1,3,IF(G13&gt;=0.95,2,1))</f>
        <v>1</v>
      </c>
      <c r="J13" s="206" t="s">
        <v>113</v>
      </c>
      <c r="K13" s="207"/>
      <c r="L13" s="230">
        <f>SUM(L4:L11)</f>
        <v>-6310.8150000000005</v>
      </c>
      <c r="M13" s="230">
        <f>SUM(M4:M11)</f>
        <v>-6310.8150000000005</v>
      </c>
      <c r="N13" s="209"/>
      <c r="O13" s="210">
        <f>IFERROR(1+(M13-L13)/ABS(L13),"-")</f>
        <v>1</v>
      </c>
      <c r="P13" s="199">
        <f>IF(O13&gt;=1,3,IF(O13&gt;=0.95,2,1))</f>
        <v>3</v>
      </c>
      <c r="S13" s="197"/>
      <c r="T13" s="197"/>
    </row>
    <row r="15" spans="2:20" ht="20.100000000000001" customHeight="1" thickBot="1"/>
    <row r="16" spans="2:20" ht="20.100000000000001" customHeight="1" thickBot="1">
      <c r="B16" s="412" t="s">
        <v>110</v>
      </c>
      <c r="C16" s="413"/>
      <c r="D16" s="413"/>
      <c r="E16" s="413"/>
      <c r="F16" s="413"/>
      <c r="G16" s="414"/>
      <c r="J16" s="409" t="s">
        <v>114</v>
      </c>
      <c r="K16" s="410"/>
      <c r="L16" s="410"/>
      <c r="M16" s="410"/>
      <c r="N16" s="410"/>
      <c r="O16" s="411"/>
    </row>
    <row r="17" spans="2:18" ht="20.100000000000001" customHeight="1" thickBot="1">
      <c r="B17" s="211" t="s">
        <v>6</v>
      </c>
      <c r="C17" s="212" t="s">
        <v>104</v>
      </c>
      <c r="D17" s="212" t="s">
        <v>105</v>
      </c>
      <c r="E17" s="212" t="s">
        <v>110</v>
      </c>
      <c r="F17" s="213" t="s">
        <v>106</v>
      </c>
      <c r="G17" s="214" t="s">
        <v>107</v>
      </c>
      <c r="H17" s="6"/>
      <c r="J17" s="211" t="s">
        <v>6</v>
      </c>
      <c r="K17" s="212" t="s">
        <v>104</v>
      </c>
      <c r="L17" s="212" t="s">
        <v>105</v>
      </c>
      <c r="M17" s="212" t="s">
        <v>114</v>
      </c>
      <c r="N17" s="213" t="s">
        <v>106</v>
      </c>
      <c r="O17" s="214" t="s">
        <v>107</v>
      </c>
    </row>
    <row r="18" spans="2:18" ht="20.100000000000001" customHeight="1">
      <c r="B18" s="218">
        <v>1</v>
      </c>
      <c r="C18" s="219">
        <v>0</v>
      </c>
      <c r="D18" s="219">
        <f>'DROP 1'!C17</f>
        <v>291.89999999999986</v>
      </c>
      <c r="E18" s="219">
        <f>'DROP 1'!D17</f>
        <v>210.89999999999986</v>
      </c>
      <c r="F18" s="220" t="str">
        <f>IFERROR(IF(AND(C18&lt;0,E18&gt;0),-(E18/C18-1),IF(AND(C18&gt;0,E18&lt;0),E18/C18-1,IF(AND(C18&lt;0,E18&lt;0),-(E18/C18-1),E18/C18-1))),"-")</f>
        <v>-</v>
      </c>
      <c r="G18" s="221">
        <f>IFERROR(1+(E18-D18)/ABS(D18),"-")</f>
        <v>0.72250770811921883</v>
      </c>
      <c r="H18" s="199">
        <f>IF(G18&gt;=1,3,IF(G18&gt;=0.95,2,1))</f>
        <v>1</v>
      </c>
      <c r="J18" s="218">
        <v>1</v>
      </c>
      <c r="K18" s="220">
        <v>0</v>
      </c>
      <c r="L18" s="220">
        <f>'DROP 1'!C20</f>
        <v>0.74168141592920367</v>
      </c>
      <c r="M18" s="220">
        <f>'DROP 1'!D20</f>
        <v>0.79895138226882756</v>
      </c>
      <c r="N18" s="220" t="str">
        <f>IFERROR(CONCATENATE(FIXED(100*(M18-K18),1),"p.p."),"n.a.")</f>
        <v>79,9p.p.</v>
      </c>
      <c r="O18" s="221" t="str">
        <f>IFERROR(CONCATENATE(FIXED(100*(M18-L18),1),"p.p."),"n.a.")</f>
        <v>5,7p.p.</v>
      </c>
      <c r="P18" s="199">
        <f>IFERROR(IF(M18&lt;L18,3,IF(O18&gt;L18,1,2)),"-")</f>
        <v>1</v>
      </c>
      <c r="Q18" s="276">
        <f>ABS(L4/D4)-L18</f>
        <v>0</v>
      </c>
      <c r="R18" s="276">
        <f t="shared" ref="R18:R25" si="8">ABS(M4/E4)-M18</f>
        <v>0</v>
      </c>
    </row>
    <row r="19" spans="2:18" ht="20.100000000000001" customHeight="1">
      <c r="B19" s="225">
        <v>2</v>
      </c>
      <c r="C19" s="229">
        <f>E18</f>
        <v>210.89999999999986</v>
      </c>
      <c r="D19" s="229">
        <f>'DROP 2'!C17</f>
        <v>56.305000000000064</v>
      </c>
      <c r="E19" s="229">
        <f>'DROP 2'!D17</f>
        <v>42.305000000000064</v>
      </c>
      <c r="F19" s="227">
        <f t="shared" ref="F19:F25" si="9">IFERROR(IF(AND(C19&lt;0,E19&gt;0),-(E19/C19-1),IF(AND(C19&gt;0,E19&lt;0),E19/C19-1,IF(AND(C19&lt;0,E19&lt;0),-(E19/C19-1),E19/C19-1))),"-")</f>
        <v>-0.79940730203888055</v>
      </c>
      <c r="G19" s="228">
        <f>IFERROR(1+(E19-D19)/ABS(D19),"-")</f>
        <v>0.75135423141816915</v>
      </c>
      <c r="H19" s="199">
        <f>IF(G19&gt;=1,3,IF(G19&gt;=0.95,2,1))</f>
        <v>1</v>
      </c>
      <c r="J19" s="225">
        <v>2</v>
      </c>
      <c r="K19" s="227">
        <f>M18</f>
        <v>0.79895138226882756</v>
      </c>
      <c r="L19" s="227">
        <f>'DROP 2'!C20</f>
        <v>0.95727996965098627</v>
      </c>
      <c r="M19" s="227">
        <f>'DROP 2'!D20</f>
        <v>0.96755751533742329</v>
      </c>
      <c r="N19" s="227" t="str">
        <f t="shared" ref="N19:N25" si="10">IFERROR(CONCATENATE(FIXED(100*(M19-K19),1),"p.p."),"n.a.")</f>
        <v>16,9p.p.</v>
      </c>
      <c r="O19" s="228" t="str">
        <f t="shared" ref="O19:O27" si="11">IFERROR(CONCATENATE(FIXED(100*(M19-L19),1),"p.p."),"n.a.")</f>
        <v>1,0p.p.</v>
      </c>
      <c r="P19" s="199">
        <f t="shared" ref="P19:P27" si="12">IFERROR(IF(M19&lt;L19,3,IF(O19&gt;L19,1,2)),"-")</f>
        <v>1</v>
      </c>
      <c r="Q19" s="276">
        <f>ABS(L5/D5)-L19</f>
        <v>0</v>
      </c>
      <c r="R19" s="276">
        <f t="shared" si="8"/>
        <v>0</v>
      </c>
    </row>
    <row r="20" spans="2:18" ht="20.100000000000001" customHeight="1">
      <c r="B20" s="222" t="s">
        <v>30</v>
      </c>
      <c r="C20" s="217">
        <f>E19</f>
        <v>42.305000000000064</v>
      </c>
      <c r="D20" s="217">
        <f>'SUMMER DROP'!C17</f>
        <v>282.83</v>
      </c>
      <c r="E20" s="217">
        <f>'SUMMER DROP'!D17</f>
        <v>282.83</v>
      </c>
      <c r="F20" s="216">
        <f t="shared" si="9"/>
        <v>5.6854981680652301</v>
      </c>
      <c r="G20" s="223">
        <f t="shared" ref="G20:G25" si="13">IFERROR(1+(E20-D20)/ABS(D20),"-")</f>
        <v>1</v>
      </c>
      <c r="H20" s="199">
        <f t="shared" ref="H20:H25" si="14">IF(G20&gt;=1,3,IF(G20&gt;=0.95,2,1))</f>
        <v>3</v>
      </c>
      <c r="J20" s="222" t="s">
        <v>30</v>
      </c>
      <c r="K20" s="243">
        <f>M19</f>
        <v>0.96755751533742329</v>
      </c>
      <c r="L20" s="243">
        <f>'SUMMER DROP'!C20</f>
        <v>0.42746963562753038</v>
      </c>
      <c r="M20" s="243">
        <f>'SUMMER DROP'!D20</f>
        <v>0.42746963562753038</v>
      </c>
      <c r="N20" s="243" t="str">
        <f t="shared" si="10"/>
        <v>-54,0p.p.</v>
      </c>
      <c r="O20" s="244" t="str">
        <f t="shared" si="11"/>
        <v>0,0p.p.</v>
      </c>
      <c r="P20" s="199">
        <f t="shared" si="12"/>
        <v>1</v>
      </c>
      <c r="Q20" s="276">
        <f t="shared" ref="Q19:Q25" si="15">ABS(L6/D6)-L20</f>
        <v>0</v>
      </c>
      <c r="R20" s="276">
        <f t="shared" si="8"/>
        <v>0</v>
      </c>
    </row>
    <row r="21" spans="2:18" ht="20.100000000000001" customHeight="1">
      <c r="B21" s="225" t="s">
        <v>15</v>
      </c>
      <c r="C21" s="229">
        <f>E20</f>
        <v>282.83</v>
      </c>
      <c r="D21" s="229">
        <f>'A33 X NO ART'!C17</f>
        <v>84.169999999999959</v>
      </c>
      <c r="E21" s="229">
        <f>'A33 X NO ART'!D17</f>
        <v>39.169999999999959</v>
      </c>
      <c r="F21" s="227">
        <f t="shared" si="9"/>
        <v>-0.8615069122794613</v>
      </c>
      <c r="G21" s="228">
        <f t="shared" si="13"/>
        <v>0.46536770820957563</v>
      </c>
      <c r="H21" s="199">
        <f t="shared" si="14"/>
        <v>1</v>
      </c>
      <c r="J21" s="225" t="s">
        <v>15</v>
      </c>
      <c r="K21" s="227">
        <f>M20</f>
        <v>0.42746963562753038</v>
      </c>
      <c r="L21" s="227">
        <f>'A33 X NO ART'!C20</f>
        <v>0.90380571428571432</v>
      </c>
      <c r="M21" s="227">
        <f>'A33 X NO ART'!D20</f>
        <v>0.95280722891566272</v>
      </c>
      <c r="N21" s="227" t="str">
        <f t="shared" si="10"/>
        <v>52,5p.p.</v>
      </c>
      <c r="O21" s="228" t="str">
        <f t="shared" si="11"/>
        <v>4,9p.p.</v>
      </c>
      <c r="P21" s="199">
        <f t="shared" si="12"/>
        <v>1</v>
      </c>
      <c r="Q21" s="276">
        <f t="shared" si="15"/>
        <v>0</v>
      </c>
      <c r="R21" s="276">
        <f t="shared" si="8"/>
        <v>0</v>
      </c>
    </row>
    <row r="22" spans="2:18" ht="20.100000000000001" customHeight="1">
      <c r="B22" s="222">
        <v>3</v>
      </c>
      <c r="C22" s="217">
        <f>E21</f>
        <v>39.169999999999959</v>
      </c>
      <c r="D22" s="217">
        <f>'DROP 3'!C17</f>
        <v>65.289999999999964</v>
      </c>
      <c r="E22" s="217">
        <f>'DROP 3'!D17</f>
        <v>-304.71000000000004</v>
      </c>
      <c r="F22" s="216">
        <f t="shared" si="9"/>
        <v>-8.7791677304059323</v>
      </c>
      <c r="G22" s="223">
        <f t="shared" si="13"/>
        <v>-4.6670240465614983</v>
      </c>
      <c r="H22" s="199">
        <f t="shared" si="14"/>
        <v>1</v>
      </c>
      <c r="J22" s="222">
        <v>3</v>
      </c>
      <c r="K22" s="243">
        <f>M21</f>
        <v>0.95280722891566272</v>
      </c>
      <c r="L22" s="243">
        <f>'DROP 3'!C20</f>
        <v>0.93561143984220907</v>
      </c>
      <c r="M22" s="243">
        <f>'DROP 3'!D20</f>
        <v>1.4731521739130435</v>
      </c>
      <c r="N22" s="243" t="str">
        <f t="shared" si="10"/>
        <v>52,0p.p.</v>
      </c>
      <c r="O22" s="223" t="str">
        <f t="shared" si="11"/>
        <v>53,8p.p.</v>
      </c>
      <c r="P22" s="199">
        <f t="shared" si="12"/>
        <v>1</v>
      </c>
      <c r="Q22" s="276">
        <f t="shared" si="15"/>
        <v>0</v>
      </c>
      <c r="R22" s="276">
        <f t="shared" si="8"/>
        <v>0</v>
      </c>
    </row>
    <row r="23" spans="2:18" ht="20.100000000000001" customHeight="1">
      <c r="B23" s="225">
        <v>4</v>
      </c>
      <c r="C23" s="229">
        <f>E22</f>
        <v>-304.71000000000004</v>
      </c>
      <c r="D23" s="229">
        <f>'DROP 4'!C17</f>
        <v>157.96000000000004</v>
      </c>
      <c r="E23" s="229">
        <f>'DROP 4'!D17</f>
        <v>-51.039999999999964</v>
      </c>
      <c r="F23" s="227">
        <f t="shared" si="9"/>
        <v>0.83249647205539712</v>
      </c>
      <c r="G23" s="228">
        <f t="shared" si="13"/>
        <v>-0.32311977715877416</v>
      </c>
      <c r="H23" s="199">
        <f t="shared" si="14"/>
        <v>1</v>
      </c>
      <c r="J23" s="225">
        <v>4</v>
      </c>
      <c r="K23" s="227">
        <f>M22</f>
        <v>1.4731521739130435</v>
      </c>
      <c r="L23" s="227">
        <f>'DROP 4'!C20</f>
        <v>0.89298102981029803</v>
      </c>
      <c r="M23" s="227">
        <f>'DROP 4'!D20</f>
        <v>1.0402841357537489</v>
      </c>
      <c r="N23" s="227" t="str">
        <f t="shared" si="10"/>
        <v>-43,3p.p.</v>
      </c>
      <c r="O23" s="228" t="str">
        <f t="shared" si="11"/>
        <v>14,7p.p.</v>
      </c>
      <c r="P23" s="199">
        <f t="shared" si="12"/>
        <v>1</v>
      </c>
      <c r="Q23" s="276">
        <f t="shared" si="15"/>
        <v>0</v>
      </c>
      <c r="R23" s="276">
        <f t="shared" si="8"/>
        <v>0</v>
      </c>
    </row>
    <row r="24" spans="2:18" ht="20.100000000000001" customHeight="1">
      <c r="B24" s="222">
        <v>5</v>
      </c>
      <c r="C24" s="217">
        <f>E23</f>
        <v>-51.039999999999964</v>
      </c>
      <c r="D24" s="217">
        <f>'DROP 5'!C17</f>
        <v>278.73</v>
      </c>
      <c r="E24" s="217">
        <f>'DROP 5'!D17</f>
        <v>-579.27</v>
      </c>
      <c r="F24" s="216">
        <f t="shared" si="9"/>
        <v>-10.349333855799381</v>
      </c>
      <c r="G24" s="223">
        <f t="shared" si="13"/>
        <v>-2.0782477666559034</v>
      </c>
      <c r="H24" s="199">
        <f t="shared" si="14"/>
        <v>1</v>
      </c>
      <c r="J24" s="222">
        <v>5</v>
      </c>
      <c r="K24" s="243">
        <f>M23</f>
        <v>1.0402841357537489</v>
      </c>
      <c r="L24" s="243">
        <f>'DROP 5'!C20</f>
        <v>0.77171990171990168</v>
      </c>
      <c r="M24" s="243">
        <f>'DROP 5'!D20</f>
        <v>2.5957851239669423</v>
      </c>
      <c r="N24" s="243" t="str">
        <f t="shared" si="10"/>
        <v>155,6p.p.</v>
      </c>
      <c r="O24" s="244" t="str">
        <f t="shared" si="11"/>
        <v>182,4p.p.</v>
      </c>
      <c r="P24" s="199">
        <f t="shared" si="12"/>
        <v>1</v>
      </c>
      <c r="Q24" s="276">
        <f t="shared" si="15"/>
        <v>0</v>
      </c>
      <c r="R24" s="276">
        <f t="shared" si="8"/>
        <v>0</v>
      </c>
    </row>
    <row r="25" spans="2:18" ht="20.100000000000001" customHeight="1" thickBot="1">
      <c r="B25" s="231">
        <v>6</v>
      </c>
      <c r="C25" s="235">
        <f>E24</f>
        <v>-579.27</v>
      </c>
      <c r="D25" s="235"/>
      <c r="E25" s="235"/>
      <c r="F25" s="233">
        <f t="shared" si="9"/>
        <v>-1</v>
      </c>
      <c r="G25" s="234" t="str">
        <f t="shared" si="13"/>
        <v>-</v>
      </c>
      <c r="H25" s="199">
        <f t="shared" si="14"/>
        <v>3</v>
      </c>
      <c r="J25" s="231">
        <v>6</v>
      </c>
      <c r="K25" s="233">
        <f>M24</f>
        <v>2.5957851239669423</v>
      </c>
      <c r="L25" s="233"/>
      <c r="M25" s="233"/>
      <c r="N25" s="233" t="str">
        <f t="shared" si="10"/>
        <v>-259,6p.p.</v>
      </c>
      <c r="O25" s="234" t="str">
        <f t="shared" si="11"/>
        <v>0,0p.p.</v>
      </c>
      <c r="P25" s="199">
        <f t="shared" si="12"/>
        <v>1</v>
      </c>
      <c r="Q25" s="276" t="e">
        <f t="shared" si="15"/>
        <v>#DIV/0!</v>
      </c>
      <c r="R25" s="276" t="e">
        <f t="shared" si="8"/>
        <v>#DIV/0!</v>
      </c>
    </row>
    <row r="26" spans="2:18" ht="20.100000000000001" customHeight="1" thickBot="1">
      <c r="K26" s="197"/>
      <c r="L26" s="197"/>
      <c r="M26" s="197"/>
      <c r="P26" s="199"/>
      <c r="Q26" s="276"/>
      <c r="R26" s="276"/>
    </row>
    <row r="27" spans="2:18" ht="20.100000000000001" customHeight="1" thickBot="1">
      <c r="B27" s="206" t="s">
        <v>113</v>
      </c>
      <c r="C27" s="207"/>
      <c r="D27" s="230">
        <f>SUM(D18:D25)</f>
        <v>1217.1849999999999</v>
      </c>
      <c r="E27" s="230">
        <f>SUM(E18:E25)</f>
        <v>-359.81500000000017</v>
      </c>
      <c r="F27" s="209"/>
      <c r="G27" s="210">
        <f>IFERROR(1+(E27-D27)/ABS(D27),"-")</f>
        <v>-0.29561241717569642</v>
      </c>
      <c r="H27" s="199">
        <f>IF(G27&gt;=1,3,IF(G27&gt;=0.95,2,1))</f>
        <v>1</v>
      </c>
      <c r="J27" s="206" t="s">
        <v>113</v>
      </c>
      <c r="K27" s="242"/>
      <c r="L27" s="242">
        <f>ABS(L13/D13)</f>
        <v>0.83831230074388952</v>
      </c>
      <c r="M27" s="242">
        <f>ABS(M13/E13)</f>
        <v>1.0604629474037979</v>
      </c>
      <c r="N27" s="209"/>
      <c r="O27" s="210" t="str">
        <f>IFERROR(CONCATENATE(FIXED(100*(M27-L27),1),"p.p."),"n.a.")</f>
        <v>22,2p.p.</v>
      </c>
      <c r="P27" s="199">
        <f t="shared" si="12"/>
        <v>1</v>
      </c>
      <c r="Q27" s="276">
        <f t="shared" ref="Q26:Q27" si="16">ABS(L13/D13)-L27</f>
        <v>0</v>
      </c>
      <c r="R27" s="276">
        <f t="shared" ref="R26:R27" si="17">ABS(M13/E13)-M27</f>
        <v>0</v>
      </c>
    </row>
    <row r="29" spans="2:18" ht="20.100000000000001" customHeight="1" thickBot="1"/>
    <row r="30" spans="2:18" ht="20.100000000000001" customHeight="1" thickBot="1">
      <c r="B30" s="412" t="s">
        <v>4</v>
      </c>
      <c r="C30" s="413"/>
      <c r="D30" s="413"/>
      <c r="E30" s="413"/>
      <c r="F30" s="413"/>
      <c r="G30" s="414"/>
    </row>
    <row r="31" spans="2:18" ht="20.100000000000001" customHeight="1" thickBot="1">
      <c r="B31" s="211" t="s">
        <v>6</v>
      </c>
      <c r="C31" s="212" t="s">
        <v>104</v>
      </c>
      <c r="D31" s="212" t="s">
        <v>105</v>
      </c>
      <c r="E31" s="212" t="s">
        <v>4</v>
      </c>
      <c r="F31" s="213" t="s">
        <v>106</v>
      </c>
      <c r="G31" s="214" t="s">
        <v>107</v>
      </c>
      <c r="H31" s="6"/>
    </row>
    <row r="32" spans="2:18" ht="20.100000000000001" customHeight="1">
      <c r="B32" s="218">
        <v>1</v>
      </c>
      <c r="C32" s="236">
        <v>0</v>
      </c>
      <c r="D32" s="236">
        <f>'DROP 1'!T9</f>
        <v>26</v>
      </c>
      <c r="E32" s="236">
        <f>'DROP 1'!K24</f>
        <v>25</v>
      </c>
      <c r="F32" s="220" t="str">
        <f>IFERROR(IF(AND(C32&lt;0,E32&gt;0),-(E32/C32-1),IF(AND(C32&gt;0,E32&lt;0),E32/C32-1,IF(AND(C32&lt;0,E32&lt;0),-(E32/C32-1),E32/C32-1))),"-")</f>
        <v>-</v>
      </c>
      <c r="G32" s="221">
        <f>IFERROR(1+(E32-D32)/ABS(D32),"-")</f>
        <v>0.96153846153846156</v>
      </c>
      <c r="H32" s="199">
        <f>IF(G32&gt;=1,3,IF(G32&gt;=0.95,2,1))</f>
        <v>2</v>
      </c>
    </row>
    <row r="33" spans="2:8" ht="20.100000000000001" customHeight="1">
      <c r="B33" s="225">
        <v>2</v>
      </c>
      <c r="C33" s="237">
        <f>E32</f>
        <v>25</v>
      </c>
      <c r="D33" s="237">
        <f>'DROP 2'!T9+'DROP 2'!T18</f>
        <v>38</v>
      </c>
      <c r="E33" s="237">
        <f>'DROP 2'!K24</f>
        <v>38</v>
      </c>
      <c r="F33" s="227">
        <f t="shared" ref="F33:F39" si="18">IFERROR(IF(AND(C33&lt;0,E33&gt;0),-(E33/C33-1),IF(AND(C33&gt;0,E33&lt;0),E33/C33-1,IF(AND(C33&lt;0,E33&lt;0),-(E33/C33-1),E33/C33-1))),"-")</f>
        <v>0.52</v>
      </c>
      <c r="G33" s="228">
        <f>IFERROR(1+(E33-D33)/ABS(D33),"-")</f>
        <v>1</v>
      </c>
      <c r="H33" s="199">
        <f>IF(G33&gt;=1,3,IF(G33&gt;=0.95,2,1))</f>
        <v>3</v>
      </c>
    </row>
    <row r="34" spans="2:8" ht="20.100000000000001" customHeight="1">
      <c r="B34" s="222" t="s">
        <v>30</v>
      </c>
      <c r="C34" s="238">
        <f>E33</f>
        <v>38</v>
      </c>
      <c r="D34" s="238">
        <f>'SUMMER DROP'!T9</f>
        <v>26</v>
      </c>
      <c r="E34" s="238">
        <f>'SUMMER DROP'!K24</f>
        <v>26</v>
      </c>
      <c r="F34" s="216">
        <f t="shared" si="18"/>
        <v>-0.31578947368421051</v>
      </c>
      <c r="G34" s="223">
        <f t="shared" ref="G34:G39" si="19">IFERROR(1+(E34-D34)/ABS(D34),"-")</f>
        <v>1</v>
      </c>
      <c r="H34" s="199">
        <f t="shared" ref="H34:H39" si="20">IF(G34&gt;=1,3,IF(G34&gt;=0.95,2,1))</f>
        <v>3</v>
      </c>
    </row>
    <row r="35" spans="2:8" ht="20.100000000000001" customHeight="1">
      <c r="B35" s="225" t="s">
        <v>15</v>
      </c>
      <c r="C35" s="237">
        <f>E34</f>
        <v>26</v>
      </c>
      <c r="D35" s="237">
        <f>'A33 X NO ART'!T9</f>
        <v>25</v>
      </c>
      <c r="E35" s="237">
        <f>'A33 X NO ART'!K24</f>
        <v>25</v>
      </c>
      <c r="F35" s="227">
        <f t="shared" si="18"/>
        <v>-3.8461538461538436E-2</v>
      </c>
      <c r="G35" s="228">
        <f t="shared" si="19"/>
        <v>1</v>
      </c>
      <c r="H35" s="199">
        <f t="shared" si="20"/>
        <v>3</v>
      </c>
    </row>
    <row r="36" spans="2:8" ht="20.100000000000001" customHeight="1">
      <c r="B36" s="222">
        <v>3</v>
      </c>
      <c r="C36" s="238">
        <f>E35</f>
        <v>25</v>
      </c>
      <c r="D36" s="238">
        <f>'DROP 3'!T9</f>
        <v>22</v>
      </c>
      <c r="E36" s="238">
        <f>'DROP 3'!K24</f>
        <v>14</v>
      </c>
      <c r="F36" s="216">
        <f t="shared" si="18"/>
        <v>-0.43999999999999995</v>
      </c>
      <c r="G36" s="223">
        <f t="shared" si="19"/>
        <v>0.63636363636363635</v>
      </c>
      <c r="H36" s="199">
        <f t="shared" si="20"/>
        <v>1</v>
      </c>
    </row>
    <row r="37" spans="2:8" ht="20.100000000000001" customHeight="1">
      <c r="B37" s="225">
        <v>4</v>
      </c>
      <c r="C37" s="237">
        <f>E36</f>
        <v>14</v>
      </c>
      <c r="D37" s="237">
        <f>'DROP 4'!T9</f>
        <v>39</v>
      </c>
      <c r="E37" s="237">
        <f>'DROP 4'!K24</f>
        <v>39</v>
      </c>
      <c r="F37" s="227">
        <f t="shared" si="18"/>
        <v>1.7857142857142856</v>
      </c>
      <c r="G37" s="228">
        <f t="shared" si="19"/>
        <v>1</v>
      </c>
      <c r="H37" s="199">
        <f t="shared" si="20"/>
        <v>3</v>
      </c>
    </row>
    <row r="38" spans="2:8" ht="20.100000000000001" customHeight="1">
      <c r="B38" s="222">
        <v>5</v>
      </c>
      <c r="C38" s="238">
        <f>E37</f>
        <v>39</v>
      </c>
      <c r="D38" s="238">
        <f>'DROP 5'!T9</f>
        <v>37</v>
      </c>
      <c r="E38" s="238">
        <f>'DROP 5'!K24</f>
        <v>27</v>
      </c>
      <c r="F38" s="216">
        <f t="shared" si="18"/>
        <v>-0.30769230769230771</v>
      </c>
      <c r="G38" s="223">
        <f t="shared" si="19"/>
        <v>0.72972972972972971</v>
      </c>
      <c r="H38" s="199">
        <f t="shared" si="20"/>
        <v>1</v>
      </c>
    </row>
    <row r="39" spans="2:8" ht="20.100000000000001" customHeight="1" thickBot="1">
      <c r="B39" s="231">
        <v>6</v>
      </c>
      <c r="C39" s="239">
        <f>E38</f>
        <v>27</v>
      </c>
      <c r="D39" s="239"/>
      <c r="E39" s="239"/>
      <c r="F39" s="233">
        <f t="shared" si="18"/>
        <v>-1</v>
      </c>
      <c r="G39" s="234" t="str">
        <f t="shared" si="19"/>
        <v>-</v>
      </c>
      <c r="H39" s="199">
        <f t="shared" si="20"/>
        <v>3</v>
      </c>
    </row>
    <row r="40" spans="2:8" ht="20.100000000000001" customHeight="1" thickBot="1">
      <c r="C40" s="240"/>
      <c r="D40" s="240"/>
      <c r="E40" s="240"/>
    </row>
    <row r="41" spans="2:8" ht="20.100000000000001" customHeight="1" thickBot="1">
      <c r="B41" s="206" t="s">
        <v>113</v>
      </c>
      <c r="C41" s="241"/>
      <c r="D41" s="241">
        <f>SUM(D32:D39)</f>
        <v>213</v>
      </c>
      <c r="E41" s="241">
        <f>SUM(E32:E39)</f>
        <v>194</v>
      </c>
      <c r="F41" s="209"/>
      <c r="G41" s="210">
        <f>IFERROR(1+(E41-D41)/ABS(D41),"-")</f>
        <v>0.91079812206572774</v>
      </c>
      <c r="H41" s="199">
        <f>IF(G41&gt;=1,3,IF(G41&gt;=0.95,2,1))</f>
        <v>1</v>
      </c>
    </row>
  </sheetData>
  <mergeCells count="5">
    <mergeCell ref="B2:G2"/>
    <mergeCell ref="J2:O2"/>
    <mergeCell ref="B16:G16"/>
    <mergeCell ref="B30:G30"/>
    <mergeCell ref="J16:O16"/>
  </mergeCells>
  <conditionalFormatting sqref="F4:F11">
    <cfRule type="dataBar" priority="6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{CE1F4CB3-3A8B-6349-80EC-16B1EEB94733}</x14:id>
        </ext>
      </extLst>
    </cfRule>
  </conditionalFormatting>
  <conditionalFormatting sqref="F13">
    <cfRule type="dataBar" priority="2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{E84BD539-C0D6-7949-92C2-CA6437203C6F}</x14:id>
        </ext>
      </extLst>
    </cfRule>
  </conditionalFormatting>
  <conditionalFormatting sqref="F18:F25">
    <cfRule type="dataBar" priority="9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{B25C0BE6-1AD0-7548-8A72-41DFE5608891}</x14:id>
        </ext>
      </extLst>
    </cfRule>
  </conditionalFormatting>
  <conditionalFormatting sqref="F27">
    <cfRule type="dataBar" priority="10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{8168B2F7-1C24-9C4F-8641-AD56B81BF6AF}</x14:id>
        </ext>
      </extLst>
    </cfRule>
  </conditionalFormatting>
  <conditionalFormatting sqref="F32:F39">
    <cfRule type="dataBar" priority="4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{98F5D699-2ACB-6D4C-9289-4E671F23D2D6}</x14:id>
        </ext>
      </extLst>
    </cfRule>
  </conditionalFormatting>
  <conditionalFormatting sqref="F41">
    <cfRule type="dataBar" priority="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{67A1648D-BABE-324E-9194-126DD2625EBA}</x14:id>
        </ext>
      </extLst>
    </cfRule>
  </conditionalFormatting>
  <conditionalFormatting sqref="H4:H11 H13">
    <cfRule type="iconSet" priority="21">
      <iconSet showValue="0">
        <cfvo type="percent" val="0"/>
        <cfvo type="num" val="2"/>
        <cfvo type="num" val="3"/>
      </iconSet>
    </cfRule>
  </conditionalFormatting>
  <conditionalFormatting sqref="H18:H25 H27">
    <cfRule type="iconSet" priority="15">
      <iconSet showValue="0">
        <cfvo type="percent" val="0"/>
        <cfvo type="num" val="2"/>
        <cfvo type="num" val="3"/>
      </iconSet>
    </cfRule>
  </conditionalFormatting>
  <conditionalFormatting sqref="H32:H39 H41">
    <cfRule type="iconSet" priority="13">
      <iconSet showValue="0">
        <cfvo type="percent" val="0"/>
        <cfvo type="num" val="2"/>
        <cfvo type="num" val="3"/>
      </iconSet>
    </cfRule>
  </conditionalFormatting>
  <conditionalFormatting sqref="N4:N11">
    <cfRule type="dataBar" priority="8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{BCD86B1A-344B-D74C-8F42-57AB87969A1E}</x14:id>
        </ext>
      </extLst>
    </cfRule>
  </conditionalFormatting>
  <conditionalFormatting sqref="N13">
    <cfRule type="dataBar" priority="1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{9DAF0F40-00ED-D243-BF02-500D5AC8F306}</x14:id>
        </ext>
      </extLst>
    </cfRule>
  </conditionalFormatting>
  <conditionalFormatting sqref="N18:N25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{48D46629-9C86-D94E-B7D7-952AAEDFDAE3}</x14:id>
        </ext>
      </extLst>
    </cfRule>
  </conditionalFormatting>
  <conditionalFormatting sqref="N27">
    <cfRule type="dataBar" priority="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{C92682DC-5BE7-104A-BD8F-103248A01075}</x14:id>
        </ext>
      </extLst>
    </cfRule>
  </conditionalFormatting>
  <conditionalFormatting sqref="P4:P11 P13">
    <cfRule type="iconSet" priority="17">
      <iconSet showValue="0">
        <cfvo type="percent" val="0"/>
        <cfvo type="num" val="2"/>
        <cfvo type="num" val="3"/>
      </iconSet>
    </cfRule>
  </conditionalFormatting>
  <conditionalFormatting sqref="P18:P27">
    <cfRule type="iconSet" priority="3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1F4CB3-3A8B-6349-80EC-16B1EEB94733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F4:F11</xm:sqref>
        </x14:conditionalFormatting>
        <x14:conditionalFormatting xmlns:xm="http://schemas.microsoft.com/office/excel/2006/main">
          <x14:cfRule type="dataBar" id="{E84BD539-C0D6-7949-92C2-CA6437203C6F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B25C0BE6-1AD0-7548-8A72-41DFE5608891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F18:F25</xm:sqref>
        </x14:conditionalFormatting>
        <x14:conditionalFormatting xmlns:xm="http://schemas.microsoft.com/office/excel/2006/main">
          <x14:cfRule type="dataBar" id="{8168B2F7-1C24-9C4F-8641-AD56B81BF6AF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98F5D699-2ACB-6D4C-9289-4E671F23D2D6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F32:F39</xm:sqref>
        </x14:conditionalFormatting>
        <x14:conditionalFormatting xmlns:xm="http://schemas.microsoft.com/office/excel/2006/main">
          <x14:cfRule type="dataBar" id="{67A1648D-BABE-324E-9194-126DD2625EBA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BCD86B1A-344B-D74C-8F42-57AB87969A1E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N4:N11</xm:sqref>
        </x14:conditionalFormatting>
        <x14:conditionalFormatting xmlns:xm="http://schemas.microsoft.com/office/excel/2006/main">
          <x14:cfRule type="dataBar" id="{9DAF0F40-00ED-D243-BF02-500D5AC8F306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48D46629-9C86-D94E-B7D7-952AAEDFDAE3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N18:N25</xm:sqref>
        </x14:conditionalFormatting>
        <x14:conditionalFormatting xmlns:xm="http://schemas.microsoft.com/office/excel/2006/main">
          <x14:cfRule type="dataBar" id="{C92682DC-5BE7-104A-BD8F-103248A01075}">
            <x14:dataBar minLength="0" maxLength="100" border="1" direction="leftToRight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C00000"/>
              <x14:axisColor rgb="FF000000"/>
            </x14:dataBar>
          </x14:cfRule>
          <xm:sqref>N27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6F16-D363-D94A-85B1-3D973089A93A}">
  <sheetPr>
    <tabColor theme="3" tint="0.79998168889431442"/>
  </sheetPr>
  <dimension ref="A1:AI99"/>
  <sheetViews>
    <sheetView showGridLines="0" zoomScale="90" zoomScaleNormal="50" workbookViewId="0">
      <selection activeCell="C11" sqref="C11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</cols>
  <sheetData>
    <row r="1" spans="2:35" ht="15.75" thickBot="1"/>
    <row r="2" spans="2:35" ht="15.75" thickBot="1">
      <c r="B2" s="402" t="s">
        <v>115</v>
      </c>
      <c r="C2" s="403"/>
      <c r="D2" s="403"/>
      <c r="S2" s="331" t="s">
        <v>116</v>
      </c>
      <c r="T2" s="213" t="s">
        <v>117</v>
      </c>
      <c r="U2" s="213" t="s">
        <v>16</v>
      </c>
      <c r="V2" s="213" t="s">
        <v>13</v>
      </c>
      <c r="W2" s="213" t="s">
        <v>118</v>
      </c>
      <c r="X2" s="213" t="s">
        <v>4</v>
      </c>
      <c r="Y2" s="213" t="s">
        <v>119</v>
      </c>
      <c r="Z2" s="213" t="s">
        <v>103</v>
      </c>
      <c r="AA2" s="214" t="s">
        <v>113</v>
      </c>
      <c r="AC2" s="315" t="s">
        <v>120</v>
      </c>
      <c r="AD2" s="202" t="s">
        <v>121</v>
      </c>
      <c r="AE2" s="202" t="s">
        <v>16</v>
      </c>
      <c r="AF2" s="202" t="s">
        <v>13</v>
      </c>
      <c r="AG2" s="202" t="s">
        <v>118</v>
      </c>
      <c r="AH2" s="202" t="s">
        <v>4</v>
      </c>
      <c r="AI2" s="203" t="s">
        <v>113</v>
      </c>
    </row>
    <row r="3" spans="2:35" ht="15.75" thickBot="1">
      <c r="B3" s="404"/>
      <c r="C3" s="405"/>
      <c r="D3" s="405"/>
      <c r="S3" s="354"/>
      <c r="T3" s="355"/>
      <c r="U3" s="356"/>
      <c r="V3" s="356"/>
      <c r="W3" s="356"/>
      <c r="X3" s="311">
        <f>SUM(U3:W3)</f>
        <v>0</v>
      </c>
      <c r="Y3" s="332" t="str">
        <f>IFERROR($AA$12/$X$9,"-")</f>
        <v>-</v>
      </c>
      <c r="Z3" s="375" t="str">
        <f>IFERROR(T3+Y3,"-")</f>
        <v>-</v>
      </c>
      <c r="AA3" s="251" t="str">
        <f>IFERROR(X3*Z3,"-")</f>
        <v>-</v>
      </c>
      <c r="AC3" s="302">
        <f>$S$3</f>
        <v>0</v>
      </c>
      <c r="AD3" s="309">
        <f>T40</f>
        <v>0</v>
      </c>
      <c r="AE3" s="310">
        <f>U40-U49</f>
        <v>0</v>
      </c>
      <c r="AF3" s="310">
        <f>V40-V49</f>
        <v>0</v>
      </c>
      <c r="AG3" s="310">
        <f>W40-W49</f>
        <v>0</v>
      </c>
      <c r="AH3" s="310">
        <f>SUM(AE3:AG3)</f>
        <v>0</v>
      </c>
      <c r="AI3" s="252">
        <f>IFERROR(AD3*AH3,"-")</f>
        <v>0</v>
      </c>
    </row>
    <row r="4" spans="2:35" ht="15.75" thickBot="1">
      <c r="B4" s="63"/>
      <c r="C4" s="63"/>
      <c r="D4" s="63"/>
      <c r="S4" s="357"/>
      <c r="T4" s="358"/>
      <c r="U4" s="359"/>
      <c r="V4" s="359"/>
      <c r="W4" s="359"/>
      <c r="X4" s="310">
        <f>SUM(U4:W4)</f>
        <v>0</v>
      </c>
      <c r="Y4" s="309" t="str">
        <f>IFERROR($AA$12/$X$9,"-")</f>
        <v>-</v>
      </c>
      <c r="Z4" s="309" t="str">
        <f>IFERROR(T4+Y4,"-")</f>
        <v>-</v>
      </c>
      <c r="AA4" s="252" t="str">
        <f t="shared" ref="AA4:AA8" si="0">IFERROR(X4*Z4,"-")</f>
        <v>-</v>
      </c>
      <c r="AC4" s="302">
        <f>$S$4</f>
        <v>0</v>
      </c>
      <c r="AD4" s="309">
        <f>T41</f>
        <v>0</v>
      </c>
      <c r="AE4" s="310">
        <f>U41-U50</f>
        <v>0</v>
      </c>
      <c r="AF4" s="310">
        <f>V41-V50</f>
        <v>0</v>
      </c>
      <c r="AG4" s="310">
        <f>W41-W50</f>
        <v>0</v>
      </c>
      <c r="AH4" s="310">
        <f>SUM(AE4:AG4)</f>
        <v>0</v>
      </c>
      <c r="AI4" s="252">
        <f>IFERROR(AD4*AH4,"-")</f>
        <v>0</v>
      </c>
    </row>
    <row r="5" spans="2:35" ht="15.75" thickBot="1">
      <c r="B5" s="63"/>
      <c r="C5" s="300" t="s">
        <v>122</v>
      </c>
      <c r="D5" s="301" t="s">
        <v>123</v>
      </c>
      <c r="S5" s="357"/>
      <c r="T5" s="358"/>
      <c r="U5" s="359"/>
      <c r="V5" s="359"/>
      <c r="W5" s="359"/>
      <c r="X5" s="310">
        <f t="shared" ref="X5:X7" si="1">SUM(U5:W5)</f>
        <v>0</v>
      </c>
      <c r="Y5" s="309" t="str">
        <f>IFERROR($AA$12/$X$9,"-")</f>
        <v>-</v>
      </c>
      <c r="Z5" s="309" t="str">
        <f>IFERROR(T5+Y5,"-")</f>
        <v>-</v>
      </c>
      <c r="AA5" s="252" t="str">
        <f t="shared" si="0"/>
        <v>-</v>
      </c>
      <c r="AC5" s="302">
        <f>$S$5</f>
        <v>0</v>
      </c>
      <c r="AD5" s="309">
        <f>T42</f>
        <v>0</v>
      </c>
      <c r="AE5" s="310">
        <f>U42-U51</f>
        <v>0</v>
      </c>
      <c r="AF5" s="310">
        <f>V42-V51</f>
        <v>0</v>
      </c>
      <c r="AG5" s="310">
        <f>W42-W51</f>
        <v>0</v>
      </c>
      <c r="AH5" s="310">
        <f>SUM(AE5:AG5)</f>
        <v>0</v>
      </c>
      <c r="AI5" s="252">
        <f>IFERROR(AD5*AH5,"-")</f>
        <v>0</v>
      </c>
    </row>
    <row r="6" spans="2:35">
      <c r="B6" s="270" t="s">
        <v>98</v>
      </c>
      <c r="C6" s="266">
        <f>AI9</f>
        <v>0</v>
      </c>
      <c r="D6" s="267">
        <f>SUM(P27:$P$61)</f>
        <v>0</v>
      </c>
      <c r="S6" s="357"/>
      <c r="T6" s="358"/>
      <c r="U6" s="359"/>
      <c r="V6" s="359"/>
      <c r="W6" s="359"/>
      <c r="X6" s="310">
        <f t="shared" si="1"/>
        <v>0</v>
      </c>
      <c r="Y6" s="309" t="str">
        <f>IFERROR($AA$12/$X$9,"-")</f>
        <v>-</v>
      </c>
      <c r="Z6" s="309" t="str">
        <f>IFERROR(T6+Y6,"-")</f>
        <v>-</v>
      </c>
      <c r="AA6" s="252" t="str">
        <f t="shared" si="0"/>
        <v>-</v>
      </c>
      <c r="AC6" s="302">
        <f>$S$6</f>
        <v>0</v>
      </c>
      <c r="AD6" s="309">
        <f>T43</f>
        <v>0</v>
      </c>
      <c r="AE6" s="310">
        <f>U43-U52</f>
        <v>0</v>
      </c>
      <c r="AF6" s="310">
        <f>V43-V52</f>
        <v>0</v>
      </c>
      <c r="AG6" s="310">
        <f>W43-W52</f>
        <v>0</v>
      </c>
      <c r="AH6" s="310">
        <f>SUM(AE6:AG6)</f>
        <v>0</v>
      </c>
      <c r="AI6" s="252">
        <f>IFERROR(AD6*AH6,"-")</f>
        <v>0</v>
      </c>
    </row>
    <row r="7" spans="2:35">
      <c r="B7" s="271" t="s">
        <v>124</v>
      </c>
      <c r="C7" s="268">
        <v>0</v>
      </c>
      <c r="D7" s="269"/>
      <c r="S7" s="343"/>
      <c r="T7" s="359"/>
      <c r="U7" s="359"/>
      <c r="V7" s="359"/>
      <c r="W7" s="359"/>
      <c r="X7" s="310">
        <f t="shared" si="1"/>
        <v>0</v>
      </c>
      <c r="Y7" s="309" t="str">
        <f>IFERROR($AA$12/$X$9,"-")</f>
        <v>-</v>
      </c>
      <c r="Z7" s="309" t="str">
        <f>IFERROR(T7+Y7,"-")</f>
        <v>-</v>
      </c>
      <c r="AA7" s="252" t="str">
        <f t="shared" si="0"/>
        <v>-</v>
      </c>
      <c r="AC7" s="278"/>
      <c r="AD7" s="310"/>
      <c r="AE7" s="310">
        <f>U44-U53</f>
        <v>0</v>
      </c>
      <c r="AF7" s="310">
        <f>V44-V53</f>
        <v>0</v>
      </c>
      <c r="AG7" s="310">
        <f>W44-W53</f>
        <v>0</v>
      </c>
      <c r="AH7" s="310">
        <f>SUM(AE7:AG7)</f>
        <v>0</v>
      </c>
      <c r="AI7" s="323">
        <f>IFERROR(AD7*AH7,"-")</f>
        <v>0</v>
      </c>
    </row>
    <row r="8" spans="2:35" ht="15.75" thickBot="1">
      <c r="B8" s="273" t="s">
        <v>125</v>
      </c>
      <c r="C8" s="257">
        <f>SUM(C6:C7)</f>
        <v>0</v>
      </c>
      <c r="D8" s="258">
        <f>SUM(D6:D7)</f>
        <v>0</v>
      </c>
      <c r="S8" s="347"/>
      <c r="T8" s="360"/>
      <c r="U8" s="360"/>
      <c r="V8" s="360"/>
      <c r="W8" s="360"/>
      <c r="X8" s="312">
        <f>SUM(U8:W8)</f>
        <v>0</v>
      </c>
      <c r="Y8" s="328" t="str">
        <f>IFERROR($AA$12/$X$9,"-")</f>
        <v>-</v>
      </c>
      <c r="Z8" s="328" t="str">
        <f>IFERROR(T8+Y8,"-")</f>
        <v>-</v>
      </c>
      <c r="AA8" s="253" t="str">
        <f t="shared" si="0"/>
        <v>-</v>
      </c>
      <c r="AC8" s="279"/>
      <c r="AD8" s="312"/>
      <c r="AE8" s="312">
        <f>U45-U54</f>
        <v>0</v>
      </c>
      <c r="AF8" s="312">
        <f>V45-V54</f>
        <v>0</v>
      </c>
      <c r="AG8" s="312">
        <f>W45-W54</f>
        <v>0</v>
      </c>
      <c r="AH8" s="312">
        <f>SUM(AE8:AG8)</f>
        <v>0</v>
      </c>
      <c r="AI8" s="324">
        <f>IFERROR(AD8*AH8,"-")</f>
        <v>0</v>
      </c>
    </row>
    <row r="9" spans="2:35" ht="15.75" thickBot="1">
      <c r="B9" s="272" t="s">
        <v>126</v>
      </c>
      <c r="C9" s="259">
        <f>-$Z$28</f>
        <v>0</v>
      </c>
      <c r="D9" s="260">
        <f>C9</f>
        <v>0</v>
      </c>
      <c r="S9" s="313" t="s">
        <v>113</v>
      </c>
      <c r="T9" s="308"/>
      <c r="U9" s="308"/>
      <c r="V9" s="308"/>
      <c r="W9" s="308"/>
      <c r="X9" s="308">
        <f>SUM(X3:X8)</f>
        <v>0</v>
      </c>
      <c r="Y9" s="329"/>
      <c r="Z9" s="308"/>
      <c r="AA9" s="314">
        <f>SUM(AA3:AA8)</f>
        <v>0</v>
      </c>
      <c r="AC9" s="305" t="s">
        <v>127</v>
      </c>
      <c r="AD9" s="306"/>
      <c r="AE9" s="306"/>
      <c r="AF9" s="306"/>
      <c r="AG9" s="321"/>
      <c r="AH9" s="333">
        <f>SUM(AH3:AH8)</f>
        <v>0</v>
      </c>
      <c r="AI9" s="307">
        <f>SUM(AI3:AI8)</f>
        <v>0</v>
      </c>
    </row>
    <row r="10" spans="2:35">
      <c r="B10" s="272" t="s">
        <v>128</v>
      </c>
      <c r="C10" s="259">
        <f>-$X$37</f>
        <v>0</v>
      </c>
      <c r="D10" s="260">
        <f>C10</f>
        <v>0</v>
      </c>
      <c r="S10" s="357" t="s">
        <v>129</v>
      </c>
      <c r="T10" s="361"/>
      <c r="U10" s="361"/>
      <c r="V10" s="361"/>
      <c r="W10" s="361"/>
      <c r="X10" s="361"/>
      <c r="Y10" s="361"/>
      <c r="Z10" s="361"/>
      <c r="AA10" s="362"/>
    </row>
    <row r="11" spans="2:35">
      <c r="B11" s="272" t="s">
        <v>130</v>
      </c>
      <c r="C11" s="259"/>
      <c r="D11" s="260"/>
      <c r="S11" s="357" t="s">
        <v>130</v>
      </c>
      <c r="T11" s="361"/>
      <c r="U11" s="361"/>
      <c r="V11" s="361"/>
      <c r="W11" s="361"/>
      <c r="X11" s="361"/>
      <c r="Y11" s="361"/>
      <c r="Z11" s="361"/>
      <c r="AA11" s="362"/>
    </row>
    <row r="12" spans="2:35" ht="15.75" thickBot="1">
      <c r="B12" s="272"/>
      <c r="C12" s="259"/>
      <c r="D12" s="260"/>
      <c r="S12" s="274" t="s">
        <v>131</v>
      </c>
      <c r="T12" s="325"/>
      <c r="U12" s="325"/>
      <c r="V12" s="325"/>
      <c r="W12" s="325"/>
      <c r="X12" s="325"/>
      <c r="Y12" s="325"/>
      <c r="Z12" s="325"/>
      <c r="AA12" s="326">
        <f>SUM(AA10:AA11)</f>
        <v>0</v>
      </c>
    </row>
    <row r="13" spans="2:35" ht="15.75" thickBot="1">
      <c r="B13" s="271"/>
      <c r="C13" s="255"/>
      <c r="D13" s="256"/>
      <c r="S13" s="305" t="s">
        <v>132</v>
      </c>
      <c r="T13" s="306"/>
      <c r="U13" s="306"/>
      <c r="V13" s="306"/>
      <c r="W13" s="306"/>
      <c r="X13" s="306"/>
      <c r="Y13" s="306"/>
      <c r="Z13" s="306"/>
      <c r="AA13" s="307">
        <f>AA9</f>
        <v>0</v>
      </c>
    </row>
    <row r="14" spans="2:35" ht="15.75" thickBot="1">
      <c r="B14" s="273" t="s">
        <v>133</v>
      </c>
      <c r="C14" s="257">
        <f>SUM(C9:C13)</f>
        <v>0</v>
      </c>
      <c r="D14" s="258">
        <f>SUM(D9:D13)</f>
        <v>0</v>
      </c>
      <c r="AA14" s="276">
        <f>T3*X3+T4*X4+T5*X5+T6*X6+T7*X7+T8*X8+AA12-AA13</f>
        <v>0</v>
      </c>
    </row>
    <row r="15" spans="2:35" ht="15.75" thickBot="1">
      <c r="B15" s="274"/>
      <c r="C15" s="261"/>
      <c r="D15" s="262"/>
      <c r="S15" s="315" t="s">
        <v>134</v>
      </c>
      <c r="T15" s="202" t="s">
        <v>117</v>
      </c>
      <c r="U15" s="213" t="s">
        <v>16</v>
      </c>
      <c r="V15" s="213" t="s">
        <v>13</v>
      </c>
      <c r="W15" s="213" t="s">
        <v>118</v>
      </c>
      <c r="X15" s="213" t="s">
        <v>4</v>
      </c>
      <c r="Y15" s="202" t="s">
        <v>119</v>
      </c>
      <c r="Z15" s="202" t="s">
        <v>103</v>
      </c>
      <c r="AA15" s="203" t="s">
        <v>113</v>
      </c>
    </row>
    <row r="16" spans="2:35" ht="15.75" thickBot="1">
      <c r="C16" s="200"/>
      <c r="D16" s="200"/>
      <c r="S16" s="357"/>
      <c r="T16" s="358"/>
      <c r="U16" s="356"/>
      <c r="V16" s="356"/>
      <c r="W16" s="356"/>
      <c r="X16" s="311">
        <f>SUM(U16:W16)</f>
        <v>0</v>
      </c>
      <c r="Y16" s="332" t="str">
        <f>IFERROR($AA$12/$X$9,"-")</f>
        <v>-</v>
      </c>
      <c r="Z16" s="376" t="str">
        <f>IFERROR(T16+Y16,"-")</f>
        <v>-</v>
      </c>
      <c r="AA16" s="252" t="str">
        <f>IFERROR(X16*Z16,"-")</f>
        <v>-</v>
      </c>
    </row>
    <row r="17" spans="1:27" ht="15.75" thickBot="1">
      <c r="B17" s="275" t="s">
        <v>110</v>
      </c>
      <c r="C17" s="263">
        <f>C8+C14</f>
        <v>0</v>
      </c>
      <c r="D17" s="264">
        <f>D8+D14</f>
        <v>0</v>
      </c>
      <c r="S17" s="357"/>
      <c r="T17" s="358"/>
      <c r="U17" s="359"/>
      <c r="V17" s="359"/>
      <c r="W17" s="359"/>
      <c r="X17" s="310">
        <f>SUM(U17:W17)</f>
        <v>0</v>
      </c>
      <c r="Y17" s="309" t="str">
        <f>IFERROR($AA$12/$X$9,"-")</f>
        <v>-</v>
      </c>
      <c r="Z17" s="309" t="str">
        <f>IFERROR(T17+Y17,"-")</f>
        <v>-</v>
      </c>
      <c r="AA17" s="252" t="str">
        <f t="shared" ref="AA17:AA21" si="2">IFERROR(X17*Z17,"-")</f>
        <v>-</v>
      </c>
    </row>
    <row r="18" spans="1:27">
      <c r="S18" s="357"/>
      <c r="T18" s="358"/>
      <c r="U18" s="359"/>
      <c r="V18" s="359"/>
      <c r="W18" s="359"/>
      <c r="X18" s="310">
        <f>SUM(U18:W18)</f>
        <v>0</v>
      </c>
      <c r="Y18" s="309" t="str">
        <f>IFERROR($AA$12/$X$9,"-")</f>
        <v>-</v>
      </c>
      <c r="Z18" s="309" t="str">
        <f>IFERROR(T18+Y18,"-")</f>
        <v>-</v>
      </c>
      <c r="AA18" s="252" t="str">
        <f t="shared" si="2"/>
        <v>-</v>
      </c>
    </row>
    <row r="19" spans="1:27">
      <c r="B19" t="s">
        <v>135</v>
      </c>
      <c r="C19" s="198" t="str">
        <f>IFERROR(ABS($C$9/$C$8),"-")</f>
        <v>-</v>
      </c>
      <c r="D19" s="198" t="str">
        <f>IFERROR(ABS($D$10/$D$8),"-")</f>
        <v>-</v>
      </c>
      <c r="S19" s="357"/>
      <c r="T19" s="358"/>
      <c r="U19" s="359"/>
      <c r="V19" s="359"/>
      <c r="W19" s="359"/>
      <c r="X19" s="310">
        <f>SUM(U19:W19)</f>
        <v>0</v>
      </c>
      <c r="Y19" s="309" t="str">
        <f>IFERROR($AA$12/$X$9,"-")</f>
        <v>-</v>
      </c>
      <c r="Z19" s="309" t="str">
        <f>IFERROR(T19+Y19,"-")</f>
        <v>-</v>
      </c>
      <c r="AA19" s="252" t="str">
        <f t="shared" si="2"/>
        <v>-</v>
      </c>
    </row>
    <row r="20" spans="1:27">
      <c r="B20" t="s">
        <v>114</v>
      </c>
      <c r="C20" s="198" t="str">
        <f>IFERROR(ABS($C$14/$C$8),"-")</f>
        <v>-</v>
      </c>
      <c r="D20" s="198" t="str">
        <f>IFERROR(ABS($D$14/$D$8),"-")</f>
        <v>-</v>
      </c>
      <c r="S20" s="343"/>
      <c r="T20" s="359"/>
      <c r="U20" s="359"/>
      <c r="V20" s="359"/>
      <c r="W20" s="359"/>
      <c r="X20" s="310">
        <f>SUM(U20:W20)</f>
        <v>0</v>
      </c>
      <c r="Y20" s="309" t="str">
        <f>IFERROR($AA$12/$X$9,"-")</f>
        <v>-</v>
      </c>
      <c r="Z20" s="309" t="str">
        <f>IFERROR(T20+Y20,"-")</f>
        <v>-</v>
      </c>
      <c r="AA20" s="252" t="str">
        <f t="shared" si="2"/>
        <v>-</v>
      </c>
    </row>
    <row r="21" spans="1:27" ht="15.75" thickBot="1">
      <c r="S21" s="347"/>
      <c r="T21" s="360"/>
      <c r="U21" s="360"/>
      <c r="V21" s="360"/>
      <c r="W21" s="360"/>
      <c r="X21" s="312">
        <f>SUM(U21:W21)</f>
        <v>0</v>
      </c>
      <c r="Y21" s="328" t="str">
        <f>IFERROR($AA$12/$X$9,"-")</f>
        <v>-</v>
      </c>
      <c r="Z21" s="328" t="str">
        <f>IFERROR(T21+Y21,"-")</f>
        <v>-</v>
      </c>
      <c r="AA21" s="253" t="str">
        <f t="shared" si="2"/>
        <v>-</v>
      </c>
    </row>
    <row r="22" spans="1:27">
      <c r="C22" s="406">
        <f>$S$3</f>
        <v>0</v>
      </c>
      <c r="D22" s="407"/>
      <c r="E22" s="408"/>
      <c r="F22" s="407">
        <f>$S$4</f>
        <v>0</v>
      </c>
      <c r="G22" s="407"/>
      <c r="H22" s="407"/>
      <c r="I22" s="406">
        <f>$S$5</f>
        <v>0</v>
      </c>
      <c r="J22" s="407"/>
      <c r="K22" s="408"/>
      <c r="L22" s="406">
        <f>$S$6</f>
        <v>0</v>
      </c>
      <c r="M22" s="407"/>
      <c r="N22" s="408"/>
      <c r="S22" s="313" t="s">
        <v>113</v>
      </c>
      <c r="T22" s="308"/>
      <c r="U22" s="308"/>
      <c r="V22" s="308"/>
      <c r="W22" s="308"/>
      <c r="X22" s="308">
        <f>SUM(X16:X21)</f>
        <v>0</v>
      </c>
      <c r="Y22" s="329"/>
      <c r="Z22" s="308"/>
      <c r="AA22" s="314">
        <f>SUM(AA16:AA21)</f>
        <v>0</v>
      </c>
    </row>
    <row r="23" spans="1:27" ht="17.100000000000001" customHeight="1" thickBot="1">
      <c r="C23" s="391" t="s">
        <v>16</v>
      </c>
      <c r="D23" s="46" t="s">
        <v>13</v>
      </c>
      <c r="E23" s="318" t="s">
        <v>118</v>
      </c>
      <c r="F23" s="46" t="s">
        <v>16</v>
      </c>
      <c r="G23" s="46" t="s">
        <v>13</v>
      </c>
      <c r="H23" s="46" t="s">
        <v>118</v>
      </c>
      <c r="I23" s="391" t="s">
        <v>16</v>
      </c>
      <c r="J23" s="46" t="s">
        <v>13</v>
      </c>
      <c r="K23" s="318" t="s">
        <v>118</v>
      </c>
      <c r="L23" s="391" t="s">
        <v>16</v>
      </c>
      <c r="M23" s="46" t="s">
        <v>13</v>
      </c>
      <c r="N23" s="318" t="s">
        <v>118</v>
      </c>
      <c r="O23" s="46" t="s">
        <v>113</v>
      </c>
      <c r="S23" s="357" t="s">
        <v>129</v>
      </c>
      <c r="T23" s="361"/>
      <c r="U23" s="361"/>
      <c r="V23" s="361"/>
      <c r="W23" s="361"/>
      <c r="X23" s="361"/>
      <c r="Y23" s="361"/>
      <c r="Z23" s="361"/>
      <c r="AA23" s="362"/>
    </row>
    <row r="24" spans="1:27" ht="15.95" customHeight="1">
      <c r="B24" s="277" t="s">
        <v>136</v>
      </c>
      <c r="C24" s="392">
        <f>SUM(C27:C61)</f>
        <v>0</v>
      </c>
      <c r="D24" s="294">
        <f t="shared" ref="D24:N24" si="3">SUM(D27:D61)</f>
        <v>0</v>
      </c>
      <c r="E24" s="322">
        <f t="shared" si="3"/>
        <v>0</v>
      </c>
      <c r="F24" s="294">
        <f t="shared" si="3"/>
        <v>0</v>
      </c>
      <c r="G24" s="294">
        <f t="shared" si="3"/>
        <v>0</v>
      </c>
      <c r="H24" s="294">
        <f t="shared" si="3"/>
        <v>0</v>
      </c>
      <c r="I24" s="392">
        <f t="shared" si="3"/>
        <v>0</v>
      </c>
      <c r="J24" s="294">
        <f t="shared" si="3"/>
        <v>0</v>
      </c>
      <c r="K24" s="294">
        <f t="shared" si="3"/>
        <v>0</v>
      </c>
      <c r="L24" s="392">
        <f t="shared" si="3"/>
        <v>0</v>
      </c>
      <c r="M24" s="294">
        <f t="shared" si="3"/>
        <v>0</v>
      </c>
      <c r="N24" s="322">
        <f t="shared" si="3"/>
        <v>0</v>
      </c>
      <c r="O24" s="322">
        <f>SUM(C24:N24)</f>
        <v>0</v>
      </c>
      <c r="P24" s="276">
        <f>O24-SUM(O27:O61)</f>
        <v>0</v>
      </c>
      <c r="S24" s="357" t="s">
        <v>130</v>
      </c>
      <c r="T24" s="361"/>
      <c r="U24" s="361"/>
      <c r="V24" s="361"/>
      <c r="W24" s="361"/>
      <c r="X24" s="361"/>
      <c r="Y24" s="361"/>
      <c r="Z24" s="361"/>
      <c r="AA24" s="362"/>
    </row>
    <row r="25" spans="1:27" ht="15.75" thickBot="1">
      <c r="B25" s="279" t="s">
        <v>137</v>
      </c>
      <c r="C25" s="373">
        <f>AE3-C24</f>
        <v>0</v>
      </c>
      <c r="D25" s="374">
        <f>AF3-D24</f>
        <v>0</v>
      </c>
      <c r="E25" s="292">
        <f>AG3-E24</f>
        <v>0</v>
      </c>
      <c r="F25" s="374">
        <f>AE4-F24</f>
        <v>0</v>
      </c>
      <c r="G25" s="374">
        <f>AF4-G24</f>
        <v>0</v>
      </c>
      <c r="H25" s="374">
        <f>AG4-H24</f>
        <v>0</v>
      </c>
      <c r="I25" s="373">
        <f>AE5-I24</f>
        <v>0</v>
      </c>
      <c r="J25" s="374">
        <f>AF5-J24</f>
        <v>0</v>
      </c>
      <c r="K25" s="374">
        <f>AG5-K24</f>
        <v>0</v>
      </c>
      <c r="L25" s="373">
        <f>AE6-L24</f>
        <v>0</v>
      </c>
      <c r="M25" s="374">
        <f>AF6-M24</f>
        <v>0</v>
      </c>
      <c r="N25" s="292">
        <f>AG6-N24</f>
        <v>0</v>
      </c>
      <c r="O25" s="369">
        <f>SUM(C25:N25)</f>
        <v>0</v>
      </c>
      <c r="P25" s="276"/>
      <c r="S25" s="274" t="s">
        <v>131</v>
      </c>
      <c r="T25" s="325"/>
      <c r="U25" s="325"/>
      <c r="V25" s="325"/>
      <c r="W25" s="325"/>
      <c r="X25" s="325"/>
      <c r="Y25" s="325"/>
      <c r="Z25" s="325"/>
      <c r="AA25" s="326">
        <f>SUM(AA23:AA24)</f>
        <v>0</v>
      </c>
    </row>
    <row r="26" spans="1:27" ht="15.75" thickBot="1">
      <c r="B26" s="285" t="s">
        <v>138</v>
      </c>
      <c r="C26" s="327"/>
      <c r="D26" s="327"/>
      <c r="E26" s="327"/>
      <c r="F26" s="327"/>
      <c r="G26" s="327"/>
      <c r="H26" s="327"/>
      <c r="I26" s="393"/>
      <c r="J26" s="394"/>
      <c r="K26" s="395"/>
      <c r="L26" s="327"/>
      <c r="M26" s="327"/>
      <c r="N26" s="327"/>
      <c r="O26" s="280" t="s">
        <v>4</v>
      </c>
      <c r="P26" s="281" t="s">
        <v>5</v>
      </c>
      <c r="Q26" s="282" t="s">
        <v>139</v>
      </c>
      <c r="S26" s="305" t="s">
        <v>132</v>
      </c>
      <c r="T26" s="306"/>
      <c r="U26" s="306"/>
      <c r="V26" s="306"/>
      <c r="W26" s="306"/>
      <c r="X26" s="306"/>
      <c r="Y26" s="306"/>
      <c r="Z26" s="306"/>
      <c r="AA26" s="307">
        <f>-AA22</f>
        <v>0</v>
      </c>
    </row>
    <row r="27" spans="1:27" ht="15.75" thickBot="1">
      <c r="A27">
        <v>1</v>
      </c>
      <c r="B27" s="339"/>
      <c r="C27" s="340"/>
      <c r="D27" s="387"/>
      <c r="E27" s="341"/>
      <c r="F27" s="340"/>
      <c r="G27" s="387"/>
      <c r="H27" s="341"/>
      <c r="I27" s="340"/>
      <c r="J27" s="387"/>
      <c r="K27" s="341"/>
      <c r="L27" s="340"/>
      <c r="M27" s="387"/>
      <c r="N27" s="342"/>
      <c r="O27" s="382">
        <f>SUM(C27:N27)</f>
        <v>0</v>
      </c>
      <c r="P27" s="265">
        <f>IFERROR(((C27+D27+E27)*$AD$3)+((F27+G27+H27)*$AD$4)+((I27+J27+K27)*$AD$5)+((L27+M27+N27)*$AD$6),"-")</f>
        <v>0</v>
      </c>
      <c r="Q27" s="351"/>
      <c r="Z27" s="276">
        <f>T16*X16+T17*X17+T18*X18+T19*X19+T20*X20+T21*X21+AA25+AA26</f>
        <v>0</v>
      </c>
    </row>
    <row r="28" spans="1:27" ht="15.75" thickBot="1">
      <c r="A28">
        <v>2</v>
      </c>
      <c r="B28" s="377"/>
      <c r="C28" s="378"/>
      <c r="D28" s="388"/>
      <c r="E28" s="379"/>
      <c r="F28" s="378"/>
      <c r="G28" s="388"/>
      <c r="H28" s="379"/>
      <c r="I28" s="378"/>
      <c r="J28" s="388"/>
      <c r="K28" s="379"/>
      <c r="L28" s="378"/>
      <c r="M28" s="388"/>
      <c r="N28" s="380"/>
      <c r="O28" s="383">
        <f>SUM(C28:N28)</f>
        <v>0</v>
      </c>
      <c r="P28" s="384">
        <f>IFERROR(((C28+D28+E28)*$AD$3)+((F28+G28+H28)*$AD$4)+((I28+J28+K28)*$AD$5)+((L28+M28+N28)*$AD$6),"-")</f>
        <v>0</v>
      </c>
      <c r="Q28" s="381"/>
      <c r="S28" s="303" t="s">
        <v>140</v>
      </c>
      <c r="T28" s="250"/>
      <c r="U28" s="250"/>
      <c r="V28" s="250"/>
      <c r="W28" s="250"/>
      <c r="X28" s="250"/>
      <c r="Y28" s="250"/>
      <c r="Z28" s="304">
        <f>AA13+AA26</f>
        <v>0</v>
      </c>
    </row>
    <row r="29" spans="1:27" ht="15.75" thickBot="1">
      <c r="A29">
        <v>3</v>
      </c>
      <c r="B29" s="343"/>
      <c r="C29" s="344"/>
      <c r="D29" s="389"/>
      <c r="E29" s="345"/>
      <c r="F29" s="344"/>
      <c r="G29" s="389"/>
      <c r="H29" s="345"/>
      <c r="I29" s="344"/>
      <c r="J29" s="389"/>
      <c r="K29" s="345"/>
      <c r="L29" s="344"/>
      <c r="M29" s="389"/>
      <c r="N29" s="346"/>
      <c r="O29" s="383">
        <f>SUM(C29:N29)</f>
        <v>0</v>
      </c>
      <c r="P29" s="384">
        <f>IFERROR(((C29+D29+E29)*$AD$3)+((F29+G29+H29)*$AD$4)+((I29+J29+K29)*$AD$5)+((L29+M29+N29)*$AD$6),"-")</f>
        <v>0</v>
      </c>
      <c r="Q29" s="352"/>
    </row>
    <row r="30" spans="1:27" ht="15.75" thickBot="1">
      <c r="A30">
        <f>A29+1</f>
        <v>4</v>
      </c>
      <c r="B30" s="377"/>
      <c r="C30" s="378"/>
      <c r="D30" s="388"/>
      <c r="E30" s="379"/>
      <c r="F30" s="378"/>
      <c r="G30" s="388"/>
      <c r="H30" s="379"/>
      <c r="I30" s="378"/>
      <c r="J30" s="388"/>
      <c r="K30" s="379"/>
      <c r="L30" s="378"/>
      <c r="M30" s="388"/>
      <c r="N30" s="380"/>
      <c r="O30" s="383">
        <f>SUM(C30:N30)</f>
        <v>0</v>
      </c>
      <c r="P30" s="384">
        <f>IFERROR(((C30+D30+E30)*$AD$3)+((F30+G30+H30)*$AD$4)+((I30+J30+K30)*$AD$5)+((L30+M30+N30)*$AD$6),"-")</f>
        <v>0</v>
      </c>
      <c r="Q30" s="381"/>
      <c r="S30" s="315" t="s">
        <v>141</v>
      </c>
      <c r="T30" s="202" t="s">
        <v>101</v>
      </c>
      <c r="U30" s="202" t="s">
        <v>4</v>
      </c>
      <c r="V30" s="202" t="s">
        <v>102</v>
      </c>
      <c r="W30" s="202" t="s">
        <v>103</v>
      </c>
      <c r="X30" s="203" t="s">
        <v>113</v>
      </c>
    </row>
    <row r="31" spans="1:27">
      <c r="A31">
        <f>A30+1</f>
        <v>5</v>
      </c>
      <c r="B31" s="343"/>
      <c r="C31" s="344"/>
      <c r="D31" s="389"/>
      <c r="E31" s="345"/>
      <c r="F31" s="344"/>
      <c r="G31" s="389"/>
      <c r="H31" s="345"/>
      <c r="I31" s="344"/>
      <c r="J31" s="389"/>
      <c r="K31" s="345"/>
      <c r="L31" s="344"/>
      <c r="M31" s="389"/>
      <c r="N31" s="346"/>
      <c r="O31" s="383">
        <f>SUM(C31:N31)</f>
        <v>0</v>
      </c>
      <c r="P31" s="384">
        <f>IFERROR(((C31+D31+E31)*$AD$3)+((F31+G31+H31)*$AD$4)+((I31+J31+K31)*$AD$5)+((L31+M31+N31)*$AD$6),"-")</f>
        <v>0</v>
      </c>
      <c r="Q31" s="352"/>
      <c r="S31" s="302">
        <f>$S$3</f>
        <v>0</v>
      </c>
      <c r="T31" s="358"/>
      <c r="U31" s="310">
        <f>X3</f>
        <v>0</v>
      </c>
      <c r="V31" s="309" t="str">
        <f>IFERROR(((T31*U31)*0.21)/U31,"-")</f>
        <v>-</v>
      </c>
      <c r="W31" s="309" t="str">
        <f>IFERROR(T31+V31,"-")</f>
        <v>-</v>
      </c>
      <c r="X31" s="252" t="str">
        <f>IFERROR(U31*W31,"-")</f>
        <v>-</v>
      </c>
    </row>
    <row r="32" spans="1:27">
      <c r="A32">
        <f>A31+1</f>
        <v>6</v>
      </c>
      <c r="B32" s="377"/>
      <c r="C32" s="378"/>
      <c r="D32" s="388"/>
      <c r="E32" s="379"/>
      <c r="F32" s="378"/>
      <c r="G32" s="388"/>
      <c r="H32" s="379"/>
      <c r="I32" s="378"/>
      <c r="J32" s="388"/>
      <c r="K32" s="379"/>
      <c r="L32" s="378"/>
      <c r="M32" s="388"/>
      <c r="N32" s="380"/>
      <c r="O32" s="383">
        <f>SUM(C32:N32)</f>
        <v>0</v>
      </c>
      <c r="P32" s="384">
        <f>IFERROR(((C32+D32+E32)*$AD$3)+((F32+G32+H32)*$AD$4)+((I32+J32+K32)*$AD$5)+((L32+M32+N32)*$AD$6),"-")</f>
        <v>0</v>
      </c>
      <c r="Q32" s="381"/>
      <c r="S32" s="302">
        <f>$S$4</f>
        <v>0</v>
      </c>
      <c r="T32" s="358"/>
      <c r="U32" s="310">
        <f>X4</f>
        <v>0</v>
      </c>
      <c r="V32" s="309" t="str">
        <f>IFERROR(((T32*U32)*0.21)/U32,"-")</f>
        <v>-</v>
      </c>
      <c r="W32" s="309" t="str">
        <f>IFERROR(T32+V32,"-")</f>
        <v>-</v>
      </c>
      <c r="X32" s="252" t="str">
        <f>IFERROR(U32*W32,"-")</f>
        <v>-</v>
      </c>
    </row>
    <row r="33" spans="1:25">
      <c r="A33">
        <f>A32+1</f>
        <v>7</v>
      </c>
      <c r="B33" s="343"/>
      <c r="C33" s="344"/>
      <c r="D33" s="389"/>
      <c r="E33" s="345"/>
      <c r="F33" s="344"/>
      <c r="G33" s="389"/>
      <c r="H33" s="345"/>
      <c r="I33" s="344"/>
      <c r="J33" s="389"/>
      <c r="K33" s="345"/>
      <c r="L33" s="344"/>
      <c r="M33" s="389"/>
      <c r="N33" s="346"/>
      <c r="O33" s="383">
        <f>SUM(C33:N33)</f>
        <v>0</v>
      </c>
      <c r="P33" s="384">
        <f>IFERROR(((C33+D33+E33)*$AD$3)+((F33+G33+H33)*$AD$4)+((I33+J33+K33)*$AD$5)+((L33+M33+N33)*$AD$6),"-")</f>
        <v>0</v>
      </c>
      <c r="Q33" s="352"/>
      <c r="S33" s="302">
        <f>$S$5</f>
        <v>0</v>
      </c>
      <c r="T33" s="358"/>
      <c r="U33" s="310">
        <f>X5</f>
        <v>0</v>
      </c>
      <c r="V33" s="309" t="str">
        <f>IFERROR(((T33*U33)*0.21)/U33,"-")</f>
        <v>-</v>
      </c>
      <c r="W33" s="309" t="str">
        <f>IFERROR(T33+V33,"-")</f>
        <v>-</v>
      </c>
      <c r="X33" s="252" t="str">
        <f>IFERROR(U33*W33,"-")</f>
        <v>-</v>
      </c>
    </row>
    <row r="34" spans="1:25">
      <c r="A34">
        <f>A33+1</f>
        <v>8</v>
      </c>
      <c r="B34" s="377"/>
      <c r="C34" s="378"/>
      <c r="D34" s="388"/>
      <c r="E34" s="379"/>
      <c r="F34" s="378"/>
      <c r="G34" s="388"/>
      <c r="H34" s="379"/>
      <c r="I34" s="378"/>
      <c r="J34" s="388"/>
      <c r="K34" s="379"/>
      <c r="L34" s="378"/>
      <c r="M34" s="388"/>
      <c r="N34" s="380"/>
      <c r="O34" s="383">
        <f>SUM(C34:N34)</f>
        <v>0</v>
      </c>
      <c r="P34" s="384">
        <f>IFERROR(((C34+D34+E34)*$AD$3)+((F34+G34+H34)*$AD$4)+((I34+J34+K34)*$AD$5)+((L34+M34+N34)*$AD$6),"-")</f>
        <v>0</v>
      </c>
      <c r="Q34" s="381"/>
      <c r="S34" s="302">
        <f>$S$6</f>
        <v>0</v>
      </c>
      <c r="T34" s="358"/>
      <c r="U34" s="310">
        <f>X6</f>
        <v>0</v>
      </c>
      <c r="V34" s="320" t="str">
        <f>IFERROR(((T34*U34)*0.21)/U34,"-")</f>
        <v>-</v>
      </c>
      <c r="W34" s="309" t="str">
        <f>IFERROR(T34+V34,"-")</f>
        <v>-</v>
      </c>
      <c r="X34" s="252" t="str">
        <f>IFERROR(U34*W34,"-")</f>
        <v>-</v>
      </c>
    </row>
    <row r="35" spans="1:25">
      <c r="A35">
        <f>A34+1</f>
        <v>9</v>
      </c>
      <c r="B35" s="343"/>
      <c r="C35" s="344"/>
      <c r="D35" s="389"/>
      <c r="E35" s="345"/>
      <c r="F35" s="344"/>
      <c r="G35" s="389"/>
      <c r="H35" s="345"/>
      <c r="I35" s="344"/>
      <c r="J35" s="389"/>
      <c r="K35" s="345"/>
      <c r="L35" s="344"/>
      <c r="M35" s="389"/>
      <c r="N35" s="346"/>
      <c r="O35" s="383">
        <f>SUM(C35:N35)</f>
        <v>0</v>
      </c>
      <c r="P35" s="384">
        <f>IFERROR(((C35+D35+E35)*$AD$3)+((F35+G35+H35)*$AD$4)+((I35+J35+K35)*$AD$5)+((L35+M35+N35)*$AD$6),"-")</f>
        <v>0</v>
      </c>
      <c r="Q35" s="352"/>
      <c r="S35" s="278"/>
      <c r="T35" s="359"/>
      <c r="U35" s="310"/>
      <c r="V35" s="317" t="str">
        <f>IFERROR(((T35*U35)*0.21)/U35,"-")</f>
        <v>-</v>
      </c>
      <c r="W35" s="317" t="str">
        <f>IFERROR(T35+V35,"-")</f>
        <v>-</v>
      </c>
      <c r="X35" s="318" t="str">
        <f>IFERROR(U35*W35,"-")</f>
        <v>-</v>
      </c>
    </row>
    <row r="36" spans="1:25" ht="15.75" thickBot="1">
      <c r="A36">
        <f>A35+1</f>
        <v>10</v>
      </c>
      <c r="B36" s="377"/>
      <c r="C36" s="378"/>
      <c r="D36" s="388"/>
      <c r="E36" s="379"/>
      <c r="F36" s="378"/>
      <c r="G36" s="388"/>
      <c r="H36" s="379"/>
      <c r="I36" s="378"/>
      <c r="J36" s="388"/>
      <c r="K36" s="379"/>
      <c r="L36" s="378"/>
      <c r="M36" s="388"/>
      <c r="N36" s="380"/>
      <c r="O36" s="383">
        <f>SUM(C36:N36)</f>
        <v>0</v>
      </c>
      <c r="P36" s="384">
        <f>IFERROR(((C36+D36+E36)*$AD$3)+((F36+G36+H36)*$AD$4)+((I36+J36+K36)*$AD$5)+((L36+M36+N36)*$AD$6),"-")</f>
        <v>0</v>
      </c>
      <c r="Q36" s="381"/>
      <c r="S36" s="279"/>
      <c r="T36" s="360"/>
      <c r="U36" s="312"/>
      <c r="V36" s="319" t="str">
        <f>IFERROR(((T36*U36)*0.21)/U36,"-")</f>
        <v>-</v>
      </c>
      <c r="W36" s="319" t="str">
        <f>IFERROR(T36+V36,"-")</f>
        <v>-</v>
      </c>
      <c r="X36" s="296" t="str">
        <f>IFERROR(U36*W36,"-")</f>
        <v>-</v>
      </c>
    </row>
    <row r="37" spans="1:25" ht="15.75" thickBot="1">
      <c r="A37">
        <f>A36+1</f>
        <v>11</v>
      </c>
      <c r="B37" s="343"/>
      <c r="C37" s="344"/>
      <c r="D37" s="389"/>
      <c r="E37" s="345"/>
      <c r="F37" s="344"/>
      <c r="G37" s="389"/>
      <c r="H37" s="345"/>
      <c r="I37" s="344"/>
      <c r="J37" s="389"/>
      <c r="K37" s="345"/>
      <c r="L37" s="344"/>
      <c r="M37" s="389"/>
      <c r="N37" s="346"/>
      <c r="O37" s="383">
        <f>SUM(C37:N37)</f>
        <v>0</v>
      </c>
      <c r="P37" s="384">
        <f>IFERROR(((C37+D37+E37)*$AD$3)+((F37+G37+H37)*$AD$4)+((I37+J37+K37)*$AD$5)+((L37+M37+N37)*$AD$6),"-")</f>
        <v>0</v>
      </c>
      <c r="Q37" s="352"/>
      <c r="S37" s="305" t="s">
        <v>112</v>
      </c>
      <c r="T37" s="306"/>
      <c r="U37" s="306">
        <f>SUM(U31:U36)</f>
        <v>0</v>
      </c>
      <c r="V37" s="321"/>
      <c r="W37" s="321"/>
      <c r="X37" s="307">
        <f>SUM(X31:X36)</f>
        <v>0</v>
      </c>
    </row>
    <row r="38" spans="1:25" ht="15.75" thickBot="1">
      <c r="A38">
        <f>A37+1</f>
        <v>12</v>
      </c>
      <c r="B38" s="377"/>
      <c r="C38" s="378"/>
      <c r="D38" s="388"/>
      <c r="E38" s="379"/>
      <c r="F38" s="378"/>
      <c r="G38" s="388"/>
      <c r="H38" s="379"/>
      <c r="I38" s="378"/>
      <c r="J38" s="388"/>
      <c r="K38" s="379"/>
      <c r="L38" s="378"/>
      <c r="M38" s="388"/>
      <c r="N38" s="380"/>
      <c r="O38" s="383">
        <f>SUM(C38:N38)</f>
        <v>0</v>
      </c>
      <c r="P38" s="384">
        <f>IFERROR(((C38+D38+E38)*$AD$3)+((F38+G38+H38)*$AD$4)+((I38+J38+K38)*$AD$5)+((L38+M38+N38)*$AD$6),"-")</f>
        <v>0</v>
      </c>
      <c r="Q38" s="381"/>
    </row>
    <row r="39" spans="1:25" ht="15.75" thickBot="1">
      <c r="A39">
        <f>A38+1</f>
        <v>13</v>
      </c>
      <c r="B39" s="343"/>
      <c r="C39" s="344"/>
      <c r="D39" s="389"/>
      <c r="E39" s="345"/>
      <c r="F39" s="344"/>
      <c r="G39" s="389"/>
      <c r="H39" s="345"/>
      <c r="I39" s="344"/>
      <c r="J39" s="389"/>
      <c r="K39" s="345"/>
      <c r="L39" s="344"/>
      <c r="M39" s="389"/>
      <c r="N39" s="346"/>
      <c r="O39" s="383">
        <f>SUM(C39:N39)</f>
        <v>0</v>
      </c>
      <c r="P39" s="384">
        <f>IFERROR(((C39+D39+E39)*$AD$3)+((F39+G39+H39)*$AD$4)+((I39+J39+K39)*$AD$5)+((L39+M39+N39)*$AD$6),"-")</f>
        <v>0</v>
      </c>
      <c r="Q39" s="352"/>
      <c r="S39" s="315" t="s">
        <v>98</v>
      </c>
      <c r="T39" s="202" t="s">
        <v>121</v>
      </c>
      <c r="U39" s="202" t="s">
        <v>16</v>
      </c>
      <c r="V39" s="337" t="s">
        <v>13</v>
      </c>
      <c r="W39" s="337" t="s">
        <v>118</v>
      </c>
      <c r="X39" s="202" t="s">
        <v>4</v>
      </c>
      <c r="Y39" s="338" t="s">
        <v>113</v>
      </c>
    </row>
    <row r="40" spans="1:25">
      <c r="A40">
        <f>A39+1</f>
        <v>14</v>
      </c>
      <c r="B40" s="377"/>
      <c r="C40" s="378"/>
      <c r="D40" s="388"/>
      <c r="E40" s="379"/>
      <c r="F40" s="378"/>
      <c r="G40" s="388"/>
      <c r="H40" s="379"/>
      <c r="I40" s="378"/>
      <c r="J40" s="388"/>
      <c r="K40" s="379"/>
      <c r="L40" s="378"/>
      <c r="M40" s="388"/>
      <c r="N40" s="380"/>
      <c r="O40" s="383">
        <f>SUM(C40:N40)</f>
        <v>0</v>
      </c>
      <c r="P40" s="384">
        <f>IFERROR(((C40+D40+E40)*$AD$3)+((F40+G40+H40)*$AD$4)+((I40+J40+K40)*$AD$5)+((L40+M40+N40)*$AD$6),"-")</f>
        <v>0</v>
      </c>
      <c r="Q40" s="381"/>
      <c r="S40" s="302">
        <f>$S$3</f>
        <v>0</v>
      </c>
      <c r="T40" s="309">
        <f>T66</f>
        <v>0</v>
      </c>
      <c r="U40" s="310">
        <f>U3</f>
        <v>0</v>
      </c>
      <c r="V40" s="310">
        <f>V3</f>
        <v>0</v>
      </c>
      <c r="W40" s="310">
        <f>W3</f>
        <v>0</v>
      </c>
      <c r="X40" s="310">
        <f>SUM(U40:W40)</f>
        <v>0</v>
      </c>
      <c r="Y40" s="252">
        <f>IFERROR(T40*X40,"-")</f>
        <v>0</v>
      </c>
    </row>
    <row r="41" spans="1:25">
      <c r="A41">
        <f>A40+1</f>
        <v>15</v>
      </c>
      <c r="B41" s="343"/>
      <c r="C41" s="344"/>
      <c r="D41" s="389"/>
      <c r="E41" s="345"/>
      <c r="F41" s="344"/>
      <c r="G41" s="389"/>
      <c r="H41" s="345"/>
      <c r="I41" s="344"/>
      <c r="J41" s="389"/>
      <c r="K41" s="345"/>
      <c r="L41" s="344"/>
      <c r="M41" s="389"/>
      <c r="N41" s="346"/>
      <c r="O41" s="383">
        <f>SUM(C41:N41)</f>
        <v>0</v>
      </c>
      <c r="P41" s="384">
        <f>IFERROR(((C41+D41+E41)*$AD$3)+((F41+G41+H41)*$AD$4)+((I41+J41+K41)*$AD$5)+((L41+M41+N41)*$AD$6),"-")</f>
        <v>0</v>
      </c>
      <c r="Q41" s="352"/>
      <c r="S41" s="302">
        <f>$S$4</f>
        <v>0</v>
      </c>
      <c r="T41" s="309">
        <f>T67</f>
        <v>0</v>
      </c>
      <c r="U41" s="310">
        <f>U4</f>
        <v>0</v>
      </c>
      <c r="V41" s="310">
        <f>V4</f>
        <v>0</v>
      </c>
      <c r="W41" s="310">
        <f>W4</f>
        <v>0</v>
      </c>
      <c r="X41" s="310">
        <f>SUM(U41:W41)</f>
        <v>0</v>
      </c>
      <c r="Y41" s="252">
        <f>IFERROR(T41*X41,"-")</f>
        <v>0</v>
      </c>
    </row>
    <row r="42" spans="1:25">
      <c r="A42">
        <f>A41+1</f>
        <v>16</v>
      </c>
      <c r="B42" s="377"/>
      <c r="C42" s="378"/>
      <c r="D42" s="388"/>
      <c r="E42" s="379"/>
      <c r="F42" s="378"/>
      <c r="G42" s="388"/>
      <c r="H42" s="379"/>
      <c r="I42" s="378"/>
      <c r="J42" s="388"/>
      <c r="K42" s="379"/>
      <c r="L42" s="378"/>
      <c r="M42" s="388"/>
      <c r="N42" s="380"/>
      <c r="O42" s="383">
        <f>SUM(C42:N42)</f>
        <v>0</v>
      </c>
      <c r="P42" s="384">
        <f>IFERROR(((C42+D42+E42)*$AD$3)+((F42+G42+H42)*$AD$4)+((I42+J42+K42)*$AD$5)+((L42+M42+N42)*$AD$6),"-")</f>
        <v>0</v>
      </c>
      <c r="Q42" s="381"/>
      <c r="S42" s="302">
        <f>$S$5</f>
        <v>0</v>
      </c>
      <c r="T42" s="309">
        <f>T68</f>
        <v>0</v>
      </c>
      <c r="U42" s="310">
        <f>U5</f>
        <v>0</v>
      </c>
      <c r="V42" s="310">
        <f>V5</f>
        <v>0</v>
      </c>
      <c r="W42" s="310">
        <f>W5</f>
        <v>0</v>
      </c>
      <c r="X42" s="310">
        <f>SUM(U42:W42)</f>
        <v>0</v>
      </c>
      <c r="Y42" s="252">
        <f>IFERROR(T42*X42,"-")</f>
        <v>0</v>
      </c>
    </row>
    <row r="43" spans="1:25">
      <c r="A43">
        <f>A42+1</f>
        <v>17</v>
      </c>
      <c r="B43" s="343"/>
      <c r="C43" s="344"/>
      <c r="D43" s="389"/>
      <c r="E43" s="345"/>
      <c r="F43" s="344"/>
      <c r="G43" s="389"/>
      <c r="H43" s="345"/>
      <c r="I43" s="344"/>
      <c r="J43" s="389"/>
      <c r="K43" s="345"/>
      <c r="L43" s="344"/>
      <c r="M43" s="389"/>
      <c r="N43" s="346"/>
      <c r="O43" s="383">
        <f>SUM(C43:N43)</f>
        <v>0</v>
      </c>
      <c r="P43" s="384">
        <f>IFERROR(((C43+D43+E43)*$AD$3)+((F43+G43+H43)*$AD$4)+((I43+J43+K43)*$AD$5)+((L43+M43+N43)*$AD$6),"-")</f>
        <v>0</v>
      </c>
      <c r="Q43" s="352"/>
      <c r="S43" s="302">
        <f>$S$6</f>
        <v>0</v>
      </c>
      <c r="T43" s="309">
        <f>T69</f>
        <v>0</v>
      </c>
      <c r="U43" s="310">
        <f>U6</f>
        <v>0</v>
      </c>
      <c r="V43" s="310">
        <f>V6</f>
        <v>0</v>
      </c>
      <c r="W43" s="310">
        <f>W6</f>
        <v>0</v>
      </c>
      <c r="X43" s="310">
        <f>SUM(U43:W43)</f>
        <v>0</v>
      </c>
      <c r="Y43" s="252">
        <f>IFERROR(T43*X43,"-")</f>
        <v>0</v>
      </c>
    </row>
    <row r="44" spans="1:25">
      <c r="A44">
        <f>A43+1</f>
        <v>18</v>
      </c>
      <c r="B44" s="377"/>
      <c r="C44" s="378"/>
      <c r="D44" s="388"/>
      <c r="E44" s="379"/>
      <c r="F44" s="378"/>
      <c r="G44" s="388"/>
      <c r="H44" s="379"/>
      <c r="I44" s="378"/>
      <c r="J44" s="388"/>
      <c r="K44" s="379"/>
      <c r="L44" s="378"/>
      <c r="M44" s="388"/>
      <c r="N44" s="380"/>
      <c r="O44" s="383">
        <f>SUM(C44:N44)</f>
        <v>0</v>
      </c>
      <c r="P44" s="384">
        <f>IFERROR(((C44+D44+E44)*$AD$3)+((F44+G44+H44)*$AD$4)+((I44+J44+K44)*$AD$5)+((L44+M44+N44)*$AD$6),"-")</f>
        <v>0</v>
      </c>
      <c r="Q44" s="381"/>
      <c r="S44" s="278"/>
      <c r="T44" s="310"/>
      <c r="U44" s="310">
        <f>U7</f>
        <v>0</v>
      </c>
      <c r="V44" s="310">
        <f>V7</f>
        <v>0</v>
      </c>
      <c r="W44" s="310">
        <f>W7</f>
        <v>0</v>
      </c>
      <c r="X44" s="310">
        <f>SUM(U44:W44)</f>
        <v>0</v>
      </c>
      <c r="Y44" s="323">
        <f>IFERROR(T44*X44,"-")</f>
        <v>0</v>
      </c>
    </row>
    <row r="45" spans="1:25" ht="15.75" thickBot="1">
      <c r="A45">
        <f>A44+1</f>
        <v>19</v>
      </c>
      <c r="B45" s="343"/>
      <c r="C45" s="344"/>
      <c r="D45" s="389"/>
      <c r="E45" s="345"/>
      <c r="F45" s="344"/>
      <c r="G45" s="389"/>
      <c r="H45" s="345"/>
      <c r="I45" s="344"/>
      <c r="J45" s="389"/>
      <c r="K45" s="345"/>
      <c r="L45" s="344"/>
      <c r="M45" s="389"/>
      <c r="N45" s="346"/>
      <c r="O45" s="383">
        <f>SUM(C45:N45)</f>
        <v>0</v>
      </c>
      <c r="P45" s="384">
        <f>IFERROR(((C45+D45+E45)*$AD$3)+((F45+G45+H45)*$AD$4)+((I45+J45+K45)*$AD$5)+((L45+M45+N45)*$AD$6),"-")</f>
        <v>0</v>
      </c>
      <c r="Q45" s="352"/>
      <c r="S45" s="279"/>
      <c r="T45" s="312"/>
      <c r="U45" s="312">
        <f>U8</f>
        <v>0</v>
      </c>
      <c r="V45" s="312">
        <f>V8</f>
        <v>0</v>
      </c>
      <c r="W45" s="312">
        <f>W8</f>
        <v>0</v>
      </c>
      <c r="X45" s="312">
        <f>SUM(U45:W45)</f>
        <v>0</v>
      </c>
      <c r="Y45" s="324">
        <f>IFERROR(T45*X45,"-")</f>
        <v>0</v>
      </c>
    </row>
    <row r="46" spans="1:25" ht="15.75" thickBot="1">
      <c r="A46">
        <f>A45+1</f>
        <v>20</v>
      </c>
      <c r="B46" s="377"/>
      <c r="C46" s="378"/>
      <c r="D46" s="388"/>
      <c r="E46" s="379"/>
      <c r="F46" s="378"/>
      <c r="G46" s="388"/>
      <c r="H46" s="379"/>
      <c r="I46" s="378"/>
      <c r="J46" s="388"/>
      <c r="K46" s="379"/>
      <c r="L46" s="378"/>
      <c r="M46" s="388"/>
      <c r="N46" s="380"/>
      <c r="O46" s="383">
        <f>SUM(C46:N46)</f>
        <v>0</v>
      </c>
      <c r="P46" s="384">
        <f>IFERROR(((C46+D46+E46)*$AD$3)+((F46+G46+H46)*$AD$4)+((I46+J46+K46)*$AD$5)+((L46+M46+N46)*$AD$6),"-")</f>
        <v>0</v>
      </c>
      <c r="Q46" s="381"/>
      <c r="S46" s="305" t="s">
        <v>142</v>
      </c>
      <c r="T46" s="306"/>
      <c r="U46" s="306"/>
      <c r="V46" s="306"/>
      <c r="W46" s="321"/>
      <c r="X46" s="333">
        <f>SUM(X40:X45)</f>
        <v>0</v>
      </c>
      <c r="Y46" s="307">
        <f>SUM(Y40:Y45)</f>
        <v>0</v>
      </c>
    </row>
    <row r="47" spans="1:25" ht="15.75" thickBot="1">
      <c r="A47">
        <f>A46+1</f>
        <v>21</v>
      </c>
      <c r="B47" s="343"/>
      <c r="C47" s="344"/>
      <c r="D47" s="389"/>
      <c r="E47" s="345"/>
      <c r="F47" s="344"/>
      <c r="G47" s="389"/>
      <c r="H47" s="345"/>
      <c r="I47" s="344"/>
      <c r="J47" s="389"/>
      <c r="K47" s="345"/>
      <c r="L47" s="344"/>
      <c r="M47" s="389"/>
      <c r="N47" s="346"/>
      <c r="O47" s="383">
        <f>SUM(C47:N47)</f>
        <v>0</v>
      </c>
      <c r="P47" s="384">
        <f>IFERROR(((C47+D47+E47)*$AD$3)+((F47+G47+H47)*$AD$4)+((I47+J47+K47)*$AD$5)+((L47+M47+N47)*$AD$6),"-")</f>
        <v>0</v>
      </c>
      <c r="Q47" s="352"/>
    </row>
    <row r="48" spans="1:25" ht="15.75" thickBot="1">
      <c r="A48">
        <f>A47+1</f>
        <v>22</v>
      </c>
      <c r="B48" s="377"/>
      <c r="C48" s="378"/>
      <c r="D48" s="388"/>
      <c r="E48" s="379"/>
      <c r="F48" s="378"/>
      <c r="G48" s="388"/>
      <c r="H48" s="379"/>
      <c r="I48" s="378"/>
      <c r="J48" s="388"/>
      <c r="K48" s="379"/>
      <c r="L48" s="378"/>
      <c r="M48" s="388"/>
      <c r="N48" s="380"/>
      <c r="O48" s="383">
        <f>SUM(C48:N48)</f>
        <v>0</v>
      </c>
      <c r="P48" s="384">
        <f>IFERROR(((C48+D48+E48)*$AD$3)+((F48+G48+H48)*$AD$4)+((I48+J48+K48)*$AD$5)+((L48+M48+N48)*$AD$6),"-")</f>
        <v>0</v>
      </c>
      <c r="Q48" s="381"/>
      <c r="S48" s="315" t="s">
        <v>143</v>
      </c>
      <c r="T48" s="202" t="s">
        <v>144</v>
      </c>
      <c r="U48" s="202" t="s">
        <v>16</v>
      </c>
      <c r="V48" s="202" t="s">
        <v>13</v>
      </c>
      <c r="W48" s="202" t="s">
        <v>118</v>
      </c>
      <c r="X48" s="202" t="s">
        <v>4</v>
      </c>
      <c r="Y48" s="203" t="s">
        <v>113</v>
      </c>
    </row>
    <row r="49" spans="1:25">
      <c r="A49">
        <f>A48+1</f>
        <v>23</v>
      </c>
      <c r="B49" s="343"/>
      <c r="C49" s="344"/>
      <c r="D49" s="389"/>
      <c r="E49" s="345"/>
      <c r="F49" s="344"/>
      <c r="G49" s="389"/>
      <c r="H49" s="345"/>
      <c r="I49" s="344"/>
      <c r="J49" s="389"/>
      <c r="K49" s="345"/>
      <c r="L49" s="344"/>
      <c r="M49" s="389"/>
      <c r="N49" s="346"/>
      <c r="O49" s="383">
        <f>SUM(C49:N49)</f>
        <v>0</v>
      </c>
      <c r="P49" s="384">
        <f>IFERROR(((C49+D49+E49)*$AD$3)+((F49+G49+H49)*$AD$4)+((I49+J49+K49)*$AD$5)+((L49+M49+N49)*$AD$6),"-")</f>
        <v>0</v>
      </c>
      <c r="Q49" s="352"/>
      <c r="S49" s="302">
        <f>$S$3</f>
        <v>0</v>
      </c>
      <c r="T49" s="309">
        <f>U66</f>
        <v>0</v>
      </c>
      <c r="U49" s="359"/>
      <c r="V49" s="359"/>
      <c r="W49" s="359"/>
      <c r="X49" s="310">
        <f>SUM(U49:W49)</f>
        <v>0</v>
      </c>
      <c r="Y49" s="252">
        <f>IFERROR(T49*X49,"-")</f>
        <v>0</v>
      </c>
    </row>
    <row r="50" spans="1:25">
      <c r="A50">
        <f>A49+1</f>
        <v>24</v>
      </c>
      <c r="B50" s="377"/>
      <c r="C50" s="378"/>
      <c r="D50" s="388"/>
      <c r="E50" s="379"/>
      <c r="F50" s="378"/>
      <c r="G50" s="388"/>
      <c r="H50" s="379"/>
      <c r="I50" s="378"/>
      <c r="J50" s="388"/>
      <c r="K50" s="379"/>
      <c r="L50" s="378"/>
      <c r="M50" s="388"/>
      <c r="N50" s="380"/>
      <c r="O50" s="383">
        <f>SUM(C50:N50)</f>
        <v>0</v>
      </c>
      <c r="P50" s="384">
        <f>IFERROR(((C50+D50+E50)*$AD$3)+((F50+G50+H50)*$AD$4)+((I50+J50+K50)*$AD$5)+((L50+M50+N50)*$AD$6),"-")</f>
        <v>0</v>
      </c>
      <c r="Q50" s="381"/>
      <c r="S50" s="302">
        <f>$S$4</f>
        <v>0</v>
      </c>
      <c r="T50" s="309">
        <f>U67</f>
        <v>0</v>
      </c>
      <c r="U50" s="359"/>
      <c r="V50" s="359"/>
      <c r="W50" s="359"/>
      <c r="X50" s="310">
        <f>SUM(U50:W50)</f>
        <v>0</v>
      </c>
      <c r="Y50" s="252">
        <f>IFERROR(T50*X50,"-")</f>
        <v>0</v>
      </c>
    </row>
    <row r="51" spans="1:25">
      <c r="A51">
        <f>A50+1</f>
        <v>25</v>
      </c>
      <c r="B51" s="343"/>
      <c r="C51" s="344"/>
      <c r="D51" s="389"/>
      <c r="E51" s="345"/>
      <c r="F51" s="344"/>
      <c r="G51" s="389"/>
      <c r="H51" s="345"/>
      <c r="I51" s="344"/>
      <c r="J51" s="389"/>
      <c r="K51" s="345"/>
      <c r="L51" s="344"/>
      <c r="M51" s="389"/>
      <c r="N51" s="346"/>
      <c r="O51" s="383">
        <f>SUM(C51:N51)</f>
        <v>0</v>
      </c>
      <c r="P51" s="384">
        <f>IFERROR(((C51+D51+E51)*$AD$3)+((F51+G51+H51)*$AD$4)+((I51+J51+K51)*$AD$5)+((L51+M51+N51)*$AD$6),"-")</f>
        <v>0</v>
      </c>
      <c r="Q51" s="352"/>
      <c r="S51" s="302">
        <f>$S$5</f>
        <v>0</v>
      </c>
      <c r="T51" s="309">
        <f>U68</f>
        <v>0</v>
      </c>
      <c r="U51" s="359"/>
      <c r="V51" s="359"/>
      <c r="W51" s="359"/>
      <c r="X51" s="310">
        <f>SUM(U51:W51)</f>
        <v>0</v>
      </c>
      <c r="Y51" s="252">
        <f>IFERROR(T51*X51,"-")</f>
        <v>0</v>
      </c>
    </row>
    <row r="52" spans="1:25">
      <c r="A52">
        <f>A51+1</f>
        <v>26</v>
      </c>
      <c r="B52" s="377"/>
      <c r="C52" s="378"/>
      <c r="D52" s="388"/>
      <c r="E52" s="379"/>
      <c r="F52" s="378"/>
      <c r="G52" s="388"/>
      <c r="H52" s="379"/>
      <c r="I52" s="378"/>
      <c r="J52" s="388"/>
      <c r="K52" s="379"/>
      <c r="L52" s="378"/>
      <c r="M52" s="388"/>
      <c r="N52" s="380"/>
      <c r="O52" s="383">
        <f>SUM(C52:N52)</f>
        <v>0</v>
      </c>
      <c r="P52" s="384">
        <f>IFERROR(((C52+D52+E52)*$AD$3)+((F52+G52+H52)*$AD$4)+((I52+J52+K52)*$AD$5)+((L52+M52+N52)*$AD$6),"-")</f>
        <v>0</v>
      </c>
      <c r="Q52" s="381"/>
      <c r="S52" s="302">
        <f>$S$6</f>
        <v>0</v>
      </c>
      <c r="T52" s="309">
        <f>U69</f>
        <v>0</v>
      </c>
      <c r="U52" s="359"/>
      <c r="V52" s="359"/>
      <c r="W52" s="359"/>
      <c r="X52" s="310">
        <f>SUM(U52:W52)</f>
        <v>0</v>
      </c>
      <c r="Y52" s="252">
        <f>IFERROR(T52*X52,"-")</f>
        <v>0</v>
      </c>
    </row>
    <row r="53" spans="1:25">
      <c r="A53">
        <f>A52+1</f>
        <v>27</v>
      </c>
      <c r="B53" s="343"/>
      <c r="C53" s="344"/>
      <c r="D53" s="389"/>
      <c r="E53" s="345"/>
      <c r="F53" s="344"/>
      <c r="G53" s="389"/>
      <c r="H53" s="345"/>
      <c r="I53" s="344"/>
      <c r="J53" s="389"/>
      <c r="K53" s="345"/>
      <c r="L53" s="344"/>
      <c r="M53" s="389"/>
      <c r="N53" s="346"/>
      <c r="O53" s="383">
        <f>SUM(C53:N53)</f>
        <v>0</v>
      </c>
      <c r="P53" s="384">
        <f>IFERROR(((C53+D53+E53)*$AD$3)+((F53+G53+H53)*$AD$4)+((I53+J53+K53)*$AD$5)+((L53+M53+N53)*$AD$6),"-")</f>
        <v>0</v>
      </c>
      <c r="Q53" s="352"/>
      <c r="S53" s="278"/>
      <c r="T53" s="310"/>
      <c r="U53" s="359"/>
      <c r="V53" s="359"/>
      <c r="W53" s="359"/>
      <c r="X53" s="310">
        <f>SUM(U53:W53)</f>
        <v>0</v>
      </c>
      <c r="Y53" s="323">
        <f>IFERROR(T53*X53,"-")</f>
        <v>0</v>
      </c>
    </row>
    <row r="54" spans="1:25" ht="15.75" thickBot="1">
      <c r="A54">
        <f>A53+1</f>
        <v>28</v>
      </c>
      <c r="B54" s="377"/>
      <c r="C54" s="378"/>
      <c r="D54" s="388"/>
      <c r="E54" s="379"/>
      <c r="F54" s="378"/>
      <c r="G54" s="388"/>
      <c r="H54" s="379"/>
      <c r="I54" s="378"/>
      <c r="J54" s="388"/>
      <c r="K54" s="379"/>
      <c r="L54" s="378"/>
      <c r="M54" s="388"/>
      <c r="N54" s="380"/>
      <c r="O54" s="383">
        <f>SUM(C54:N54)</f>
        <v>0</v>
      </c>
      <c r="P54" s="384">
        <f>IFERROR(((C54+D54+E54)*$AD$3)+((F54+G54+H54)*$AD$4)+((I54+J54+K54)*$AD$5)+((L54+M54+N54)*$AD$6),"-")</f>
        <v>0</v>
      </c>
      <c r="Q54" s="381"/>
      <c r="S54" s="279"/>
      <c r="T54" s="312"/>
      <c r="U54" s="360"/>
      <c r="V54" s="360"/>
      <c r="W54" s="360"/>
      <c r="X54" s="312">
        <f>SUM(U54:W54)</f>
        <v>0</v>
      </c>
      <c r="Y54" s="324">
        <f>IFERROR(T54*X54,"-")</f>
        <v>0</v>
      </c>
    </row>
    <row r="55" spans="1:25" ht="15.75" thickBot="1">
      <c r="A55">
        <f>A54+1</f>
        <v>29</v>
      </c>
      <c r="B55" s="343"/>
      <c r="C55" s="344"/>
      <c r="D55" s="389"/>
      <c r="E55" s="345"/>
      <c r="F55" s="344"/>
      <c r="G55" s="389"/>
      <c r="H55" s="345"/>
      <c r="I55" s="344"/>
      <c r="J55" s="389"/>
      <c r="K55" s="345"/>
      <c r="L55" s="344"/>
      <c r="M55" s="389"/>
      <c r="N55" s="346"/>
      <c r="O55" s="383">
        <f>SUM(C55:N55)</f>
        <v>0</v>
      </c>
      <c r="P55" s="384">
        <f>IFERROR(((C55+D55+E55)*$AD$3)+((F55+G55+H55)*$AD$4)+((I55+J55+K55)*$AD$5)+((L55+M55+N55)*$AD$6),"-")</f>
        <v>0</v>
      </c>
      <c r="Q55" s="352"/>
      <c r="S55" s="305" t="s">
        <v>145</v>
      </c>
      <c r="T55" s="306"/>
      <c r="U55" s="306"/>
      <c r="V55" s="306"/>
      <c r="W55" s="321"/>
      <c r="X55" s="333">
        <f>SUM(X49:X54)</f>
        <v>0</v>
      </c>
      <c r="Y55" s="307">
        <f>SUM(Y49:Y54)</f>
        <v>0</v>
      </c>
    </row>
    <row r="56" spans="1:25" ht="15.75" thickBot="1">
      <c r="A56">
        <f>A55+1</f>
        <v>30</v>
      </c>
      <c r="B56" s="377"/>
      <c r="C56" s="378"/>
      <c r="D56" s="388"/>
      <c r="E56" s="379"/>
      <c r="F56" s="378"/>
      <c r="G56" s="388"/>
      <c r="H56" s="379"/>
      <c r="I56" s="378"/>
      <c r="J56" s="388"/>
      <c r="K56" s="379"/>
      <c r="L56" s="378"/>
      <c r="M56" s="388"/>
      <c r="N56" s="380"/>
      <c r="O56" s="383">
        <f>SUM(C56:N56)</f>
        <v>0</v>
      </c>
      <c r="P56" s="384">
        <f>IFERROR(((C56+D56+E56)*$AD$3)+((F56+G56+H56)*$AD$4)+((I56+J56+K56)*$AD$5)+((L56+M56+N56)*$AD$6),"-")</f>
        <v>0</v>
      </c>
      <c r="Q56" s="381"/>
    </row>
    <row r="57" spans="1:25" ht="15.75" thickBot="1">
      <c r="A57">
        <f>A56+1</f>
        <v>31</v>
      </c>
      <c r="B57" s="343"/>
      <c r="C57" s="344"/>
      <c r="D57" s="389"/>
      <c r="E57" s="345"/>
      <c r="F57" s="344"/>
      <c r="G57" s="389"/>
      <c r="H57" s="345"/>
      <c r="I57" s="344"/>
      <c r="J57" s="389"/>
      <c r="K57" s="345"/>
      <c r="L57" s="344"/>
      <c r="M57" s="389"/>
      <c r="N57" s="346"/>
      <c r="O57" s="383">
        <f>SUM(C57:N57)</f>
        <v>0</v>
      </c>
      <c r="P57" s="384">
        <f>IFERROR(((C57+D57+E57)*$AD$3)+((F57+G57+H57)*$AD$4)+((I57+J57+K57)*$AD$5)+((L57+M57+N57)*$AD$6),"-")</f>
        <v>0</v>
      </c>
      <c r="Q57" s="352"/>
      <c r="S57" s="315" t="s">
        <v>146</v>
      </c>
      <c r="T57" s="202" t="s">
        <v>147</v>
      </c>
      <c r="U57" s="202" t="s">
        <v>141</v>
      </c>
      <c r="V57" s="202" t="s">
        <v>119</v>
      </c>
      <c r="W57" s="203" t="s">
        <v>113</v>
      </c>
    </row>
    <row r="58" spans="1:25">
      <c r="A58">
        <f>A57+1</f>
        <v>32</v>
      </c>
      <c r="B58" s="377"/>
      <c r="C58" s="378"/>
      <c r="D58" s="388"/>
      <c r="E58" s="379"/>
      <c r="F58" s="378"/>
      <c r="G58" s="388"/>
      <c r="H58" s="379"/>
      <c r="I58" s="378"/>
      <c r="J58" s="388"/>
      <c r="K58" s="379"/>
      <c r="L58" s="378"/>
      <c r="M58" s="388"/>
      <c r="N58" s="380"/>
      <c r="O58" s="383">
        <f>SUM(C58:N58)</f>
        <v>0</v>
      </c>
      <c r="P58" s="384">
        <f>IFERROR(((C58+D58+E58)*$AD$3)+((F58+G58+H58)*$AD$4)+((I58+J58+K58)*$AD$5)+((L58+M58+N58)*$AD$6),"-")</f>
        <v>0</v>
      </c>
      <c r="Q58" s="381"/>
      <c r="S58" s="302">
        <f>$S$3</f>
        <v>0</v>
      </c>
      <c r="T58" s="316" t="str">
        <f>Z3</f>
        <v>-</v>
      </c>
      <c r="U58" s="309" t="str">
        <f>W31</f>
        <v>-</v>
      </c>
      <c r="V58" s="309"/>
      <c r="W58" s="252">
        <f>SUM(T58:V58)</f>
        <v>0</v>
      </c>
    </row>
    <row r="59" spans="1:25">
      <c r="A59">
        <f>A58+1</f>
        <v>33</v>
      </c>
      <c r="B59" s="343"/>
      <c r="C59" s="344"/>
      <c r="D59" s="389"/>
      <c r="E59" s="345"/>
      <c r="F59" s="344"/>
      <c r="G59" s="389"/>
      <c r="H59" s="345"/>
      <c r="I59" s="344"/>
      <c r="J59" s="389"/>
      <c r="K59" s="345"/>
      <c r="L59" s="344"/>
      <c r="M59" s="389"/>
      <c r="N59" s="346"/>
      <c r="O59" s="383">
        <f>SUM(C59:N59)</f>
        <v>0</v>
      </c>
      <c r="P59" s="384">
        <f>IFERROR(((C59+D59+E59)*$AD$3)+((F59+G59+H59)*$AD$4)+((I59+J59+K59)*$AD$5)+((L59+M59+N59)*$AD$6),"-")</f>
        <v>0</v>
      </c>
      <c r="Q59" s="352"/>
      <c r="S59" s="302">
        <f>$S$4</f>
        <v>0</v>
      </c>
      <c r="T59" s="316" t="str">
        <f>Z4</f>
        <v>-</v>
      </c>
      <c r="U59" s="309" t="str">
        <f>W32</f>
        <v>-</v>
      </c>
      <c r="V59" s="309"/>
      <c r="W59" s="252">
        <f>SUM(T59:V59)</f>
        <v>0</v>
      </c>
    </row>
    <row r="60" spans="1:25">
      <c r="A60">
        <f>A59+1</f>
        <v>34</v>
      </c>
      <c r="B60" s="377"/>
      <c r="C60" s="378"/>
      <c r="D60" s="388"/>
      <c r="E60" s="379"/>
      <c r="F60" s="378"/>
      <c r="G60" s="388"/>
      <c r="H60" s="379"/>
      <c r="I60" s="378"/>
      <c r="J60" s="388"/>
      <c r="K60" s="379"/>
      <c r="L60" s="378"/>
      <c r="M60" s="388"/>
      <c r="N60" s="380"/>
      <c r="O60" s="383">
        <f>SUM(C60:N60)</f>
        <v>0</v>
      </c>
      <c r="P60" s="384">
        <f>IFERROR(((C60+D60+E60)*$AD$3)+((F60+G60+H60)*$AD$4)+((I60+J60+K60)*$AD$5)+((L60+M60+N60)*$AD$6),"-")</f>
        <v>0</v>
      </c>
      <c r="Q60" s="381"/>
      <c r="S60" s="302">
        <f>$S$5</f>
        <v>0</v>
      </c>
      <c r="T60" s="316" t="str">
        <f>Z5</f>
        <v>-</v>
      </c>
      <c r="U60" s="309" t="str">
        <f>W33</f>
        <v>-</v>
      </c>
      <c r="V60" s="309"/>
      <c r="W60" s="252">
        <f>SUM(T60:V60)</f>
        <v>0</v>
      </c>
    </row>
    <row r="61" spans="1:25" ht="15.75" thickBot="1">
      <c r="A61">
        <f>A60+1</f>
        <v>35</v>
      </c>
      <c r="B61" s="347"/>
      <c r="C61" s="348"/>
      <c r="D61" s="390"/>
      <c r="E61" s="349"/>
      <c r="F61" s="348"/>
      <c r="G61" s="390"/>
      <c r="H61" s="349"/>
      <c r="I61" s="348"/>
      <c r="J61" s="390"/>
      <c r="K61" s="349"/>
      <c r="L61" s="348"/>
      <c r="M61" s="390"/>
      <c r="N61" s="350"/>
      <c r="O61" s="385">
        <f>SUM(C61:N61)</f>
        <v>0</v>
      </c>
      <c r="P61" s="386">
        <f>IFERROR(((C61+D61+E61)*$AD$3)+((F61+G61+H61)*$AD$4)+((I61+J61+K61)*$AD$5)+((L61+M61+N61)*$AD$6),"-")</f>
        <v>0</v>
      </c>
      <c r="Q61" s="353"/>
      <c r="S61" s="302">
        <f>$S$6</f>
        <v>0</v>
      </c>
      <c r="T61" s="316" t="str">
        <f>Z6</f>
        <v>-</v>
      </c>
      <c r="U61" s="320" t="str">
        <f>W34</f>
        <v>-</v>
      </c>
      <c r="V61" s="320"/>
      <c r="W61" s="252">
        <f>SUM(T61:V61)</f>
        <v>0</v>
      </c>
    </row>
    <row r="62" spans="1:25">
      <c r="S62" s="278"/>
      <c r="T62" s="310"/>
      <c r="U62" s="317"/>
      <c r="V62" s="317"/>
      <c r="W62" s="323">
        <f t="shared" ref="W62:W63" si="4">SUM(T62:V62)</f>
        <v>0</v>
      </c>
    </row>
    <row r="63" spans="1:25" ht="15.75" thickBot="1">
      <c r="S63" s="279"/>
      <c r="T63" s="312"/>
      <c r="U63" s="319"/>
      <c r="V63" s="319"/>
      <c r="W63" s="324">
        <f t="shared" si="4"/>
        <v>0</v>
      </c>
    </row>
    <row r="64" spans="1:25" ht="15.75" thickBot="1"/>
    <row r="65" spans="1:23" ht="15.75" thickBot="1">
      <c r="A65" s="364">
        <v>1</v>
      </c>
      <c r="B65" s="364">
        <f>B27</f>
        <v>0</v>
      </c>
      <c r="C65" s="364" t="str">
        <f>_xlfn.TEXTJOIN(", ",TRUE,
IF(OR(C27&gt;0,F27&gt;0,I27&gt;0,L27&gt;0),"M",""),
IF(OR(D27&gt;0,G27&gt;0,J27&gt;0,M27&gt;0),"L",""),
IF(OR(E27&gt;0,H27&gt;0,K27&gt;0,N27&gt;0),"XL","")
)</f>
        <v/>
      </c>
      <c r="D65" s="364" t="b">
        <f>IF(C65="M",1,IF(C65="L",2,IF(C65="XL",3)))</f>
        <v>0</v>
      </c>
      <c r="E65" s="365">
        <f>O27</f>
        <v>0</v>
      </c>
      <c r="F65" s="366">
        <f>P27</f>
        <v>0</v>
      </c>
      <c r="G65" s="364" t="str">
        <f>$B$2</f>
        <v>DROP X</v>
      </c>
      <c r="S65" s="315" t="s">
        <v>148</v>
      </c>
      <c r="T65" s="202" t="s">
        <v>121</v>
      </c>
      <c r="U65" s="202" t="s">
        <v>144</v>
      </c>
      <c r="V65" s="202" t="s">
        <v>110</v>
      </c>
      <c r="W65" s="203" t="s">
        <v>149</v>
      </c>
    </row>
    <row r="66" spans="1:23">
      <c r="A66" s="364">
        <v>2</v>
      </c>
      <c r="B66" s="364">
        <f>B28</f>
        <v>0</v>
      </c>
      <c r="C66" s="364" t="str">
        <f t="shared" ref="C66:C99" si="5">_xlfn.TEXTJOIN(", ",TRUE,
IF(OR(C28&gt;0,F28&gt;0,I28&gt;0,L28&gt;0),"M",""),
IF(OR(D28&gt;0,G28&gt;0,J28&gt;0,M28&gt;0),"L",""),
IF(OR(E28&gt;0,H28&gt;0,K28&gt;0,N28&gt;0),"XL","")
)</f>
        <v/>
      </c>
      <c r="D66" s="364" t="b">
        <f t="shared" ref="D66:D99" si="6">IF(C66="M",1,IF(C66="L",2,IF(C66="XL",3)))</f>
        <v>0</v>
      </c>
      <c r="E66" s="365">
        <f>O28</f>
        <v>0</v>
      </c>
      <c r="F66" s="366">
        <f>P28</f>
        <v>0</v>
      </c>
      <c r="G66" s="364" t="str">
        <f t="shared" ref="G66:G99" si="7">$B$2</f>
        <v>DROP X</v>
      </c>
      <c r="S66" s="302">
        <f>$S$3</f>
        <v>0</v>
      </c>
      <c r="T66" s="363"/>
      <c r="U66" s="309">
        <f>-W58</f>
        <v>0</v>
      </c>
      <c r="V66" s="309">
        <f>SUM(T66:U66)</f>
        <v>0</v>
      </c>
      <c r="W66" s="330" t="e">
        <f>V66/T66</f>
        <v>#DIV/0!</v>
      </c>
    </row>
    <row r="67" spans="1:23">
      <c r="A67" s="364">
        <v>3</v>
      </c>
      <c r="B67" s="364">
        <f>B29</f>
        <v>0</v>
      </c>
      <c r="C67" s="364" t="str">
        <f t="shared" si="5"/>
        <v/>
      </c>
      <c r="D67" s="364" t="b">
        <f t="shared" si="6"/>
        <v>0</v>
      </c>
      <c r="E67" s="365">
        <f>O29</f>
        <v>0</v>
      </c>
      <c r="F67" s="366">
        <f>P29</f>
        <v>0</v>
      </c>
      <c r="G67" s="364" t="str">
        <f t="shared" si="7"/>
        <v>DROP X</v>
      </c>
      <c r="S67" s="302">
        <f>$S$4</f>
        <v>0</v>
      </c>
      <c r="T67" s="363"/>
      <c r="U67" s="309">
        <f>-W59</f>
        <v>0</v>
      </c>
      <c r="V67" s="309">
        <f t="shared" ref="V67:V69" si="8">SUM(T67:U67)</f>
        <v>0</v>
      </c>
      <c r="W67" s="330" t="e">
        <f t="shared" ref="W67:W69" si="9">V67/T67</f>
        <v>#DIV/0!</v>
      </c>
    </row>
    <row r="68" spans="1:23">
      <c r="A68" s="364">
        <f>A67+1</f>
        <v>4</v>
      </c>
      <c r="B68" s="364">
        <f>B30</f>
        <v>0</v>
      </c>
      <c r="C68" s="364" t="str">
        <f t="shared" si="5"/>
        <v/>
      </c>
      <c r="D68" s="364" t="b">
        <f t="shared" si="6"/>
        <v>0</v>
      </c>
      <c r="E68" s="365">
        <f>O30</f>
        <v>0</v>
      </c>
      <c r="F68" s="366">
        <f>P30</f>
        <v>0</v>
      </c>
      <c r="G68" s="364" t="str">
        <f t="shared" si="7"/>
        <v>DROP X</v>
      </c>
      <c r="S68" s="302">
        <f>$S$5</f>
        <v>0</v>
      </c>
      <c r="T68" s="363"/>
      <c r="U68" s="309">
        <f>-W60</f>
        <v>0</v>
      </c>
      <c r="V68" s="309">
        <f t="shared" si="8"/>
        <v>0</v>
      </c>
      <c r="W68" s="330" t="e">
        <f t="shared" si="9"/>
        <v>#DIV/0!</v>
      </c>
    </row>
    <row r="69" spans="1:23">
      <c r="A69" s="364">
        <f t="shared" ref="A69:A99" si="10">A68+1</f>
        <v>5</v>
      </c>
      <c r="B69" s="364">
        <f>B31</f>
        <v>0</v>
      </c>
      <c r="C69" s="364" t="str">
        <f t="shared" si="5"/>
        <v/>
      </c>
      <c r="D69" s="364" t="b">
        <f t="shared" si="6"/>
        <v>0</v>
      </c>
      <c r="E69" s="365">
        <f>O31</f>
        <v>0</v>
      </c>
      <c r="F69" s="366">
        <f>P31</f>
        <v>0</v>
      </c>
      <c r="G69" s="364" t="str">
        <f t="shared" si="7"/>
        <v>DROP X</v>
      </c>
      <c r="S69" s="302">
        <f>$S$6</f>
        <v>0</v>
      </c>
      <c r="T69" s="363"/>
      <c r="U69" s="320">
        <f>-W61</f>
        <v>0</v>
      </c>
      <c r="V69" s="320">
        <f t="shared" si="8"/>
        <v>0</v>
      </c>
      <c r="W69" s="330" t="e">
        <f t="shared" si="9"/>
        <v>#DIV/0!</v>
      </c>
    </row>
    <row r="70" spans="1:23">
      <c r="A70" s="364">
        <f t="shared" si="10"/>
        <v>6</v>
      </c>
      <c r="B70" s="364">
        <f>B32</f>
        <v>0</v>
      </c>
      <c r="C70" s="364" t="str">
        <f t="shared" si="5"/>
        <v/>
      </c>
      <c r="D70" s="364" t="b">
        <f t="shared" si="6"/>
        <v>0</v>
      </c>
      <c r="E70" s="365">
        <f>O32</f>
        <v>0</v>
      </c>
      <c r="F70" s="366">
        <f>P32</f>
        <v>0</v>
      </c>
      <c r="G70" s="364" t="str">
        <f t="shared" si="7"/>
        <v>DROP X</v>
      </c>
      <c r="S70" s="278"/>
      <c r="T70" s="359"/>
      <c r="U70" s="317"/>
      <c r="V70" s="317"/>
      <c r="W70" s="204"/>
    </row>
    <row r="71" spans="1:23" ht="15.75" thickBot="1">
      <c r="A71" s="364">
        <f t="shared" si="10"/>
        <v>7</v>
      </c>
      <c r="B71" s="364">
        <f>B33</f>
        <v>0</v>
      </c>
      <c r="C71" s="364" t="str">
        <f t="shared" si="5"/>
        <v/>
      </c>
      <c r="D71" s="364" t="b">
        <f t="shared" si="6"/>
        <v>0</v>
      </c>
      <c r="E71" s="365">
        <f>O33</f>
        <v>0</v>
      </c>
      <c r="F71" s="366">
        <f>P33</f>
        <v>0</v>
      </c>
      <c r="G71" s="364" t="str">
        <f t="shared" si="7"/>
        <v>DROP X</v>
      </c>
      <c r="S71" s="279"/>
      <c r="T71" s="360"/>
      <c r="U71" s="319"/>
      <c r="V71" s="319"/>
      <c r="W71" s="205"/>
    </row>
    <row r="72" spans="1:23">
      <c r="A72" s="364">
        <f t="shared" si="10"/>
        <v>8</v>
      </c>
      <c r="B72" s="364">
        <f>B34</f>
        <v>0</v>
      </c>
      <c r="C72" s="364" t="str">
        <f t="shared" si="5"/>
        <v/>
      </c>
      <c r="D72" s="364" t="b">
        <f t="shared" si="6"/>
        <v>0</v>
      </c>
      <c r="E72" s="365">
        <f>O34</f>
        <v>0</v>
      </c>
      <c r="F72" s="366">
        <f>P34</f>
        <v>0</v>
      </c>
      <c r="G72" s="364" t="str">
        <f t="shared" si="7"/>
        <v>DROP X</v>
      </c>
    </row>
    <row r="73" spans="1:23">
      <c r="A73" s="364">
        <f t="shared" si="10"/>
        <v>9</v>
      </c>
      <c r="B73" s="364">
        <f>B35</f>
        <v>0</v>
      </c>
      <c r="C73" s="364" t="str">
        <f t="shared" si="5"/>
        <v/>
      </c>
      <c r="D73" s="364" t="b">
        <f t="shared" si="6"/>
        <v>0</v>
      </c>
      <c r="E73" s="365">
        <f>O35</f>
        <v>0</v>
      </c>
      <c r="F73" s="366">
        <f>P35</f>
        <v>0</v>
      </c>
      <c r="G73" s="364" t="str">
        <f t="shared" si="7"/>
        <v>DROP X</v>
      </c>
    </row>
    <row r="74" spans="1:23">
      <c r="A74" s="364">
        <f t="shared" si="10"/>
        <v>10</v>
      </c>
      <c r="B74" s="364">
        <f>B36</f>
        <v>0</v>
      </c>
      <c r="C74" s="364" t="str">
        <f t="shared" si="5"/>
        <v/>
      </c>
      <c r="D74" s="364" t="b">
        <f t="shared" si="6"/>
        <v>0</v>
      </c>
      <c r="E74" s="365">
        <f>O36</f>
        <v>0</v>
      </c>
      <c r="F74" s="366">
        <f>P36</f>
        <v>0</v>
      </c>
      <c r="G74" s="364" t="str">
        <f t="shared" si="7"/>
        <v>DROP X</v>
      </c>
    </row>
    <row r="75" spans="1:23">
      <c r="A75" s="364">
        <f t="shared" si="10"/>
        <v>11</v>
      </c>
      <c r="B75" s="364">
        <f>B37</f>
        <v>0</v>
      </c>
      <c r="C75" s="364" t="str">
        <f t="shared" si="5"/>
        <v/>
      </c>
      <c r="D75" s="364" t="b">
        <f t="shared" si="6"/>
        <v>0</v>
      </c>
      <c r="E75" s="365">
        <f>O37</f>
        <v>0</v>
      </c>
      <c r="F75" s="366">
        <f>P37</f>
        <v>0</v>
      </c>
      <c r="G75" s="364" t="str">
        <f t="shared" si="7"/>
        <v>DROP X</v>
      </c>
    </row>
    <row r="76" spans="1:23">
      <c r="A76" s="364">
        <f t="shared" si="10"/>
        <v>12</v>
      </c>
      <c r="B76" s="364">
        <f>B38</f>
        <v>0</v>
      </c>
      <c r="C76" s="364" t="str">
        <f t="shared" si="5"/>
        <v/>
      </c>
      <c r="D76" s="364" t="b">
        <f t="shared" si="6"/>
        <v>0</v>
      </c>
      <c r="E76" s="365">
        <f>O38</f>
        <v>0</v>
      </c>
      <c r="F76" s="366">
        <f>P38</f>
        <v>0</v>
      </c>
      <c r="G76" s="364" t="str">
        <f t="shared" si="7"/>
        <v>DROP X</v>
      </c>
    </row>
    <row r="77" spans="1:23">
      <c r="A77" s="364">
        <f t="shared" si="10"/>
        <v>13</v>
      </c>
      <c r="B77" s="364">
        <f>B39</f>
        <v>0</v>
      </c>
      <c r="C77" s="364" t="str">
        <f t="shared" si="5"/>
        <v/>
      </c>
      <c r="D77" s="364" t="b">
        <f t="shared" si="6"/>
        <v>0</v>
      </c>
      <c r="E77" s="365">
        <f>O39</f>
        <v>0</v>
      </c>
      <c r="F77" s="366">
        <f>P39</f>
        <v>0</v>
      </c>
      <c r="G77" s="364" t="str">
        <f t="shared" si="7"/>
        <v>DROP X</v>
      </c>
    </row>
    <row r="78" spans="1:23">
      <c r="A78" s="364">
        <f t="shared" si="10"/>
        <v>14</v>
      </c>
      <c r="B78" s="364">
        <f>B40</f>
        <v>0</v>
      </c>
      <c r="C78" s="364" t="str">
        <f t="shared" si="5"/>
        <v/>
      </c>
      <c r="D78" s="364" t="b">
        <f t="shared" si="6"/>
        <v>0</v>
      </c>
      <c r="E78" s="365">
        <f>O40</f>
        <v>0</v>
      </c>
      <c r="F78" s="366">
        <f>P40</f>
        <v>0</v>
      </c>
      <c r="G78" s="364" t="str">
        <f t="shared" si="7"/>
        <v>DROP X</v>
      </c>
    </row>
    <row r="79" spans="1:23">
      <c r="A79" s="364">
        <f t="shared" si="10"/>
        <v>15</v>
      </c>
      <c r="B79" s="364">
        <f>B41</f>
        <v>0</v>
      </c>
      <c r="C79" s="364" t="str">
        <f t="shared" si="5"/>
        <v/>
      </c>
      <c r="D79" s="364" t="b">
        <f t="shared" si="6"/>
        <v>0</v>
      </c>
      <c r="E79" s="365">
        <f>O41</f>
        <v>0</v>
      </c>
      <c r="F79" s="366">
        <f>P41</f>
        <v>0</v>
      </c>
      <c r="G79" s="364" t="str">
        <f t="shared" si="7"/>
        <v>DROP X</v>
      </c>
    </row>
    <row r="80" spans="1:23">
      <c r="A80" s="364">
        <f t="shared" si="10"/>
        <v>16</v>
      </c>
      <c r="B80" s="364">
        <f>B42</f>
        <v>0</v>
      </c>
      <c r="C80" s="364" t="str">
        <f t="shared" si="5"/>
        <v/>
      </c>
      <c r="D80" s="364" t="b">
        <f t="shared" si="6"/>
        <v>0</v>
      </c>
      <c r="E80" s="365">
        <f>O42</f>
        <v>0</v>
      </c>
      <c r="F80" s="366">
        <f>P42</f>
        <v>0</v>
      </c>
      <c r="G80" s="364" t="str">
        <f t="shared" si="7"/>
        <v>DROP X</v>
      </c>
    </row>
    <row r="81" spans="1:7">
      <c r="A81" s="364">
        <f t="shared" si="10"/>
        <v>17</v>
      </c>
      <c r="B81" s="364">
        <f>B43</f>
        <v>0</v>
      </c>
      <c r="C81" s="364" t="str">
        <f t="shared" si="5"/>
        <v/>
      </c>
      <c r="D81" s="364" t="b">
        <f t="shared" si="6"/>
        <v>0</v>
      </c>
      <c r="E81" s="365">
        <f>O43</f>
        <v>0</v>
      </c>
      <c r="F81" s="366">
        <f>P43</f>
        <v>0</v>
      </c>
      <c r="G81" s="364" t="str">
        <f t="shared" si="7"/>
        <v>DROP X</v>
      </c>
    </row>
    <row r="82" spans="1:7">
      <c r="A82" s="364">
        <f t="shared" si="10"/>
        <v>18</v>
      </c>
      <c r="B82" s="364">
        <f>B44</f>
        <v>0</v>
      </c>
      <c r="C82" s="364" t="str">
        <f t="shared" si="5"/>
        <v/>
      </c>
      <c r="D82" s="364" t="b">
        <f t="shared" si="6"/>
        <v>0</v>
      </c>
      <c r="E82" s="365">
        <f>O44</f>
        <v>0</v>
      </c>
      <c r="F82" s="366">
        <f>P44</f>
        <v>0</v>
      </c>
      <c r="G82" s="364" t="str">
        <f t="shared" si="7"/>
        <v>DROP X</v>
      </c>
    </row>
    <row r="83" spans="1:7">
      <c r="A83" s="364">
        <f t="shared" si="10"/>
        <v>19</v>
      </c>
      <c r="B83" s="364">
        <f>B45</f>
        <v>0</v>
      </c>
      <c r="C83" s="364" t="str">
        <f t="shared" si="5"/>
        <v/>
      </c>
      <c r="D83" s="364" t="b">
        <f t="shared" si="6"/>
        <v>0</v>
      </c>
      <c r="E83" s="365">
        <f>O45</f>
        <v>0</v>
      </c>
      <c r="F83" s="366">
        <f>P45</f>
        <v>0</v>
      </c>
      <c r="G83" s="364" t="str">
        <f t="shared" si="7"/>
        <v>DROP X</v>
      </c>
    </row>
    <row r="84" spans="1:7">
      <c r="A84" s="364">
        <f t="shared" si="10"/>
        <v>20</v>
      </c>
      <c r="B84" s="364">
        <f>B46</f>
        <v>0</v>
      </c>
      <c r="C84" s="364" t="str">
        <f t="shared" si="5"/>
        <v/>
      </c>
      <c r="D84" s="364" t="b">
        <f t="shared" si="6"/>
        <v>0</v>
      </c>
      <c r="E84" s="365">
        <f>O46</f>
        <v>0</v>
      </c>
      <c r="F84" s="366">
        <f>P46</f>
        <v>0</v>
      </c>
      <c r="G84" s="364" t="str">
        <f t="shared" si="7"/>
        <v>DROP X</v>
      </c>
    </row>
    <row r="85" spans="1:7">
      <c r="A85" s="364">
        <f t="shared" si="10"/>
        <v>21</v>
      </c>
      <c r="B85" s="364">
        <f>B47</f>
        <v>0</v>
      </c>
      <c r="C85" s="364" t="str">
        <f t="shared" si="5"/>
        <v/>
      </c>
      <c r="D85" s="364" t="b">
        <f t="shared" si="6"/>
        <v>0</v>
      </c>
      <c r="E85" s="365">
        <f>O47</f>
        <v>0</v>
      </c>
      <c r="F85" s="366">
        <f>P47</f>
        <v>0</v>
      </c>
      <c r="G85" s="364" t="str">
        <f t="shared" si="7"/>
        <v>DROP X</v>
      </c>
    </row>
    <row r="86" spans="1:7">
      <c r="A86" s="364">
        <f t="shared" si="10"/>
        <v>22</v>
      </c>
      <c r="B86" s="364">
        <f>B48</f>
        <v>0</v>
      </c>
      <c r="C86" s="364" t="str">
        <f t="shared" si="5"/>
        <v/>
      </c>
      <c r="D86" s="364" t="b">
        <f t="shared" si="6"/>
        <v>0</v>
      </c>
      <c r="E86" s="365">
        <f>O48</f>
        <v>0</v>
      </c>
      <c r="F86" s="366">
        <f>P48</f>
        <v>0</v>
      </c>
      <c r="G86" s="364" t="str">
        <f t="shared" si="7"/>
        <v>DROP X</v>
      </c>
    </row>
    <row r="87" spans="1:7">
      <c r="A87" s="364">
        <f t="shared" si="10"/>
        <v>23</v>
      </c>
      <c r="B87" s="364">
        <f>B49</f>
        <v>0</v>
      </c>
      <c r="C87" s="364" t="str">
        <f t="shared" si="5"/>
        <v/>
      </c>
      <c r="D87" s="364" t="b">
        <f t="shared" si="6"/>
        <v>0</v>
      </c>
      <c r="E87" s="365">
        <f>O49</f>
        <v>0</v>
      </c>
      <c r="F87" s="366">
        <f>P49</f>
        <v>0</v>
      </c>
      <c r="G87" s="364" t="str">
        <f t="shared" si="7"/>
        <v>DROP X</v>
      </c>
    </row>
    <row r="88" spans="1:7">
      <c r="A88" s="364">
        <f t="shared" si="10"/>
        <v>24</v>
      </c>
      <c r="B88" s="364">
        <f>B50</f>
        <v>0</v>
      </c>
      <c r="C88" s="364" t="str">
        <f t="shared" si="5"/>
        <v/>
      </c>
      <c r="D88" s="364" t="b">
        <f t="shared" si="6"/>
        <v>0</v>
      </c>
      <c r="E88" s="365">
        <f>O50</f>
        <v>0</v>
      </c>
      <c r="F88" s="366">
        <f>P50</f>
        <v>0</v>
      </c>
      <c r="G88" s="364" t="str">
        <f t="shared" si="7"/>
        <v>DROP X</v>
      </c>
    </row>
    <row r="89" spans="1:7">
      <c r="A89" s="364">
        <f t="shared" si="10"/>
        <v>25</v>
      </c>
      <c r="B89" s="364">
        <f>B51</f>
        <v>0</v>
      </c>
      <c r="C89" s="364" t="str">
        <f t="shared" si="5"/>
        <v/>
      </c>
      <c r="D89" s="364" t="b">
        <f t="shared" si="6"/>
        <v>0</v>
      </c>
      <c r="E89" s="365">
        <f>O51</f>
        <v>0</v>
      </c>
      <c r="F89" s="366">
        <f>P51</f>
        <v>0</v>
      </c>
      <c r="G89" s="364" t="str">
        <f t="shared" si="7"/>
        <v>DROP X</v>
      </c>
    </row>
    <row r="90" spans="1:7">
      <c r="A90" s="364">
        <f t="shared" si="10"/>
        <v>26</v>
      </c>
      <c r="B90" s="364">
        <f>B52</f>
        <v>0</v>
      </c>
      <c r="C90" s="364" t="str">
        <f t="shared" si="5"/>
        <v/>
      </c>
      <c r="D90" s="364" t="b">
        <f t="shared" si="6"/>
        <v>0</v>
      </c>
      <c r="E90" s="365">
        <f>O52</f>
        <v>0</v>
      </c>
      <c r="F90" s="366">
        <f>P52</f>
        <v>0</v>
      </c>
      <c r="G90" s="364" t="str">
        <f t="shared" si="7"/>
        <v>DROP X</v>
      </c>
    </row>
    <row r="91" spans="1:7">
      <c r="A91" s="364">
        <f t="shared" si="10"/>
        <v>27</v>
      </c>
      <c r="B91" s="364">
        <f>B53</f>
        <v>0</v>
      </c>
      <c r="C91" s="364" t="str">
        <f t="shared" si="5"/>
        <v/>
      </c>
      <c r="D91" s="364" t="b">
        <f t="shared" si="6"/>
        <v>0</v>
      </c>
      <c r="E91" s="365">
        <f>O53</f>
        <v>0</v>
      </c>
      <c r="F91" s="366">
        <f>P53</f>
        <v>0</v>
      </c>
      <c r="G91" s="364" t="str">
        <f t="shared" si="7"/>
        <v>DROP X</v>
      </c>
    </row>
    <row r="92" spans="1:7">
      <c r="A92" s="364">
        <f t="shared" si="10"/>
        <v>28</v>
      </c>
      <c r="B92" s="364">
        <f>B54</f>
        <v>0</v>
      </c>
      <c r="C92" s="364" t="str">
        <f t="shared" si="5"/>
        <v/>
      </c>
      <c r="D92" s="364" t="b">
        <f t="shared" si="6"/>
        <v>0</v>
      </c>
      <c r="E92" s="365">
        <f>O54</f>
        <v>0</v>
      </c>
      <c r="F92" s="366">
        <f>P54</f>
        <v>0</v>
      </c>
      <c r="G92" s="364" t="str">
        <f t="shared" si="7"/>
        <v>DROP X</v>
      </c>
    </row>
    <row r="93" spans="1:7">
      <c r="A93" s="364">
        <f t="shared" si="10"/>
        <v>29</v>
      </c>
      <c r="B93" s="364">
        <f>B55</f>
        <v>0</v>
      </c>
      <c r="C93" s="364" t="str">
        <f t="shared" si="5"/>
        <v/>
      </c>
      <c r="D93" s="364" t="b">
        <f t="shared" si="6"/>
        <v>0</v>
      </c>
      <c r="E93" s="365">
        <f>O55</f>
        <v>0</v>
      </c>
      <c r="F93" s="366">
        <f>P55</f>
        <v>0</v>
      </c>
      <c r="G93" s="364" t="str">
        <f t="shared" si="7"/>
        <v>DROP X</v>
      </c>
    </row>
    <row r="94" spans="1:7">
      <c r="A94" s="364">
        <f t="shared" si="10"/>
        <v>30</v>
      </c>
      <c r="B94" s="364">
        <f>B56</f>
        <v>0</v>
      </c>
      <c r="C94" s="364" t="str">
        <f t="shared" si="5"/>
        <v/>
      </c>
      <c r="D94" s="364" t="b">
        <f t="shared" si="6"/>
        <v>0</v>
      </c>
      <c r="E94" s="365">
        <f>O56</f>
        <v>0</v>
      </c>
      <c r="F94" s="366">
        <f>P56</f>
        <v>0</v>
      </c>
      <c r="G94" s="364" t="str">
        <f t="shared" si="7"/>
        <v>DROP X</v>
      </c>
    </row>
    <row r="95" spans="1:7">
      <c r="A95" s="364">
        <f t="shared" si="10"/>
        <v>31</v>
      </c>
      <c r="B95" s="364">
        <f>B57</f>
        <v>0</v>
      </c>
      <c r="C95" s="364" t="str">
        <f t="shared" si="5"/>
        <v/>
      </c>
      <c r="D95" s="364" t="b">
        <f t="shared" si="6"/>
        <v>0</v>
      </c>
      <c r="E95" s="365">
        <f>O57</f>
        <v>0</v>
      </c>
      <c r="F95" s="366">
        <f>P57</f>
        <v>0</v>
      </c>
      <c r="G95" s="364" t="str">
        <f t="shared" si="7"/>
        <v>DROP X</v>
      </c>
    </row>
    <row r="96" spans="1:7">
      <c r="A96" s="364">
        <f t="shared" si="10"/>
        <v>32</v>
      </c>
      <c r="B96" s="364">
        <f>B58</f>
        <v>0</v>
      </c>
      <c r="C96" s="364" t="str">
        <f t="shared" si="5"/>
        <v/>
      </c>
      <c r="D96" s="364" t="b">
        <f t="shared" si="6"/>
        <v>0</v>
      </c>
      <c r="E96" s="365">
        <f>O58</f>
        <v>0</v>
      </c>
      <c r="F96" s="366">
        <f>P58</f>
        <v>0</v>
      </c>
      <c r="G96" s="364" t="str">
        <f t="shared" si="7"/>
        <v>DROP X</v>
      </c>
    </row>
    <row r="97" spans="1:7">
      <c r="A97" s="364">
        <f t="shared" si="10"/>
        <v>33</v>
      </c>
      <c r="B97" s="364">
        <f>B59</f>
        <v>0</v>
      </c>
      <c r="C97" s="364" t="str">
        <f t="shared" si="5"/>
        <v/>
      </c>
      <c r="D97" s="364" t="b">
        <f t="shared" si="6"/>
        <v>0</v>
      </c>
      <c r="E97" s="365">
        <f>O59</f>
        <v>0</v>
      </c>
      <c r="F97" s="366">
        <f>P59</f>
        <v>0</v>
      </c>
      <c r="G97" s="364" t="str">
        <f t="shared" si="7"/>
        <v>DROP X</v>
      </c>
    </row>
    <row r="98" spans="1:7">
      <c r="A98" s="364">
        <f t="shared" si="10"/>
        <v>34</v>
      </c>
      <c r="B98" s="364">
        <f>B60</f>
        <v>0</v>
      </c>
      <c r="C98" s="364" t="str">
        <f t="shared" si="5"/>
        <v/>
      </c>
      <c r="D98" s="364" t="b">
        <f t="shared" si="6"/>
        <v>0</v>
      </c>
      <c r="E98" s="365">
        <f>O60</f>
        <v>0</v>
      </c>
      <c r="F98" s="366">
        <f>P60</f>
        <v>0</v>
      </c>
      <c r="G98" s="364" t="str">
        <f t="shared" si="7"/>
        <v>DROP X</v>
      </c>
    </row>
    <row r="99" spans="1:7">
      <c r="A99" s="364">
        <f t="shared" si="10"/>
        <v>35</v>
      </c>
      <c r="B99" s="364">
        <f>B61</f>
        <v>0</v>
      </c>
      <c r="C99" s="364" t="str">
        <f t="shared" si="5"/>
        <v/>
      </c>
      <c r="D99" s="364" t="b">
        <f t="shared" si="6"/>
        <v>0</v>
      </c>
      <c r="E99" s="365">
        <f>O61</f>
        <v>0</v>
      </c>
      <c r="F99" s="366">
        <f>P61</f>
        <v>0</v>
      </c>
      <c r="G99" s="364" t="str">
        <f t="shared" si="7"/>
        <v>DROP X</v>
      </c>
    </row>
  </sheetData>
  <mergeCells count="5">
    <mergeCell ref="C22:E22"/>
    <mergeCell ref="F22:H22"/>
    <mergeCell ref="I22:K22"/>
    <mergeCell ref="L22:N22"/>
    <mergeCell ref="B2:D3"/>
  </mergeCells>
  <phoneticPr fontId="27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4FFD72D-A724-DA4F-8ACF-9BEF0134717D}">
          <x14:formula1>
            <xm:f>CLIENTES!$A$2:$A$1048576</xm:f>
          </x14:formula1>
          <xm:sqref>B27:B61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81C6-D254-6A4F-9302-D8D76C8CB4CA}">
  <sheetPr>
    <tabColor theme="0"/>
  </sheetPr>
  <dimension ref="A1:AT197"/>
  <sheetViews>
    <sheetView topLeftCell="A83" zoomScale="75" zoomScaleNormal="67" workbookViewId="0">
      <selection activeCell="E120" sqref="E120"/>
    </sheetView>
  </sheetViews>
  <sheetFormatPr defaultColWidth="10.875" defaultRowHeight="15.95" customHeight="1"/>
  <cols>
    <col min="1" max="1" width="15" bestFit="1" customWidth="1"/>
    <col min="2" max="2" width="7.625" bestFit="1" customWidth="1"/>
    <col min="3" max="3" width="14.75" bestFit="1" customWidth="1"/>
    <col min="4" max="4" width="72" bestFit="1" customWidth="1"/>
    <col min="5" max="5" width="11" style="94" bestFit="1" customWidth="1"/>
    <col min="6" max="6" width="10.875" style="56" customWidth="1"/>
    <col min="7" max="7" width="14.125" style="56" bestFit="1" customWidth="1"/>
    <col min="8" max="8" width="10.875" style="56" customWidth="1"/>
    <col min="9" max="9" width="10.875" customWidth="1"/>
    <col min="10" max="10" width="10" style="46" bestFit="1" customWidth="1"/>
    <col min="11" max="11" width="64.875" bestFit="1" customWidth="1"/>
    <col min="12" max="12" width="11" style="56" bestFit="1" customWidth="1"/>
    <col min="14" max="14" width="10" style="46" bestFit="1" customWidth="1"/>
    <col min="15" max="15" width="60.75" bestFit="1" customWidth="1"/>
    <col min="16" max="16" width="9.5" bestFit="1" customWidth="1"/>
    <col min="18" max="18" width="14.125" style="46" bestFit="1" customWidth="1"/>
    <col min="19" max="19" width="72" bestFit="1" customWidth="1"/>
    <col min="22" max="22" width="12.875" style="46" bestFit="1" customWidth="1"/>
    <col min="23" max="23" width="55.5" bestFit="1" customWidth="1"/>
    <col min="24" max="24" width="9.5" bestFit="1" customWidth="1"/>
    <col min="26" max="26" width="10" style="46" bestFit="1" customWidth="1"/>
    <col min="27" max="27" width="39.875" bestFit="1" customWidth="1"/>
    <col min="28" max="28" width="10" bestFit="1" customWidth="1"/>
    <col min="30" max="30" width="10" style="46" bestFit="1" customWidth="1"/>
    <col min="31" max="31" width="50.25" bestFit="1" customWidth="1"/>
    <col min="32" max="32" width="10" customWidth="1"/>
    <col min="34" max="34" width="9.875" bestFit="1" customWidth="1"/>
    <col min="35" max="35" width="48.875" bestFit="1" customWidth="1"/>
    <col min="36" max="36" width="12.5" customWidth="1"/>
  </cols>
  <sheetData>
    <row r="1" spans="1:46" ht="15.95" customHeight="1" thickBot="1">
      <c r="AH1" s="7"/>
      <c r="AI1" s="7"/>
      <c r="AS1" s="22"/>
      <c r="AT1" s="22"/>
    </row>
    <row r="2" spans="1:46" ht="15.95" customHeight="1" thickBot="1">
      <c r="H2" s="149" t="s">
        <v>150</v>
      </c>
      <c r="J2" s="118" t="s">
        <v>18</v>
      </c>
      <c r="N2" s="131" t="s">
        <v>21</v>
      </c>
      <c r="R2" s="145" t="s">
        <v>30</v>
      </c>
      <c r="V2" s="144" t="s">
        <v>15</v>
      </c>
      <c r="Z2" s="143" t="s">
        <v>24</v>
      </c>
      <c r="AD2" s="142" t="s">
        <v>26</v>
      </c>
      <c r="AH2" s="179" t="s">
        <v>28</v>
      </c>
      <c r="AS2" s="22"/>
      <c r="AT2" s="22"/>
    </row>
    <row r="3" spans="1:46" ht="15.95" customHeight="1" thickBot="1">
      <c r="C3" s="92"/>
      <c r="E3" s="93"/>
      <c r="G3" s="118" t="s">
        <v>18</v>
      </c>
      <c r="H3" s="150">
        <f>L14</f>
        <v>1039.4099999999999</v>
      </c>
      <c r="AH3" s="46"/>
    </row>
    <row r="4" spans="1:46" ht="15.95" customHeight="1" thickBot="1">
      <c r="A4" s="91" t="s">
        <v>151</v>
      </c>
      <c r="B4" s="91" t="s">
        <v>152</v>
      </c>
      <c r="C4" s="148">
        <v>44338.993125000001</v>
      </c>
      <c r="D4" s="91" t="s">
        <v>153</v>
      </c>
      <c r="E4" s="95">
        <v>55</v>
      </c>
      <c r="G4" s="131" t="s">
        <v>21</v>
      </c>
      <c r="H4" s="151">
        <f>P34</f>
        <v>297.9199999999999</v>
      </c>
      <c r="J4" s="120">
        <v>44338.993125000001</v>
      </c>
      <c r="K4" s="126" t="s">
        <v>153</v>
      </c>
      <c r="L4" s="121">
        <v>55</v>
      </c>
      <c r="M4" s="31"/>
      <c r="N4" s="120">
        <f>C12</f>
        <v>44467.676689814813</v>
      </c>
      <c r="O4" s="126" t="s">
        <v>154</v>
      </c>
      <c r="P4" s="132">
        <f>E12</f>
        <v>-780.23</v>
      </c>
      <c r="R4" s="120">
        <v>44690.781192129631</v>
      </c>
      <c r="S4" s="126" t="s">
        <v>155</v>
      </c>
      <c r="T4" s="132">
        <f>E45</f>
        <v>-9.84</v>
      </c>
      <c r="U4" s="20"/>
      <c r="V4" s="120">
        <f>C64</f>
        <v>44819.082650462966</v>
      </c>
      <c r="W4" s="126" t="s">
        <v>154</v>
      </c>
      <c r="X4" s="132">
        <f>E64</f>
        <v>-405.11</v>
      </c>
      <c r="Z4" s="120">
        <f>C37</f>
        <v>44620.859791666669</v>
      </c>
      <c r="AA4" s="139" t="s">
        <v>154</v>
      </c>
      <c r="AB4" s="140">
        <f>E37</f>
        <v>-433.02</v>
      </c>
      <c r="AD4" s="120">
        <f>C77</f>
        <v>44872.176192129627</v>
      </c>
      <c r="AE4" s="126" t="s">
        <v>156</v>
      </c>
      <c r="AF4" s="140">
        <f>E77</f>
        <v>-89.68</v>
      </c>
      <c r="AH4" s="120">
        <f>C114</f>
        <v>45260</v>
      </c>
      <c r="AI4" s="180" t="str">
        <f t="shared" ref="AI4" si="0">D114</f>
        <v>COMPRA STUDIOS TC</v>
      </c>
      <c r="AJ4" s="184">
        <f>E114</f>
        <v>-713.58</v>
      </c>
      <c r="AK4" s="20"/>
      <c r="AL4" s="20"/>
      <c r="AM4" s="20"/>
      <c r="AN4" s="20"/>
      <c r="AO4" s="20"/>
      <c r="AP4" s="20"/>
      <c r="AQ4" s="20"/>
    </row>
    <row r="5" spans="1:46" ht="15.75" thickBot="1">
      <c r="A5" s="91" t="s">
        <v>151</v>
      </c>
      <c r="B5" s="91" t="s">
        <v>152</v>
      </c>
      <c r="C5" s="148">
        <v>44341.712256944447</v>
      </c>
      <c r="D5" s="147" t="s">
        <v>157</v>
      </c>
      <c r="E5" s="95">
        <v>30</v>
      </c>
      <c r="G5" s="145" t="s">
        <v>30</v>
      </c>
      <c r="H5" s="151">
        <f>T20</f>
        <v>282.83</v>
      </c>
      <c r="J5" s="122">
        <v>44341.712256944447</v>
      </c>
      <c r="K5" s="127" t="s">
        <v>157</v>
      </c>
      <c r="L5" s="123">
        <v>30</v>
      </c>
      <c r="M5" s="31"/>
      <c r="N5" s="122">
        <f>C13</f>
        <v>44467.682719907411</v>
      </c>
      <c r="O5" s="128" t="s">
        <v>154</v>
      </c>
      <c r="P5" s="133">
        <f>E13</f>
        <v>-107.2</v>
      </c>
      <c r="R5" s="122">
        <v>44699.839594907404</v>
      </c>
      <c r="S5" s="128" t="s">
        <v>158</v>
      </c>
      <c r="T5" s="133">
        <f>E46</f>
        <v>-108.16</v>
      </c>
      <c r="U5" s="21"/>
      <c r="V5" s="122">
        <f>C65</f>
        <v>44842.781504629631</v>
      </c>
      <c r="W5" s="128" t="s">
        <v>159</v>
      </c>
      <c r="X5" s="133">
        <f>E65</f>
        <v>-173.3</v>
      </c>
      <c r="Z5" s="122">
        <f>C40</f>
        <v>44630.827685185184</v>
      </c>
      <c r="AA5" s="127" t="s">
        <v>160</v>
      </c>
      <c r="AB5" s="134">
        <f>E40</f>
        <v>-423.53</v>
      </c>
      <c r="AD5" s="122">
        <f>C80</f>
        <v>44887.168854166666</v>
      </c>
      <c r="AE5" s="128" t="s">
        <v>161</v>
      </c>
      <c r="AF5" s="134">
        <f>E80</f>
        <v>-17.64</v>
      </c>
      <c r="AH5" s="122">
        <f>C116</f>
        <v>45323</v>
      </c>
      <c r="AI5" s="187" t="str">
        <f t="shared" ref="AI5" si="1">D116</f>
        <v>SERIGRAFIA</v>
      </c>
      <c r="AJ5" s="189">
        <f>E116</f>
        <v>-228.69</v>
      </c>
      <c r="AN5" s="21"/>
      <c r="AO5" s="21"/>
      <c r="AS5" s="22"/>
      <c r="AT5" s="22"/>
    </row>
    <row r="6" spans="1:46" ht="15.95" customHeight="1" thickBot="1">
      <c r="A6" s="91" t="s">
        <v>151</v>
      </c>
      <c r="B6" s="91" t="s">
        <v>152</v>
      </c>
      <c r="C6" s="148">
        <v>44392.81621527778</v>
      </c>
      <c r="D6" s="91" t="s">
        <v>162</v>
      </c>
      <c r="E6" s="95">
        <v>80</v>
      </c>
      <c r="G6" s="144" t="s">
        <v>15</v>
      </c>
      <c r="H6" s="151">
        <f>X20</f>
        <v>39.219999999999914</v>
      </c>
      <c r="J6" s="122">
        <v>44392.81621527778</v>
      </c>
      <c r="K6" s="128" t="s">
        <v>162</v>
      </c>
      <c r="L6" s="123">
        <v>80</v>
      </c>
      <c r="M6" s="31"/>
      <c r="N6" s="122">
        <f>C14</f>
        <v>44471.08625</v>
      </c>
      <c r="O6" s="128" t="s">
        <v>163</v>
      </c>
      <c r="P6" s="133">
        <f>E14</f>
        <v>-49.01</v>
      </c>
      <c r="R6" s="122">
        <v>44706.835740740738</v>
      </c>
      <c r="S6" s="128" t="s">
        <v>141</v>
      </c>
      <c r="T6" s="133">
        <f>E47</f>
        <v>-93.17</v>
      </c>
      <c r="V6" s="122">
        <f t="shared" ref="V6:V12" si="2">C70</f>
        <v>44868.08452546296</v>
      </c>
      <c r="W6" s="128" t="s">
        <v>164</v>
      </c>
      <c r="X6" s="133">
        <f t="shared" ref="X6:X12" si="3">E70</f>
        <v>70</v>
      </c>
      <c r="Z6" s="122">
        <f>C41</f>
        <v>44658.210960648146</v>
      </c>
      <c r="AA6" s="128" t="s">
        <v>165</v>
      </c>
      <c r="AB6" s="134">
        <f>E41</f>
        <v>-109.14</v>
      </c>
      <c r="AD6" s="122">
        <f>C82</f>
        <v>44898.375</v>
      </c>
      <c r="AE6" s="128" t="s">
        <v>166</v>
      </c>
      <c r="AF6" s="134">
        <f>E82</f>
        <v>89.68</v>
      </c>
      <c r="AH6" s="122">
        <v>45372</v>
      </c>
      <c r="AI6" s="181" t="str">
        <f>D119</f>
        <v>A33: GRAF L Y BRAILE L (DOMINGUEZ)</v>
      </c>
      <c r="AJ6" s="190">
        <f>E119</f>
        <v>66</v>
      </c>
      <c r="AP6" s="21"/>
      <c r="AQ6" s="21"/>
      <c r="AS6" s="22"/>
      <c r="AT6" s="22"/>
    </row>
    <row r="7" spans="1:46" ht="15.95" customHeight="1" thickBot="1">
      <c r="A7" s="91" t="s">
        <v>151</v>
      </c>
      <c r="B7" s="91" t="s">
        <v>152</v>
      </c>
      <c r="C7" s="148">
        <v>44399.158032407409</v>
      </c>
      <c r="D7" s="91" t="s">
        <v>167</v>
      </c>
      <c r="E7" s="95">
        <v>170</v>
      </c>
      <c r="G7" s="143" t="s">
        <v>24</v>
      </c>
      <c r="H7" s="151">
        <f>AB29</f>
        <v>-315.55999999999995</v>
      </c>
      <c r="J7" s="122">
        <v>44399.158032407409</v>
      </c>
      <c r="K7" s="128" t="s">
        <v>167</v>
      </c>
      <c r="L7" s="123">
        <v>170</v>
      </c>
      <c r="M7" s="31"/>
      <c r="N7" s="122">
        <f t="shared" ref="N7:N27" si="4">C16</f>
        <v>44477.030138888891</v>
      </c>
      <c r="O7" s="128" t="s">
        <v>168</v>
      </c>
      <c r="P7" s="133">
        <f>E16</f>
        <v>178.87</v>
      </c>
      <c r="R7" s="122">
        <v>44718.755046296297</v>
      </c>
      <c r="S7" s="128" t="s">
        <v>169</v>
      </c>
      <c r="T7" s="133">
        <f>E49</f>
        <v>38</v>
      </c>
      <c r="V7" s="122">
        <f t="shared" si="2"/>
        <v>44868.092314814814</v>
      </c>
      <c r="W7" s="127" t="s">
        <v>170</v>
      </c>
      <c r="X7" s="133">
        <f t="shared" si="3"/>
        <v>35.340000000000003</v>
      </c>
      <c r="Z7" s="122">
        <f>C44</f>
        <v>44688.992303240739</v>
      </c>
      <c r="AA7" s="127" t="s">
        <v>171</v>
      </c>
      <c r="AB7" s="134">
        <f>E44</f>
        <v>455.17</v>
      </c>
      <c r="AD7" s="122">
        <f>C90</f>
        <v>45034.161134259259</v>
      </c>
      <c r="AE7" s="128" t="s">
        <v>172</v>
      </c>
      <c r="AF7" s="134">
        <f>E90</f>
        <v>-108</v>
      </c>
      <c r="AH7" s="122"/>
      <c r="AI7" s="181"/>
      <c r="AJ7" s="185">
        <f>I90</f>
        <v>0</v>
      </c>
    </row>
    <row r="8" spans="1:46" ht="15.95" customHeight="1" thickBot="1">
      <c r="A8" s="91" t="s">
        <v>151</v>
      </c>
      <c r="B8" s="91" t="s">
        <v>152</v>
      </c>
      <c r="C8" s="148">
        <v>44400.061192129629</v>
      </c>
      <c r="D8" s="91" t="s">
        <v>173</v>
      </c>
      <c r="E8" s="95">
        <v>55</v>
      </c>
      <c r="G8" s="142" t="s">
        <v>26</v>
      </c>
      <c r="H8" s="152">
        <f>AF33</f>
        <v>-170.55000000000007</v>
      </c>
      <c r="J8" s="122">
        <v>44400.061192129629</v>
      </c>
      <c r="K8" s="128" t="s">
        <v>173</v>
      </c>
      <c r="L8" s="123">
        <v>55</v>
      </c>
      <c r="M8" s="31"/>
      <c r="N8" s="122">
        <f t="shared" si="4"/>
        <v>44477.035613425927</v>
      </c>
      <c r="O8" s="128" t="s">
        <v>141</v>
      </c>
      <c r="P8" s="133">
        <f t="shared" ref="P8:P27" si="5">E17</f>
        <v>-246.24</v>
      </c>
      <c r="R8" s="122">
        <v>44718.990011574075</v>
      </c>
      <c r="S8" s="128" t="s">
        <v>174</v>
      </c>
      <c r="T8" s="133">
        <f>E50</f>
        <v>38</v>
      </c>
      <c r="U8" s="20"/>
      <c r="V8" s="122">
        <f t="shared" si="2"/>
        <v>44868.735474537039</v>
      </c>
      <c r="W8" s="127" t="s">
        <v>175</v>
      </c>
      <c r="X8" s="133">
        <f t="shared" si="3"/>
        <v>105</v>
      </c>
      <c r="Z8" s="122">
        <f>C66</f>
        <v>44848.096886574072</v>
      </c>
      <c r="AA8" s="127" t="s">
        <v>141</v>
      </c>
      <c r="AB8" s="134">
        <f>E66</f>
        <v>-29.04</v>
      </c>
      <c r="AD8" s="122">
        <f>C91</f>
        <v>45034.738379629627</v>
      </c>
      <c r="AE8" s="128" t="s">
        <v>176</v>
      </c>
      <c r="AF8" s="134">
        <f>E91</f>
        <v>78</v>
      </c>
      <c r="AH8" s="122"/>
      <c r="AI8" s="181"/>
      <c r="AJ8" s="185">
        <f>I91</f>
        <v>0</v>
      </c>
      <c r="AK8" s="20"/>
      <c r="AL8" s="20"/>
      <c r="AM8" s="20"/>
      <c r="AN8" s="20"/>
      <c r="AO8" s="20"/>
      <c r="AP8" s="20"/>
      <c r="AQ8" s="20"/>
    </row>
    <row r="9" spans="1:46" ht="15.75" thickBot="1">
      <c r="A9" s="91" t="s">
        <v>151</v>
      </c>
      <c r="B9" s="91" t="s">
        <v>152</v>
      </c>
      <c r="C9" s="148">
        <v>44403.833599537036</v>
      </c>
      <c r="D9" s="147" t="s">
        <v>177</v>
      </c>
      <c r="E9" s="95">
        <v>40.409999999999997</v>
      </c>
      <c r="H9" s="138">
        <f>SUM(H3:H8)</f>
        <v>1173.2699999999995</v>
      </c>
      <c r="J9" s="122">
        <v>44403.833599537036</v>
      </c>
      <c r="K9" s="127" t="s">
        <v>177</v>
      </c>
      <c r="L9" s="123">
        <v>40.409999999999997</v>
      </c>
      <c r="M9" s="31"/>
      <c r="N9" s="122">
        <f t="shared" si="4"/>
        <v>44502.812013888892</v>
      </c>
      <c r="O9" s="128" t="s">
        <v>178</v>
      </c>
      <c r="P9" s="133">
        <f t="shared" si="5"/>
        <v>40</v>
      </c>
      <c r="R9" s="122">
        <v>44726.266215277778</v>
      </c>
      <c r="S9" s="128" t="s">
        <v>179</v>
      </c>
      <c r="T9" s="133">
        <f t="shared" ref="T9:T19" si="6">E52</f>
        <v>38</v>
      </c>
      <c r="U9" s="21"/>
      <c r="V9" s="122">
        <f t="shared" si="2"/>
        <v>44870.278263888889</v>
      </c>
      <c r="W9" s="128" t="s">
        <v>180</v>
      </c>
      <c r="X9" s="133">
        <f t="shared" si="3"/>
        <v>35</v>
      </c>
      <c r="Z9" s="122">
        <f>C67</f>
        <v>44848.889548611114</v>
      </c>
      <c r="AA9" s="127" t="s">
        <v>181</v>
      </c>
      <c r="AB9" s="134">
        <f>E67</f>
        <v>-387</v>
      </c>
      <c r="AD9" s="122">
        <f>C92</f>
        <v>45035.636689814812</v>
      </c>
      <c r="AE9" s="128" t="s">
        <v>182</v>
      </c>
      <c r="AF9" s="134">
        <f>E92</f>
        <v>-634.99</v>
      </c>
      <c r="AH9" s="122"/>
      <c r="AI9" s="181"/>
      <c r="AJ9" s="185">
        <f>I92</f>
        <v>0</v>
      </c>
      <c r="AN9" s="21"/>
      <c r="AO9" s="21"/>
      <c r="AS9" s="22"/>
      <c r="AT9" s="22"/>
    </row>
    <row r="10" spans="1:46" ht="15.95" customHeight="1">
      <c r="A10" s="91" t="s">
        <v>151</v>
      </c>
      <c r="B10" s="91" t="s">
        <v>152</v>
      </c>
      <c r="C10" s="148">
        <v>44410.081365740742</v>
      </c>
      <c r="D10" s="91" t="s">
        <v>183</v>
      </c>
      <c r="E10" s="95">
        <v>272</v>
      </c>
      <c r="J10" s="122">
        <v>44410.081365740742</v>
      </c>
      <c r="K10" s="128" t="s">
        <v>183</v>
      </c>
      <c r="L10" s="123">
        <v>272</v>
      </c>
      <c r="M10" s="31"/>
      <c r="N10" s="122">
        <f t="shared" si="4"/>
        <v>44503.724421296298</v>
      </c>
      <c r="O10" s="128" t="s">
        <v>184</v>
      </c>
      <c r="P10" s="133">
        <f t="shared" si="5"/>
        <v>-26.33</v>
      </c>
      <c r="R10" s="122">
        <v>44728.931979166664</v>
      </c>
      <c r="S10" s="128" t="s">
        <v>185</v>
      </c>
      <c r="T10" s="133">
        <f t="shared" si="6"/>
        <v>19</v>
      </c>
      <c r="V10" s="122">
        <f t="shared" si="2"/>
        <v>44871.174166666664</v>
      </c>
      <c r="W10" s="128" t="s">
        <v>186</v>
      </c>
      <c r="X10" s="133">
        <f t="shared" si="3"/>
        <v>105</v>
      </c>
      <c r="Z10" s="122">
        <f>C68</f>
        <v>44863.065266203703</v>
      </c>
      <c r="AA10" s="127" t="s">
        <v>187</v>
      </c>
      <c r="AB10" s="134">
        <f>E68</f>
        <v>69</v>
      </c>
      <c r="AD10" s="122">
        <f>C93</f>
        <v>45035.702476851853</v>
      </c>
      <c r="AE10" s="128" t="s">
        <v>188</v>
      </c>
      <c r="AF10" s="134">
        <f>E93</f>
        <v>-357.25</v>
      </c>
      <c r="AH10" s="122"/>
      <c r="AI10" s="181"/>
      <c r="AJ10" s="185">
        <f>I93</f>
        <v>0</v>
      </c>
      <c r="AP10" s="21"/>
      <c r="AQ10" s="21"/>
      <c r="AS10" s="22"/>
      <c r="AT10" s="22"/>
    </row>
    <row r="11" spans="1:46" ht="15.95" customHeight="1">
      <c r="A11" s="91" t="s">
        <v>151</v>
      </c>
      <c r="B11" s="91" t="s">
        <v>152</v>
      </c>
      <c r="C11" s="148">
        <v>44454.166261574072</v>
      </c>
      <c r="D11" s="91" t="s">
        <v>189</v>
      </c>
      <c r="E11" s="95">
        <v>255</v>
      </c>
      <c r="J11" s="122">
        <v>44454.166261574072</v>
      </c>
      <c r="K11" s="128" t="s">
        <v>189</v>
      </c>
      <c r="L11" s="123">
        <v>255</v>
      </c>
      <c r="M11" s="31"/>
      <c r="N11" s="122">
        <f t="shared" si="4"/>
        <v>44514.178935185184</v>
      </c>
      <c r="O11" s="128" t="s">
        <v>190</v>
      </c>
      <c r="P11" s="133">
        <f t="shared" si="5"/>
        <v>63</v>
      </c>
      <c r="R11" s="122">
        <v>44729.223356481481</v>
      </c>
      <c r="S11" s="128" t="s">
        <v>191</v>
      </c>
      <c r="T11" s="133">
        <f>E54</f>
        <v>19</v>
      </c>
      <c r="V11" s="122">
        <f t="shared" si="2"/>
        <v>44871.174571759257</v>
      </c>
      <c r="W11" s="128" t="s">
        <v>192</v>
      </c>
      <c r="X11" s="133">
        <f t="shared" si="3"/>
        <v>105</v>
      </c>
      <c r="Z11" s="122">
        <f>C69</f>
        <v>44868.08452546296</v>
      </c>
      <c r="AA11" s="127" t="s">
        <v>193</v>
      </c>
      <c r="AB11" s="134">
        <f>E69</f>
        <v>36</v>
      </c>
      <c r="AD11" s="122">
        <f>C96</f>
        <v>45043.268657407411</v>
      </c>
      <c r="AE11" s="128" t="s">
        <v>194</v>
      </c>
      <c r="AF11" s="134">
        <f>E96</f>
        <v>78</v>
      </c>
      <c r="AH11" s="122"/>
      <c r="AI11" s="181"/>
      <c r="AJ11" s="185">
        <f>I96</f>
        <v>0</v>
      </c>
    </row>
    <row r="12" spans="1:46" ht="15.95" customHeight="1">
      <c r="A12" s="90" t="s">
        <v>195</v>
      </c>
      <c r="B12" s="90" t="s">
        <v>152</v>
      </c>
      <c r="C12" s="160">
        <v>44467.676689814813</v>
      </c>
      <c r="D12" s="90" t="s">
        <v>154</v>
      </c>
      <c r="E12" s="96">
        <v>-780.23</v>
      </c>
      <c r="J12" s="122">
        <v>44472.892800925925</v>
      </c>
      <c r="K12" s="128" t="s">
        <v>196</v>
      </c>
      <c r="L12" s="123">
        <v>50</v>
      </c>
      <c r="M12" s="31"/>
      <c r="N12" s="122">
        <f t="shared" si="4"/>
        <v>44515.679525462961</v>
      </c>
      <c r="O12" s="128" t="s">
        <v>197</v>
      </c>
      <c r="P12" s="133">
        <f t="shared" si="5"/>
        <v>34.369999999999997</v>
      </c>
      <c r="R12" s="122">
        <v>44730.407962962963</v>
      </c>
      <c r="S12" s="128" t="s">
        <v>198</v>
      </c>
      <c r="T12" s="133">
        <f>E55</f>
        <v>95</v>
      </c>
      <c r="U12" s="20"/>
      <c r="V12" s="122">
        <f t="shared" si="2"/>
        <v>44871.284305555557</v>
      </c>
      <c r="W12" s="128" t="s">
        <v>141</v>
      </c>
      <c r="X12" s="133">
        <f t="shared" si="3"/>
        <v>-212.71</v>
      </c>
      <c r="Z12" s="122">
        <f>C84</f>
        <v>44938.718159722222</v>
      </c>
      <c r="AA12" s="127" t="s">
        <v>199</v>
      </c>
      <c r="AB12" s="134">
        <f>E84</f>
        <v>69</v>
      </c>
      <c r="AD12" s="122">
        <f>C97</f>
        <v>45043.26966435185</v>
      </c>
      <c r="AE12" s="128" t="s">
        <v>200</v>
      </c>
      <c r="AF12" s="134">
        <f>E97</f>
        <v>88</v>
      </c>
      <c r="AH12" s="122"/>
      <c r="AI12" s="181"/>
      <c r="AJ12" s="185">
        <f>I97</f>
        <v>0</v>
      </c>
      <c r="AK12" s="20"/>
      <c r="AL12" s="20"/>
      <c r="AM12" s="20"/>
      <c r="AN12" s="20"/>
      <c r="AO12" s="20"/>
      <c r="AP12" s="20"/>
      <c r="AQ12" s="20"/>
    </row>
    <row r="13" spans="1:46" ht="15.75" thickBot="1">
      <c r="A13" s="90" t="s">
        <v>195</v>
      </c>
      <c r="B13" s="90" t="s">
        <v>152</v>
      </c>
      <c r="C13" s="160">
        <v>44467.682719907411</v>
      </c>
      <c r="D13" s="90" t="s">
        <v>154</v>
      </c>
      <c r="E13" s="96">
        <v>-107.2</v>
      </c>
      <c r="J13" s="124">
        <v>44626.071342592593</v>
      </c>
      <c r="K13" s="129" t="s">
        <v>201</v>
      </c>
      <c r="L13" s="125">
        <v>32</v>
      </c>
      <c r="M13" s="31"/>
      <c r="N13" s="122">
        <f t="shared" si="4"/>
        <v>44516.097986111112</v>
      </c>
      <c r="O13" s="128" t="s">
        <v>202</v>
      </c>
      <c r="P13" s="133">
        <f t="shared" si="5"/>
        <v>187</v>
      </c>
      <c r="R13" s="122">
        <v>44730.869872685187</v>
      </c>
      <c r="S13" s="128" t="s">
        <v>203</v>
      </c>
      <c r="T13" s="133">
        <f>E56</f>
        <v>19</v>
      </c>
      <c r="U13" s="21"/>
      <c r="V13" s="122">
        <f>C78</f>
        <v>44875.726956018516</v>
      </c>
      <c r="W13" s="128" t="s">
        <v>204</v>
      </c>
      <c r="X13" s="133">
        <f>E78</f>
        <v>105</v>
      </c>
      <c r="Z13" s="122">
        <f>C86</f>
        <v>44982.198136574072</v>
      </c>
      <c r="AA13" s="127" t="s">
        <v>205</v>
      </c>
      <c r="AB13" s="134">
        <f>E86</f>
        <v>33</v>
      </c>
      <c r="AD13" s="122">
        <f>C98</f>
        <v>45043.658553240741</v>
      </c>
      <c r="AE13" s="128" t="s">
        <v>141</v>
      </c>
      <c r="AF13" s="134">
        <f>E98</f>
        <v>-217.8</v>
      </c>
      <c r="AH13" s="122"/>
      <c r="AI13" s="181"/>
      <c r="AJ13" s="185">
        <f>I98</f>
        <v>0</v>
      </c>
      <c r="AN13" s="21"/>
      <c r="AO13" s="21"/>
      <c r="AS13" s="22"/>
      <c r="AT13" s="22"/>
    </row>
    <row r="14" spans="1:46" ht="15.95" customHeight="1" thickBot="1">
      <c r="A14" s="90" t="s">
        <v>195</v>
      </c>
      <c r="B14" s="90" t="s">
        <v>152</v>
      </c>
      <c r="C14" s="160">
        <v>44471.08625</v>
      </c>
      <c r="D14" s="90" t="s">
        <v>163</v>
      </c>
      <c r="E14" s="96">
        <v>-49.01</v>
      </c>
      <c r="L14" s="119">
        <f>SUM(L4:L13)</f>
        <v>1039.4099999999999</v>
      </c>
      <c r="N14" s="122">
        <f t="shared" si="4"/>
        <v>44516.168020833335</v>
      </c>
      <c r="O14" s="128" t="s">
        <v>206</v>
      </c>
      <c r="P14" s="133">
        <f t="shared" si="5"/>
        <v>63</v>
      </c>
      <c r="R14" s="122">
        <v>44734.159513888888</v>
      </c>
      <c r="S14" s="128" t="s">
        <v>207</v>
      </c>
      <c r="T14" s="133">
        <f t="shared" si="6"/>
        <v>19</v>
      </c>
      <c r="V14" s="122">
        <f>C79</f>
        <v>44876.765983796293</v>
      </c>
      <c r="W14" s="128" t="s">
        <v>208</v>
      </c>
      <c r="X14" s="133">
        <f>E79</f>
        <v>35</v>
      </c>
      <c r="Z14" s="122">
        <f>C87</f>
        <v>44994.151921296296</v>
      </c>
      <c r="AA14" s="127" t="s">
        <v>209</v>
      </c>
      <c r="AB14" s="134">
        <f>E87</f>
        <v>96</v>
      </c>
      <c r="AD14" s="122">
        <f t="shared" ref="AD14:AD19" si="7">C100</f>
        <v>45066.870439814818</v>
      </c>
      <c r="AE14" s="128" t="s">
        <v>210</v>
      </c>
      <c r="AF14" s="134">
        <f t="shared" ref="AF14:AF19" si="8">E100</f>
        <v>154</v>
      </c>
      <c r="AH14" s="122"/>
      <c r="AI14" s="181"/>
      <c r="AJ14" s="185">
        <f t="shared" ref="AJ14:AJ19" si="9">I100</f>
        <v>0</v>
      </c>
      <c r="AP14" s="21"/>
      <c r="AQ14" s="21"/>
      <c r="AS14" s="22"/>
      <c r="AT14" s="22"/>
    </row>
    <row r="15" spans="1:46" ht="15.95" customHeight="1">
      <c r="A15" s="91" t="s">
        <v>151</v>
      </c>
      <c r="B15" s="91" t="s">
        <v>152</v>
      </c>
      <c r="C15" s="148">
        <v>44472.892800925925</v>
      </c>
      <c r="D15" s="91" t="s">
        <v>196</v>
      </c>
      <c r="E15" s="95">
        <v>50</v>
      </c>
      <c r="N15" s="122">
        <f t="shared" si="4"/>
        <v>44517.233622685184</v>
      </c>
      <c r="O15" s="128" t="s">
        <v>211</v>
      </c>
      <c r="P15" s="133">
        <f t="shared" si="5"/>
        <v>78</v>
      </c>
      <c r="R15" s="122">
        <v>44734.71429398148</v>
      </c>
      <c r="S15" s="128" t="s">
        <v>212</v>
      </c>
      <c r="T15" s="133">
        <f t="shared" si="6"/>
        <v>57</v>
      </c>
      <c r="V15" s="122">
        <f>C81</f>
        <v>44887.211608796293</v>
      </c>
      <c r="W15" s="128" t="s">
        <v>213</v>
      </c>
      <c r="X15" s="133">
        <f>E81</f>
        <v>35</v>
      </c>
      <c r="Z15" s="122">
        <f>C88</f>
        <v>44994.156921296293</v>
      </c>
      <c r="AA15" s="127" t="s">
        <v>214</v>
      </c>
      <c r="AB15" s="134">
        <f>E88</f>
        <v>63</v>
      </c>
      <c r="AD15" s="122">
        <f t="shared" si="7"/>
        <v>45067.205231481479</v>
      </c>
      <c r="AE15" s="128" t="s">
        <v>215</v>
      </c>
      <c r="AF15" s="134">
        <f t="shared" si="8"/>
        <v>136</v>
      </c>
      <c r="AH15" s="122"/>
      <c r="AI15" s="181"/>
      <c r="AJ15" s="185">
        <f t="shared" si="9"/>
        <v>0</v>
      </c>
    </row>
    <row r="16" spans="1:46" ht="15.95" customHeight="1">
      <c r="A16" s="90" t="s">
        <v>151</v>
      </c>
      <c r="B16" s="90" t="s">
        <v>152</v>
      </c>
      <c r="C16" s="160">
        <v>44477.030138888891</v>
      </c>
      <c r="D16" s="90" t="s">
        <v>168</v>
      </c>
      <c r="E16" s="96">
        <v>178.87</v>
      </c>
      <c r="J16" s="110"/>
      <c r="N16" s="122">
        <f t="shared" si="4"/>
        <v>44527.931747685187</v>
      </c>
      <c r="O16" s="128" t="s">
        <v>206</v>
      </c>
      <c r="P16" s="133">
        <f t="shared" si="5"/>
        <v>78</v>
      </c>
      <c r="Q16" s="20"/>
      <c r="R16" s="122">
        <v>44736.822800925926</v>
      </c>
      <c r="S16" s="128" t="s">
        <v>216</v>
      </c>
      <c r="T16" s="133">
        <f t="shared" si="6"/>
        <v>76</v>
      </c>
      <c r="U16" s="20"/>
      <c r="V16" s="122">
        <f>C83</f>
        <v>44899.091944444444</v>
      </c>
      <c r="W16" s="128" t="s">
        <v>217</v>
      </c>
      <c r="X16" s="133">
        <f>E83</f>
        <v>70</v>
      </c>
      <c r="Z16" s="122">
        <f>C95</f>
        <v>45043.264085648145</v>
      </c>
      <c r="AA16" s="127" t="s">
        <v>218</v>
      </c>
      <c r="AB16" s="134">
        <f>E95</f>
        <v>123</v>
      </c>
      <c r="AD16" s="122">
        <f t="shared" si="7"/>
        <v>45067.211840277778</v>
      </c>
      <c r="AE16" s="128" t="s">
        <v>219</v>
      </c>
      <c r="AF16" s="134">
        <f t="shared" si="8"/>
        <v>112</v>
      </c>
      <c r="AH16" s="122"/>
      <c r="AI16" s="181"/>
      <c r="AJ16" s="185">
        <f t="shared" si="9"/>
        <v>0</v>
      </c>
      <c r="AK16" s="20"/>
      <c r="AL16" s="20"/>
      <c r="AM16" s="20"/>
      <c r="AN16" s="20"/>
      <c r="AO16" s="20"/>
      <c r="AP16" s="20"/>
      <c r="AQ16" s="20"/>
    </row>
    <row r="17" spans="1:46" ht="15">
      <c r="A17" s="90" t="s">
        <v>220</v>
      </c>
      <c r="B17" s="90" t="s">
        <v>152</v>
      </c>
      <c r="C17" s="160">
        <v>44477.035613425927</v>
      </c>
      <c r="D17" s="90" t="s">
        <v>141</v>
      </c>
      <c r="E17" s="96">
        <v>-246.24</v>
      </c>
      <c r="N17" s="122">
        <f t="shared" si="4"/>
        <v>44536.09746527778</v>
      </c>
      <c r="O17" s="128" t="s">
        <v>221</v>
      </c>
      <c r="P17" s="133">
        <f t="shared" si="5"/>
        <v>49</v>
      </c>
      <c r="R17" s="122">
        <v>44743.054189814815</v>
      </c>
      <c r="S17" s="128" t="s">
        <v>222</v>
      </c>
      <c r="T17" s="133">
        <f t="shared" si="6"/>
        <v>19</v>
      </c>
      <c r="U17" s="21"/>
      <c r="V17" s="122">
        <f>C85</f>
        <v>44938.720011574071</v>
      </c>
      <c r="W17" s="128" t="s">
        <v>223</v>
      </c>
      <c r="X17" s="133">
        <f>E85</f>
        <v>70</v>
      </c>
      <c r="Z17" s="122">
        <f>C99</f>
        <v>45063.180439814816</v>
      </c>
      <c r="AA17" s="127" t="s">
        <v>224</v>
      </c>
      <c r="AB17" s="134">
        <f>E99</f>
        <v>30</v>
      </c>
      <c r="AD17" s="122">
        <f t="shared" si="7"/>
        <v>45079.026655092595</v>
      </c>
      <c r="AE17" s="128" t="s">
        <v>225</v>
      </c>
      <c r="AF17" s="134">
        <f t="shared" si="8"/>
        <v>112.01</v>
      </c>
      <c r="AH17" s="122"/>
      <c r="AI17" s="181"/>
      <c r="AJ17" s="185">
        <f t="shared" si="9"/>
        <v>0</v>
      </c>
      <c r="AN17" s="21"/>
      <c r="AO17" s="21"/>
      <c r="AS17" s="22"/>
      <c r="AT17" s="22"/>
    </row>
    <row r="18" spans="1:46" ht="15.95" customHeight="1">
      <c r="A18" s="90" t="s">
        <v>151</v>
      </c>
      <c r="B18" s="90" t="s">
        <v>152</v>
      </c>
      <c r="C18" s="160">
        <v>44502.812013888892</v>
      </c>
      <c r="D18" s="90" t="s">
        <v>178</v>
      </c>
      <c r="E18" s="96">
        <v>40</v>
      </c>
      <c r="N18" s="122">
        <f t="shared" si="4"/>
        <v>44537.172812500001</v>
      </c>
      <c r="O18" s="128" t="s">
        <v>226</v>
      </c>
      <c r="P18" s="133">
        <f t="shared" si="5"/>
        <v>52.7</v>
      </c>
      <c r="R18" s="122">
        <v>44783.0859837963</v>
      </c>
      <c r="S18" s="128" t="s">
        <v>227</v>
      </c>
      <c r="T18" s="133">
        <f t="shared" si="6"/>
        <v>38</v>
      </c>
      <c r="V18" s="122">
        <f>C89</f>
        <v>44994.156921296293</v>
      </c>
      <c r="W18" s="128" t="s">
        <v>228</v>
      </c>
      <c r="X18" s="133">
        <f>E89</f>
        <v>35</v>
      </c>
      <c r="Z18" s="122">
        <f>C106</f>
        <v>45101.156226851854</v>
      </c>
      <c r="AA18" s="127" t="s">
        <v>229</v>
      </c>
      <c r="AB18" s="134">
        <f>E106</f>
        <v>33</v>
      </c>
      <c r="AD18" s="122">
        <f t="shared" si="7"/>
        <v>45091.817326388889</v>
      </c>
      <c r="AE18" s="128" t="s">
        <v>230</v>
      </c>
      <c r="AF18" s="134">
        <f t="shared" si="8"/>
        <v>78.12</v>
      </c>
      <c r="AH18" s="122"/>
      <c r="AI18" s="181"/>
      <c r="AJ18" s="185">
        <f t="shared" si="9"/>
        <v>0</v>
      </c>
      <c r="AK18" s="25"/>
      <c r="AL18" s="25"/>
      <c r="AM18" s="25"/>
      <c r="AP18" s="21"/>
      <c r="AQ18" s="21"/>
      <c r="AS18" s="22"/>
      <c r="AT18" s="22"/>
    </row>
    <row r="19" spans="1:46" ht="15.95" customHeight="1" thickBot="1">
      <c r="A19" s="90" t="s">
        <v>195</v>
      </c>
      <c r="B19" s="90" t="s">
        <v>152</v>
      </c>
      <c r="C19" s="160">
        <v>44503.724421296298</v>
      </c>
      <c r="D19" s="90" t="s">
        <v>184</v>
      </c>
      <c r="E19" s="96">
        <v>-26.33</v>
      </c>
      <c r="N19" s="122">
        <f t="shared" si="4"/>
        <v>44540.680567129632</v>
      </c>
      <c r="O19" s="128" t="s">
        <v>231</v>
      </c>
      <c r="P19" s="133">
        <f t="shared" si="5"/>
        <v>29</v>
      </c>
      <c r="R19" s="124">
        <v>44783.285405092596</v>
      </c>
      <c r="S19" s="137" t="s">
        <v>232</v>
      </c>
      <c r="T19" s="135">
        <f t="shared" si="6"/>
        <v>19</v>
      </c>
      <c r="V19" s="124">
        <f>C94</f>
        <v>45041.089918981481</v>
      </c>
      <c r="W19" s="137" t="s">
        <v>233</v>
      </c>
      <c r="X19" s="135">
        <f>E94</f>
        <v>25</v>
      </c>
      <c r="Z19" s="122">
        <f>C109</f>
        <v>45105.730752314812</v>
      </c>
      <c r="AA19" s="128" t="s">
        <v>234</v>
      </c>
      <c r="AB19" s="134">
        <f>E109</f>
        <v>33</v>
      </c>
      <c r="AD19" s="122">
        <f t="shared" si="7"/>
        <v>45098.101701388892</v>
      </c>
      <c r="AE19" s="128" t="s">
        <v>235</v>
      </c>
      <c r="AF19" s="134">
        <f t="shared" si="8"/>
        <v>34</v>
      </c>
      <c r="AH19" s="122"/>
      <c r="AI19" s="181"/>
      <c r="AJ19" s="185">
        <f t="shared" si="9"/>
        <v>0</v>
      </c>
    </row>
    <row r="20" spans="1:46" ht="15.95" customHeight="1" thickBot="1">
      <c r="A20" s="90" t="s">
        <v>151</v>
      </c>
      <c r="B20" s="90" t="s">
        <v>152</v>
      </c>
      <c r="C20" s="160">
        <v>44514.178935185184</v>
      </c>
      <c r="D20" s="90" t="s">
        <v>190</v>
      </c>
      <c r="E20" s="96">
        <v>63</v>
      </c>
      <c r="N20" s="122">
        <f t="shared" si="4"/>
        <v>44545.051365740743</v>
      </c>
      <c r="O20" s="128" t="s">
        <v>226</v>
      </c>
      <c r="P20" s="133">
        <f t="shared" si="5"/>
        <v>54.3</v>
      </c>
      <c r="Q20" s="20"/>
      <c r="T20" s="136">
        <f>SUM(T4:T19)</f>
        <v>282.83</v>
      </c>
      <c r="U20" s="20"/>
      <c r="X20" s="136">
        <f>SUM(X4:X19)</f>
        <v>39.219999999999914</v>
      </c>
      <c r="Z20" s="122">
        <v>45251</v>
      </c>
      <c r="AA20" s="128" t="s">
        <v>236</v>
      </c>
      <c r="AB20" s="134">
        <f>E113</f>
        <v>26</v>
      </c>
      <c r="AD20" s="122">
        <f>C107</f>
        <v>45101.156226851854</v>
      </c>
      <c r="AE20" s="128" t="s">
        <v>237</v>
      </c>
      <c r="AF20" s="134">
        <f>E107</f>
        <v>44</v>
      </c>
      <c r="AH20" s="122"/>
      <c r="AI20" s="181"/>
      <c r="AJ20" s="185">
        <f>I107</f>
        <v>0</v>
      </c>
      <c r="AK20" s="20"/>
      <c r="AL20" s="20"/>
      <c r="AM20" s="20"/>
      <c r="AN20" s="20"/>
      <c r="AO20" s="20"/>
      <c r="AP20" s="20"/>
      <c r="AQ20" s="20"/>
    </row>
    <row r="21" spans="1:46" ht="15">
      <c r="A21" s="90" t="s">
        <v>151</v>
      </c>
      <c r="B21" s="90" t="s">
        <v>152</v>
      </c>
      <c r="C21" s="160">
        <v>44515.679525462961</v>
      </c>
      <c r="D21" s="90" t="s">
        <v>197</v>
      </c>
      <c r="E21" s="96">
        <v>34.369999999999997</v>
      </c>
      <c r="N21" s="122">
        <f t="shared" si="4"/>
        <v>44548.91474537037</v>
      </c>
      <c r="O21" s="128" t="s">
        <v>238</v>
      </c>
      <c r="P21" s="133">
        <f t="shared" si="5"/>
        <v>34</v>
      </c>
      <c r="T21" s="21"/>
      <c r="U21" s="21"/>
      <c r="Z21" s="66"/>
      <c r="AA21" s="128"/>
      <c r="AB21" s="134">
        <v>0</v>
      </c>
      <c r="AD21" s="122">
        <f>C108</f>
        <v>45105.730752314812</v>
      </c>
      <c r="AE21" s="128" t="s">
        <v>239</v>
      </c>
      <c r="AF21" s="134">
        <f>E108</f>
        <v>30</v>
      </c>
      <c r="AH21" s="122"/>
      <c r="AI21" s="181"/>
      <c r="AJ21" s="185">
        <f>I108</f>
        <v>0</v>
      </c>
      <c r="AN21" s="21"/>
      <c r="AO21" s="21"/>
      <c r="AS21" s="22"/>
      <c r="AT21" s="22"/>
    </row>
    <row r="22" spans="1:46" ht="15.95" customHeight="1">
      <c r="A22" s="90" t="s">
        <v>151</v>
      </c>
      <c r="B22" s="90" t="s">
        <v>152</v>
      </c>
      <c r="C22" s="160">
        <v>44516.097986111112</v>
      </c>
      <c r="D22" s="90" t="s">
        <v>202</v>
      </c>
      <c r="E22" s="96">
        <v>187</v>
      </c>
      <c r="N22" s="122">
        <f t="shared" si="4"/>
        <v>44549.114918981482</v>
      </c>
      <c r="O22" s="128" t="s">
        <v>240</v>
      </c>
      <c r="P22" s="133">
        <f t="shared" si="5"/>
        <v>45</v>
      </c>
      <c r="V22" s="68"/>
      <c r="W22" s="21"/>
      <c r="Z22" s="66"/>
      <c r="AA22" s="128"/>
      <c r="AB22" s="134">
        <v>0</v>
      </c>
      <c r="AD22" s="122">
        <f>C110</f>
        <v>45133.818460648145</v>
      </c>
      <c r="AE22" s="128" t="s">
        <v>241</v>
      </c>
      <c r="AF22" s="134">
        <f>E110</f>
        <v>66</v>
      </c>
      <c r="AH22" s="122"/>
      <c r="AI22" s="181"/>
      <c r="AJ22" s="185">
        <f>I110</f>
        <v>0</v>
      </c>
      <c r="AP22" s="21"/>
      <c r="AQ22" s="21"/>
      <c r="AS22" s="22"/>
      <c r="AT22" s="22"/>
    </row>
    <row r="23" spans="1:46" ht="15.95" customHeight="1">
      <c r="A23" s="90" t="s">
        <v>151</v>
      </c>
      <c r="B23" s="90" t="s">
        <v>152</v>
      </c>
      <c r="C23" s="160">
        <v>44516.168020833335</v>
      </c>
      <c r="D23" s="90" t="s">
        <v>206</v>
      </c>
      <c r="E23" s="96">
        <v>63</v>
      </c>
      <c r="N23" s="122">
        <f t="shared" si="4"/>
        <v>44550.201493055552</v>
      </c>
      <c r="O23" s="128" t="s">
        <v>242</v>
      </c>
      <c r="P23" s="133">
        <f t="shared" si="5"/>
        <v>39</v>
      </c>
      <c r="Z23" s="66"/>
      <c r="AA23" s="128"/>
      <c r="AB23" s="134">
        <v>0</v>
      </c>
      <c r="AD23" s="122">
        <f>C111</f>
        <v>45240.911203703705</v>
      </c>
      <c r="AE23" s="128" t="s">
        <v>243</v>
      </c>
      <c r="AF23" s="134">
        <f>E111</f>
        <v>78</v>
      </c>
      <c r="AH23" s="122"/>
      <c r="AI23" s="181"/>
      <c r="AJ23" s="185">
        <f>I111</f>
        <v>0</v>
      </c>
    </row>
    <row r="24" spans="1:46" ht="15.95" customHeight="1">
      <c r="A24" s="90" t="s">
        <v>151</v>
      </c>
      <c r="B24" s="90" t="s">
        <v>152</v>
      </c>
      <c r="C24" s="160">
        <v>44517.233622685184</v>
      </c>
      <c r="D24" s="90" t="s">
        <v>211</v>
      </c>
      <c r="E24" s="96">
        <v>78</v>
      </c>
      <c r="N24" s="122">
        <f t="shared" si="4"/>
        <v>44551.387013888889</v>
      </c>
      <c r="O24" s="128" t="s">
        <v>244</v>
      </c>
      <c r="P24" s="133">
        <f t="shared" si="5"/>
        <v>49</v>
      </c>
      <c r="Q24" s="20"/>
      <c r="R24" s="67"/>
      <c r="S24" s="20"/>
      <c r="T24" s="20"/>
      <c r="U24" s="20"/>
      <c r="V24" s="67"/>
      <c r="W24" s="20"/>
      <c r="Z24" s="66"/>
      <c r="AA24" s="128"/>
      <c r="AB24" s="134">
        <v>0</v>
      </c>
      <c r="AD24" s="122">
        <f>C112</f>
        <v>45244.929166666669</v>
      </c>
      <c r="AE24" s="127" t="s">
        <v>245</v>
      </c>
      <c r="AF24" s="134">
        <f>E112</f>
        <v>33</v>
      </c>
      <c r="AH24" s="122"/>
      <c r="AI24" s="182"/>
      <c r="AJ24" s="185">
        <f>I112</f>
        <v>0</v>
      </c>
      <c r="AK24" s="20"/>
      <c r="AL24" s="20"/>
      <c r="AM24" s="20"/>
      <c r="AN24" s="20"/>
      <c r="AO24" s="20"/>
      <c r="AP24" s="20"/>
      <c r="AQ24" s="20"/>
    </row>
    <row r="25" spans="1:46" ht="15">
      <c r="A25" s="90" t="s">
        <v>151</v>
      </c>
      <c r="B25" s="90" t="s">
        <v>152</v>
      </c>
      <c r="C25" s="160">
        <v>44527.931747685187</v>
      </c>
      <c r="D25" s="90" t="s">
        <v>206</v>
      </c>
      <c r="E25" s="96">
        <v>78</v>
      </c>
      <c r="N25" s="122">
        <f t="shared" si="4"/>
        <v>44557.35769675926</v>
      </c>
      <c r="O25" s="128" t="s">
        <v>246</v>
      </c>
      <c r="P25" s="133">
        <f t="shared" si="5"/>
        <v>39</v>
      </c>
      <c r="T25" s="21"/>
      <c r="U25" s="21"/>
      <c r="Z25" s="66"/>
      <c r="AA25" s="128"/>
      <c r="AB25" s="134">
        <v>0</v>
      </c>
      <c r="AD25" s="122">
        <v>45260</v>
      </c>
      <c r="AE25" s="128" t="s">
        <v>247</v>
      </c>
      <c r="AF25" s="134">
        <f>E115</f>
        <v>44</v>
      </c>
      <c r="AH25" s="122"/>
      <c r="AI25" s="181"/>
      <c r="AJ25" s="185">
        <f>I115</f>
        <v>0</v>
      </c>
      <c r="AN25" s="21"/>
      <c r="AO25" s="21"/>
      <c r="AS25" s="22"/>
      <c r="AT25" s="22"/>
    </row>
    <row r="26" spans="1:46" ht="15.95" customHeight="1">
      <c r="A26" s="90" t="s">
        <v>151</v>
      </c>
      <c r="B26" s="90" t="s">
        <v>152</v>
      </c>
      <c r="C26" s="160">
        <v>44536.09746527778</v>
      </c>
      <c r="D26" s="90" t="s">
        <v>221</v>
      </c>
      <c r="E26" s="96">
        <v>49</v>
      </c>
      <c r="N26" s="122">
        <f t="shared" si="4"/>
        <v>44561.249907407408</v>
      </c>
      <c r="O26" s="128" t="s">
        <v>248</v>
      </c>
      <c r="P26" s="133">
        <f t="shared" si="5"/>
        <v>49</v>
      </c>
      <c r="V26" s="68"/>
      <c r="W26" s="21"/>
      <c r="Z26" s="66"/>
      <c r="AA26" s="128"/>
      <c r="AB26" s="134">
        <v>0</v>
      </c>
      <c r="AD26" s="66"/>
      <c r="AE26" s="128"/>
      <c r="AF26" s="134">
        <v>0</v>
      </c>
      <c r="AH26" s="66"/>
      <c r="AI26" s="181"/>
      <c r="AJ26" s="185">
        <v>0</v>
      </c>
      <c r="AP26" s="21"/>
      <c r="AQ26" s="21"/>
      <c r="AS26" s="22"/>
      <c r="AT26" s="22"/>
    </row>
    <row r="27" spans="1:46" ht="15.95" customHeight="1">
      <c r="A27" s="90" t="s">
        <v>151</v>
      </c>
      <c r="B27" s="90" t="s">
        <v>152</v>
      </c>
      <c r="C27" s="160">
        <v>44537.172812500001</v>
      </c>
      <c r="D27" s="90" t="s">
        <v>226</v>
      </c>
      <c r="E27" s="96">
        <v>52.7</v>
      </c>
      <c r="N27" s="122">
        <f t="shared" si="4"/>
        <v>44620.858136574076</v>
      </c>
      <c r="O27" s="128" t="s">
        <v>249</v>
      </c>
      <c r="P27" s="133">
        <f t="shared" si="5"/>
        <v>73</v>
      </c>
      <c r="Z27" s="66"/>
      <c r="AA27" s="128"/>
      <c r="AB27" s="134">
        <v>0</v>
      </c>
      <c r="AD27" s="66"/>
      <c r="AE27" s="128"/>
      <c r="AF27" s="134">
        <v>0</v>
      </c>
      <c r="AH27" s="66"/>
      <c r="AI27" s="181"/>
      <c r="AJ27" s="185">
        <v>0</v>
      </c>
    </row>
    <row r="28" spans="1:46" ht="15.95" customHeight="1" thickBot="1">
      <c r="A28" s="90" t="s">
        <v>151</v>
      </c>
      <c r="B28" s="90" t="s">
        <v>152</v>
      </c>
      <c r="C28" s="160">
        <v>44540.680567129632</v>
      </c>
      <c r="D28" s="90" t="s">
        <v>231</v>
      </c>
      <c r="E28" s="96">
        <v>29</v>
      </c>
      <c r="N28" s="122">
        <f>C39</f>
        <v>44626.071342592593</v>
      </c>
      <c r="O28" s="128" t="s">
        <v>250</v>
      </c>
      <c r="P28" s="133">
        <f>E39</f>
        <v>100.02</v>
      </c>
      <c r="Q28" s="20"/>
      <c r="R28" s="67"/>
      <c r="S28" s="20"/>
      <c r="T28" s="20"/>
      <c r="U28" s="20"/>
      <c r="V28" s="67"/>
      <c r="W28" s="20"/>
      <c r="Z28" s="65"/>
      <c r="AA28" s="137"/>
      <c r="AB28" s="141">
        <v>0</v>
      </c>
      <c r="AD28" s="66"/>
      <c r="AE28" s="128"/>
      <c r="AF28" s="134">
        <v>0</v>
      </c>
      <c r="AH28" s="66"/>
      <c r="AI28" s="181"/>
      <c r="AJ28" s="185">
        <v>0</v>
      </c>
      <c r="AK28" s="20"/>
      <c r="AL28" s="20"/>
      <c r="AM28" s="20"/>
      <c r="AN28" s="20"/>
      <c r="AO28" s="20"/>
      <c r="AP28" s="20"/>
      <c r="AQ28" s="20"/>
    </row>
    <row r="29" spans="1:46" ht="15.75" thickBot="1">
      <c r="A29" s="90" t="s">
        <v>151</v>
      </c>
      <c r="B29" s="90" t="s">
        <v>152</v>
      </c>
      <c r="C29" s="160">
        <v>44545.051365740743</v>
      </c>
      <c r="D29" s="90" t="s">
        <v>226</v>
      </c>
      <c r="E29" s="96">
        <v>54.3</v>
      </c>
      <c r="N29" s="122">
        <f>C42</f>
        <v>44658.723981481482</v>
      </c>
      <c r="O29" s="128" t="s">
        <v>251</v>
      </c>
      <c r="P29" s="133">
        <f>E42</f>
        <v>40.67</v>
      </c>
      <c r="T29" s="21"/>
      <c r="U29" s="21"/>
      <c r="AB29" s="136">
        <f>SUM(AB4:AB28)</f>
        <v>-315.55999999999995</v>
      </c>
      <c r="AD29" s="66"/>
      <c r="AE29" s="128"/>
      <c r="AF29" s="134">
        <v>0</v>
      </c>
      <c r="AH29" s="66"/>
      <c r="AI29" s="181"/>
      <c r="AJ29" s="185">
        <v>0</v>
      </c>
      <c r="AN29" s="21"/>
      <c r="AO29" s="21"/>
      <c r="AS29" s="22"/>
      <c r="AT29" s="22"/>
    </row>
    <row r="30" spans="1:46" ht="15.95" customHeight="1">
      <c r="A30" s="90" t="s">
        <v>151</v>
      </c>
      <c r="B30" s="90" t="s">
        <v>152</v>
      </c>
      <c r="C30" s="160">
        <v>44548.91474537037</v>
      </c>
      <c r="D30" s="90" t="s">
        <v>238</v>
      </c>
      <c r="E30" s="96">
        <v>34</v>
      </c>
      <c r="N30" s="122">
        <f>C43</f>
        <v>44677.23741898148</v>
      </c>
      <c r="O30" s="128" t="s">
        <v>252</v>
      </c>
      <c r="P30" s="133">
        <f>E43</f>
        <v>25</v>
      </c>
      <c r="V30" s="68"/>
      <c r="W30" s="21"/>
      <c r="AD30" s="66"/>
      <c r="AE30" s="128"/>
      <c r="AF30" s="134">
        <v>0</v>
      </c>
      <c r="AH30" s="66"/>
      <c r="AI30" s="181"/>
      <c r="AJ30" s="185">
        <v>0</v>
      </c>
      <c r="AK30" s="24"/>
      <c r="AL30" s="24"/>
      <c r="AM30" s="24"/>
      <c r="AP30" s="21"/>
      <c r="AQ30" s="21"/>
      <c r="AS30" s="22"/>
      <c r="AT30" s="22"/>
    </row>
    <row r="31" spans="1:46" ht="15.95" customHeight="1">
      <c r="A31" s="90" t="s">
        <v>151</v>
      </c>
      <c r="B31" s="90" t="s">
        <v>152</v>
      </c>
      <c r="C31" s="160">
        <v>44549.114918981482</v>
      </c>
      <c r="D31" s="90" t="s">
        <v>240</v>
      </c>
      <c r="E31" s="96">
        <v>45</v>
      </c>
      <c r="N31" s="122">
        <f>C48</f>
        <v>44716.205729166664</v>
      </c>
      <c r="O31" s="128" t="s">
        <v>253</v>
      </c>
      <c r="P31" s="133">
        <f>E48</f>
        <v>25</v>
      </c>
      <c r="AD31" s="66"/>
      <c r="AE31" s="128"/>
      <c r="AF31" s="134">
        <v>0</v>
      </c>
      <c r="AH31" s="66"/>
      <c r="AI31" s="181"/>
      <c r="AJ31" s="185">
        <v>0</v>
      </c>
    </row>
    <row r="32" spans="1:46" ht="15.95" customHeight="1" thickBot="1">
      <c r="A32" s="90" t="s">
        <v>151</v>
      </c>
      <c r="B32" s="90" t="s">
        <v>152</v>
      </c>
      <c r="C32" s="160">
        <v>44550.201493055552</v>
      </c>
      <c r="D32" s="90" t="s">
        <v>242</v>
      </c>
      <c r="E32" s="96">
        <v>39</v>
      </c>
      <c r="N32" s="122">
        <f>C51</f>
        <v>44722.859594907408</v>
      </c>
      <c r="O32" s="128" t="s">
        <v>254</v>
      </c>
      <c r="P32" s="133">
        <f>E51</f>
        <v>25</v>
      </c>
      <c r="Q32" s="20"/>
      <c r="R32" s="67"/>
      <c r="S32" s="20"/>
      <c r="T32" s="20"/>
      <c r="U32" s="20"/>
      <c r="V32" s="67"/>
      <c r="W32" s="20"/>
      <c r="AD32" s="65"/>
      <c r="AE32" s="137"/>
      <c r="AF32" s="141">
        <v>0</v>
      </c>
      <c r="AH32" s="65"/>
      <c r="AI32" s="183"/>
      <c r="AJ32" s="186">
        <v>0</v>
      </c>
      <c r="AK32" s="20"/>
      <c r="AL32" s="20"/>
      <c r="AM32" s="20"/>
      <c r="AN32" s="20"/>
      <c r="AO32" s="20"/>
      <c r="AP32" s="20"/>
      <c r="AQ32" s="20"/>
    </row>
    <row r="33" spans="1:46" ht="15.75" thickBot="1">
      <c r="A33" s="90" t="s">
        <v>151</v>
      </c>
      <c r="B33" s="90" t="s">
        <v>152</v>
      </c>
      <c r="C33" s="160">
        <v>44551.387013888889</v>
      </c>
      <c r="D33" s="90" t="s">
        <v>244</v>
      </c>
      <c r="E33" s="96">
        <v>49</v>
      </c>
      <c r="N33" s="124">
        <f>C63</f>
        <v>44783.285405092596</v>
      </c>
      <c r="O33" s="137" t="s">
        <v>255</v>
      </c>
      <c r="P33" s="135">
        <f>E63</f>
        <v>56</v>
      </c>
      <c r="T33" s="21"/>
      <c r="U33" s="21"/>
      <c r="AF33" s="138">
        <f>SUM(AF4:AF32)</f>
        <v>-170.55000000000007</v>
      </c>
      <c r="AH33" s="46"/>
      <c r="AJ33" s="188">
        <f>SUM(AJ4:AJ32)</f>
        <v>-876.27</v>
      </c>
      <c r="AN33" s="21"/>
      <c r="AO33" s="21"/>
      <c r="AS33" s="22"/>
      <c r="AT33" s="22"/>
    </row>
    <row r="34" spans="1:46" ht="15.95" customHeight="1" thickBot="1">
      <c r="A34" s="90" t="s">
        <v>151</v>
      </c>
      <c r="B34" s="90" t="s">
        <v>152</v>
      </c>
      <c r="C34" s="160">
        <v>44557.35769675926</v>
      </c>
      <c r="D34" s="90" t="s">
        <v>246</v>
      </c>
      <c r="E34" s="96">
        <v>39</v>
      </c>
      <c r="P34" s="136">
        <f>SUM(P4:P33)</f>
        <v>297.9199999999999</v>
      </c>
      <c r="V34" s="68"/>
      <c r="W34" s="21"/>
      <c r="AJ34" s="25"/>
      <c r="AK34" s="25"/>
      <c r="AL34" s="25"/>
      <c r="AM34" s="25"/>
      <c r="AP34" s="21"/>
      <c r="AQ34" s="21"/>
      <c r="AS34" s="22"/>
      <c r="AT34" s="22"/>
    </row>
    <row r="35" spans="1:46" ht="15.95" customHeight="1">
      <c r="A35" s="90" t="s">
        <v>151</v>
      </c>
      <c r="B35" s="90" t="s">
        <v>152</v>
      </c>
      <c r="C35" s="160">
        <v>44561.249907407408</v>
      </c>
      <c r="D35" s="90" t="s">
        <v>248</v>
      </c>
      <c r="E35" s="96">
        <v>49</v>
      </c>
    </row>
    <row r="36" spans="1:46" ht="15.95" customHeight="1">
      <c r="A36" s="90" t="s">
        <v>151</v>
      </c>
      <c r="B36" s="90" t="s">
        <v>152</v>
      </c>
      <c r="C36" s="160">
        <v>44620.858136574076</v>
      </c>
      <c r="D36" s="90" t="s">
        <v>249</v>
      </c>
      <c r="E36" s="96">
        <v>73</v>
      </c>
      <c r="N36" s="67"/>
      <c r="O36" s="20"/>
      <c r="P36" s="20"/>
      <c r="Q36" s="20"/>
      <c r="R36" s="67"/>
      <c r="S36" s="20"/>
      <c r="T36" s="20"/>
      <c r="U36" s="20"/>
      <c r="V36" s="67"/>
      <c r="W36" s="20"/>
      <c r="AA36" s="31"/>
      <c r="AH36" s="20"/>
      <c r="AI36" s="20"/>
      <c r="AJ36" s="20"/>
      <c r="AK36" s="20"/>
      <c r="AL36" s="20"/>
      <c r="AM36" s="20"/>
      <c r="AN36" s="20"/>
      <c r="AO36" s="20"/>
      <c r="AP36" s="20"/>
      <c r="AQ36" s="20"/>
    </row>
    <row r="37" spans="1:46" ht="15">
      <c r="A37" s="99" t="s">
        <v>195</v>
      </c>
      <c r="B37" s="99" t="s">
        <v>152</v>
      </c>
      <c r="C37" s="161">
        <v>44620.859791666669</v>
      </c>
      <c r="D37" s="114" t="s">
        <v>154</v>
      </c>
      <c r="E37" s="100">
        <v>-433.02</v>
      </c>
      <c r="O37" s="8"/>
      <c r="T37" s="21"/>
      <c r="U37" s="21"/>
      <c r="AI37" s="8"/>
      <c r="AN37" s="21"/>
      <c r="AO37" s="21"/>
      <c r="AS37" s="22"/>
      <c r="AT37" s="22"/>
    </row>
    <row r="38" spans="1:46" ht="15.95" customHeight="1">
      <c r="A38" s="91" t="s">
        <v>151</v>
      </c>
      <c r="B38" s="91" t="s">
        <v>152</v>
      </c>
      <c r="C38" s="148">
        <v>44626.071342592593</v>
      </c>
      <c r="D38" s="147" t="s">
        <v>201</v>
      </c>
      <c r="E38" s="95">
        <v>32</v>
      </c>
      <c r="V38" s="68"/>
      <c r="W38" s="21"/>
      <c r="AP38" s="21"/>
      <c r="AQ38" s="21"/>
      <c r="AS38" s="22"/>
      <c r="AT38" s="22"/>
    </row>
    <row r="39" spans="1:46" ht="15.95" customHeight="1">
      <c r="A39" s="90" t="s">
        <v>151</v>
      </c>
      <c r="B39" s="90" t="s">
        <v>152</v>
      </c>
      <c r="C39" s="160">
        <v>44626.071342592593</v>
      </c>
      <c r="D39" s="90" t="s">
        <v>250</v>
      </c>
      <c r="E39" s="96">
        <v>100.02</v>
      </c>
      <c r="AP39" s="21"/>
      <c r="AQ39" s="21"/>
      <c r="AS39" s="22"/>
      <c r="AT39" s="22"/>
    </row>
    <row r="40" spans="1:46" ht="15.95" customHeight="1">
      <c r="A40" s="99" t="s">
        <v>195</v>
      </c>
      <c r="B40" s="99" t="s">
        <v>152</v>
      </c>
      <c r="C40" s="161">
        <v>44630.827685185184</v>
      </c>
      <c r="D40" s="114" t="s">
        <v>160</v>
      </c>
      <c r="E40" s="100">
        <v>-423.53</v>
      </c>
      <c r="N40" s="67"/>
      <c r="O40" s="146"/>
      <c r="P40" s="20"/>
      <c r="Q40" s="20"/>
      <c r="R40" s="67"/>
      <c r="S40" s="20"/>
      <c r="T40" s="20"/>
      <c r="U40" s="20"/>
      <c r="V40" s="67"/>
      <c r="W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</row>
    <row r="41" spans="1:46" ht="15">
      <c r="A41" s="99" t="s">
        <v>220</v>
      </c>
      <c r="B41" s="99" t="s">
        <v>152</v>
      </c>
      <c r="C41" s="161">
        <v>44658.210960648146</v>
      </c>
      <c r="D41" s="99" t="s">
        <v>165</v>
      </c>
      <c r="E41" s="100">
        <v>-109.14</v>
      </c>
      <c r="O41" s="8"/>
      <c r="T41" s="21"/>
      <c r="U41" s="21"/>
      <c r="AI41" s="8"/>
      <c r="AN41" s="21"/>
      <c r="AO41" s="21"/>
      <c r="AS41" s="117"/>
      <c r="AT41" s="117"/>
    </row>
    <row r="42" spans="1:46" ht="15.95" customHeight="1">
      <c r="A42" s="90" t="s">
        <v>151</v>
      </c>
      <c r="B42" s="90" t="s">
        <v>152</v>
      </c>
      <c r="C42" s="160">
        <v>44658.723981481482</v>
      </c>
      <c r="D42" s="90" t="s">
        <v>251</v>
      </c>
      <c r="E42" s="96">
        <v>40.67</v>
      </c>
      <c r="V42" s="68"/>
      <c r="W42" s="21"/>
      <c r="AP42" s="21"/>
      <c r="AQ42" s="21"/>
      <c r="AS42" s="117"/>
      <c r="AT42" s="117"/>
    </row>
    <row r="43" spans="1:46" ht="15">
      <c r="A43" s="90" t="s">
        <v>151</v>
      </c>
      <c r="B43" s="90" t="s">
        <v>152</v>
      </c>
      <c r="C43" s="160">
        <v>44677.23741898148</v>
      </c>
      <c r="D43" s="90" t="s">
        <v>252</v>
      </c>
      <c r="E43" s="96">
        <v>25</v>
      </c>
    </row>
    <row r="44" spans="1:46" ht="15">
      <c r="A44" s="99" t="s">
        <v>256</v>
      </c>
      <c r="B44" s="99" t="s">
        <v>152</v>
      </c>
      <c r="C44" s="161">
        <v>44688.992303240739</v>
      </c>
      <c r="D44" s="114" t="s">
        <v>171</v>
      </c>
      <c r="E44" s="100">
        <v>455.17</v>
      </c>
      <c r="N44" s="67"/>
      <c r="O44" s="20"/>
      <c r="S44" s="20"/>
      <c r="T44" s="20"/>
      <c r="U44" s="20"/>
      <c r="V44" s="67"/>
      <c r="W44" s="20"/>
    </row>
    <row r="45" spans="1:46" ht="15">
      <c r="A45" s="97" t="s">
        <v>195</v>
      </c>
      <c r="B45" s="97" t="s">
        <v>152</v>
      </c>
      <c r="C45" s="163">
        <v>44690.781192129631</v>
      </c>
      <c r="D45" s="97" t="s">
        <v>155</v>
      </c>
      <c r="E45" s="98">
        <v>-9.84</v>
      </c>
      <c r="O45" s="8"/>
      <c r="T45" s="21"/>
      <c r="U45" s="21"/>
    </row>
    <row r="46" spans="1:46" ht="15">
      <c r="A46" s="97" t="s">
        <v>195</v>
      </c>
      <c r="B46" s="97" t="s">
        <v>152</v>
      </c>
      <c r="C46" s="163">
        <v>44699.839594907404</v>
      </c>
      <c r="D46" s="97" t="s">
        <v>158</v>
      </c>
      <c r="E46" s="98">
        <v>-108.16</v>
      </c>
      <c r="V46" s="68"/>
      <c r="W46" s="21"/>
    </row>
    <row r="47" spans="1:46" ht="15">
      <c r="A47" s="97" t="s">
        <v>220</v>
      </c>
      <c r="B47" s="97" t="s">
        <v>152</v>
      </c>
      <c r="C47" s="163">
        <v>44706.835740740738</v>
      </c>
      <c r="D47" s="97" t="s">
        <v>141</v>
      </c>
      <c r="E47" s="98">
        <v>-93.17</v>
      </c>
    </row>
    <row r="48" spans="1:46" ht="15">
      <c r="A48" s="90" t="s">
        <v>151</v>
      </c>
      <c r="B48" s="90" t="s">
        <v>152</v>
      </c>
      <c r="C48" s="160">
        <v>44716.205729166664</v>
      </c>
      <c r="D48" s="90" t="s">
        <v>253</v>
      </c>
      <c r="E48" s="96">
        <v>25</v>
      </c>
      <c r="N48" s="67"/>
      <c r="O48" s="20"/>
      <c r="S48" s="20"/>
      <c r="T48" s="20"/>
      <c r="U48" s="20"/>
      <c r="V48" s="67"/>
      <c r="W48" s="20"/>
    </row>
    <row r="49" spans="1:24" ht="15">
      <c r="A49" s="97" t="s">
        <v>151</v>
      </c>
      <c r="B49" s="97" t="s">
        <v>152</v>
      </c>
      <c r="C49" s="163">
        <v>44718.755046296297</v>
      </c>
      <c r="D49" s="97" t="s">
        <v>169</v>
      </c>
      <c r="E49" s="98">
        <v>38</v>
      </c>
      <c r="O49" s="8"/>
      <c r="T49" s="21"/>
      <c r="U49" s="21"/>
    </row>
    <row r="50" spans="1:24" ht="15">
      <c r="A50" s="97" t="s">
        <v>151</v>
      </c>
      <c r="B50" s="97" t="s">
        <v>152</v>
      </c>
      <c r="C50" s="163">
        <v>44718.990011574075</v>
      </c>
      <c r="D50" s="97" t="s">
        <v>174</v>
      </c>
      <c r="E50" s="98">
        <v>38</v>
      </c>
      <c r="V50" s="68"/>
      <c r="W50" s="21"/>
    </row>
    <row r="51" spans="1:24" ht="15">
      <c r="A51" s="90" t="s">
        <v>151</v>
      </c>
      <c r="B51" s="90" t="s">
        <v>152</v>
      </c>
      <c r="C51" s="160">
        <v>44722.859594907408</v>
      </c>
      <c r="D51" s="90" t="s">
        <v>254</v>
      </c>
      <c r="E51" s="96">
        <v>25</v>
      </c>
    </row>
    <row r="52" spans="1:24" ht="15">
      <c r="A52" s="97" t="s">
        <v>151</v>
      </c>
      <c r="B52" s="97" t="s">
        <v>152</v>
      </c>
      <c r="C52" s="163">
        <v>44726.266215277778</v>
      </c>
      <c r="D52" s="97" t="s">
        <v>179</v>
      </c>
      <c r="E52" s="98">
        <v>38</v>
      </c>
      <c r="N52" s="67"/>
      <c r="O52" s="20"/>
      <c r="P52" s="20"/>
      <c r="Q52" s="20"/>
      <c r="R52" s="67"/>
      <c r="S52" s="20"/>
      <c r="T52" s="20"/>
      <c r="U52" s="20"/>
      <c r="V52" s="67"/>
      <c r="W52" s="20"/>
    </row>
    <row r="53" spans="1:24" ht="15">
      <c r="A53" s="97" t="s">
        <v>151</v>
      </c>
      <c r="B53" s="97" t="s">
        <v>152</v>
      </c>
      <c r="C53" s="163">
        <v>44728.931979166664</v>
      </c>
      <c r="D53" s="97" t="s">
        <v>185</v>
      </c>
      <c r="E53" s="98">
        <v>19</v>
      </c>
      <c r="O53" s="20"/>
      <c r="P53" s="20"/>
      <c r="Q53" s="20"/>
      <c r="R53" s="67"/>
      <c r="S53" s="20"/>
      <c r="T53" s="20"/>
      <c r="U53" s="20"/>
      <c r="V53" s="67"/>
      <c r="W53" s="20"/>
      <c r="X53" s="20"/>
    </row>
    <row r="54" spans="1:24" ht="15">
      <c r="A54" s="97" t="s">
        <v>151</v>
      </c>
      <c r="B54" s="97" t="s">
        <v>152</v>
      </c>
      <c r="C54" s="163">
        <v>44729.223356481481</v>
      </c>
      <c r="D54" s="97" t="s">
        <v>191</v>
      </c>
      <c r="E54" s="98">
        <v>19</v>
      </c>
      <c r="P54" s="8"/>
      <c r="U54" s="21"/>
      <c r="V54" s="68"/>
    </row>
    <row r="55" spans="1:24" ht="15">
      <c r="A55" s="97" t="s">
        <v>151</v>
      </c>
      <c r="B55" s="97" t="s">
        <v>152</v>
      </c>
      <c r="C55" s="163">
        <v>44730.407962962963</v>
      </c>
      <c r="D55" s="97" t="s">
        <v>198</v>
      </c>
      <c r="E55" s="98">
        <v>95</v>
      </c>
      <c r="W55" s="21"/>
      <c r="X55" s="21"/>
    </row>
    <row r="56" spans="1:24" ht="15">
      <c r="A56" s="97" t="s">
        <v>151</v>
      </c>
      <c r="B56" s="97" t="s">
        <v>152</v>
      </c>
      <c r="C56" s="163">
        <v>44730.869872685187</v>
      </c>
      <c r="D56" s="97" t="s">
        <v>203</v>
      </c>
      <c r="E56" s="98">
        <v>19</v>
      </c>
      <c r="N56" s="67"/>
    </row>
    <row r="57" spans="1:24" ht="15">
      <c r="A57" s="97" t="s">
        <v>151</v>
      </c>
      <c r="B57" s="97" t="s">
        <v>152</v>
      </c>
      <c r="C57" s="163">
        <v>44734.159513888888</v>
      </c>
      <c r="D57" s="97" t="s">
        <v>207</v>
      </c>
      <c r="E57" s="98">
        <v>19</v>
      </c>
      <c r="O57" s="20"/>
      <c r="P57" s="20"/>
      <c r="Q57" s="20"/>
      <c r="R57" s="67"/>
      <c r="S57" s="20"/>
      <c r="T57" s="20"/>
      <c r="U57" s="20"/>
      <c r="V57" s="67"/>
      <c r="W57" s="20"/>
      <c r="X57" s="20"/>
    </row>
    <row r="58" spans="1:24" ht="15">
      <c r="A58" s="97" t="s">
        <v>151</v>
      </c>
      <c r="B58" s="97" t="s">
        <v>152</v>
      </c>
      <c r="C58" s="163">
        <v>44734.71429398148</v>
      </c>
      <c r="D58" s="97" t="s">
        <v>212</v>
      </c>
      <c r="E58" s="98">
        <v>57</v>
      </c>
      <c r="P58" s="8"/>
      <c r="U58" s="21"/>
      <c r="V58" s="68"/>
    </row>
    <row r="59" spans="1:24" ht="15">
      <c r="A59" s="97" t="s">
        <v>151</v>
      </c>
      <c r="B59" s="97" t="s">
        <v>152</v>
      </c>
      <c r="C59" s="163">
        <v>44736.822800925926</v>
      </c>
      <c r="D59" s="97" t="s">
        <v>216</v>
      </c>
      <c r="E59" s="98">
        <v>76</v>
      </c>
      <c r="W59" s="21"/>
      <c r="X59" s="21"/>
    </row>
    <row r="60" spans="1:24" ht="15">
      <c r="A60" s="97" t="s">
        <v>151</v>
      </c>
      <c r="B60" s="97" t="s">
        <v>152</v>
      </c>
      <c r="C60" s="163">
        <v>44743.054189814815</v>
      </c>
      <c r="D60" s="97" t="s">
        <v>222</v>
      </c>
      <c r="E60" s="98">
        <v>19</v>
      </c>
      <c r="N60" s="67"/>
    </row>
    <row r="61" spans="1:24" ht="15">
      <c r="A61" s="97" t="s">
        <v>151</v>
      </c>
      <c r="B61" s="97" t="s">
        <v>152</v>
      </c>
      <c r="C61" s="163">
        <v>44783.0859837963</v>
      </c>
      <c r="D61" s="97" t="s">
        <v>227</v>
      </c>
      <c r="E61" s="98">
        <v>38</v>
      </c>
      <c r="O61" s="20"/>
      <c r="P61" s="20"/>
      <c r="Q61" s="20"/>
      <c r="R61" s="67"/>
      <c r="S61" s="20"/>
      <c r="T61" s="20"/>
      <c r="U61" s="20"/>
      <c r="V61" s="67"/>
      <c r="W61" s="20"/>
      <c r="X61" s="20"/>
    </row>
    <row r="62" spans="1:24" ht="15">
      <c r="A62" s="97" t="s">
        <v>151</v>
      </c>
      <c r="B62" s="97" t="s">
        <v>152</v>
      </c>
      <c r="C62" s="163">
        <v>44783.285405092596</v>
      </c>
      <c r="D62" s="97" t="s">
        <v>232</v>
      </c>
      <c r="E62" s="98">
        <v>19</v>
      </c>
      <c r="P62" s="8"/>
      <c r="U62" s="21"/>
      <c r="V62" s="68"/>
    </row>
    <row r="63" spans="1:24" ht="15">
      <c r="A63" s="90" t="s">
        <v>151</v>
      </c>
      <c r="B63" s="90" t="s">
        <v>152</v>
      </c>
      <c r="C63" s="160">
        <v>44783.285405092596</v>
      </c>
      <c r="D63" s="90" t="s">
        <v>255</v>
      </c>
      <c r="E63" s="96">
        <f>75-19</f>
        <v>56</v>
      </c>
      <c r="F63"/>
      <c r="G63"/>
      <c r="H63"/>
      <c r="W63" s="21"/>
      <c r="X63" s="21"/>
    </row>
    <row r="64" spans="1:24" ht="15">
      <c r="A64" s="101" t="s">
        <v>220</v>
      </c>
      <c r="B64" s="101" t="s">
        <v>152</v>
      </c>
      <c r="C64" s="164">
        <v>44819.082650462966</v>
      </c>
      <c r="D64" s="101" t="s">
        <v>154</v>
      </c>
      <c r="E64" s="102">
        <v>-405.11</v>
      </c>
      <c r="N64" s="67"/>
    </row>
    <row r="65" spans="1:29" ht="15">
      <c r="A65" s="101" t="s">
        <v>220</v>
      </c>
      <c r="B65" s="101" t="s">
        <v>152</v>
      </c>
      <c r="C65" s="164">
        <v>44842.781504629631</v>
      </c>
      <c r="D65" s="101" t="s">
        <v>159</v>
      </c>
      <c r="E65" s="102">
        <v>-173.3</v>
      </c>
      <c r="O65" s="20"/>
      <c r="P65" s="20"/>
      <c r="Q65" s="20"/>
      <c r="R65" s="67"/>
      <c r="S65" s="20"/>
      <c r="T65" s="20"/>
      <c r="U65" s="20"/>
      <c r="V65" s="67"/>
      <c r="W65" s="20"/>
      <c r="X65" s="20"/>
    </row>
    <row r="66" spans="1:29" ht="15">
      <c r="A66" s="99" t="s">
        <v>220</v>
      </c>
      <c r="B66" s="99" t="s">
        <v>152</v>
      </c>
      <c r="C66" s="161">
        <v>44848.096886574072</v>
      </c>
      <c r="D66" s="114" t="s">
        <v>141</v>
      </c>
      <c r="E66" s="100">
        <v>-29.04</v>
      </c>
      <c r="P66" s="8"/>
      <c r="U66" s="21"/>
      <c r="V66" s="68"/>
    </row>
    <row r="67" spans="1:29" ht="15">
      <c r="A67" s="99" t="s">
        <v>195</v>
      </c>
      <c r="B67" s="99" t="s">
        <v>152</v>
      </c>
      <c r="C67" s="161">
        <v>44848.889548611114</v>
      </c>
      <c r="D67" s="114" t="s">
        <v>181</v>
      </c>
      <c r="E67" s="100">
        <v>-387</v>
      </c>
      <c r="W67" s="21"/>
      <c r="X67" s="21"/>
    </row>
    <row r="68" spans="1:29" ht="15">
      <c r="A68" s="99" t="s">
        <v>151</v>
      </c>
      <c r="B68" s="99" t="s">
        <v>152</v>
      </c>
      <c r="C68" s="161">
        <v>44863.065266203703</v>
      </c>
      <c r="D68" s="114" t="s">
        <v>187</v>
      </c>
      <c r="E68" s="100">
        <v>69</v>
      </c>
      <c r="N68" s="67"/>
    </row>
    <row r="69" spans="1:29" ht="15">
      <c r="A69" s="99" t="s">
        <v>151</v>
      </c>
      <c r="B69" s="99" t="s">
        <v>152</v>
      </c>
      <c r="C69" s="161">
        <v>44868.08452546296</v>
      </c>
      <c r="D69" s="114" t="s">
        <v>193</v>
      </c>
      <c r="E69" s="100">
        <f>36</f>
        <v>36</v>
      </c>
      <c r="O69" s="20"/>
      <c r="P69" s="20"/>
      <c r="Q69" s="20"/>
      <c r="R69" s="67"/>
      <c r="S69" s="20"/>
      <c r="T69" s="20"/>
      <c r="U69" s="20"/>
      <c r="V69" s="67"/>
      <c r="W69" s="20"/>
      <c r="X69" s="20"/>
    </row>
    <row r="70" spans="1:29" ht="15">
      <c r="A70" s="101" t="s">
        <v>151</v>
      </c>
      <c r="B70" s="101" t="s">
        <v>152</v>
      </c>
      <c r="C70" s="164">
        <v>44868.08452546296</v>
      </c>
      <c r="D70" s="101" t="s">
        <v>164</v>
      </c>
      <c r="E70" s="102">
        <f>35*2</f>
        <v>70</v>
      </c>
      <c r="P70" s="8"/>
      <c r="U70" s="21"/>
      <c r="V70" s="68"/>
    </row>
    <row r="71" spans="1:29" ht="15">
      <c r="A71" s="101" t="s">
        <v>151</v>
      </c>
      <c r="B71" s="101" t="s">
        <v>152</v>
      </c>
      <c r="C71" s="164">
        <v>44868.092314814814</v>
      </c>
      <c r="D71" s="115" t="s">
        <v>170</v>
      </c>
      <c r="E71" s="102">
        <v>35.340000000000003</v>
      </c>
      <c r="Q71" s="112"/>
      <c r="R71" s="111"/>
      <c r="S71" s="112"/>
      <c r="T71" s="112"/>
      <c r="W71" s="21"/>
      <c r="X71" s="21"/>
    </row>
    <row r="72" spans="1:29" ht="15">
      <c r="A72" s="101" t="s">
        <v>151</v>
      </c>
      <c r="B72" s="101" t="s">
        <v>152</v>
      </c>
      <c r="C72" s="164">
        <v>44868.735474537039</v>
      </c>
      <c r="D72" s="115" t="s">
        <v>175</v>
      </c>
      <c r="E72" s="102">
        <v>105</v>
      </c>
      <c r="N72" s="67"/>
    </row>
    <row r="73" spans="1:29" ht="15">
      <c r="A73" s="101" t="s">
        <v>151</v>
      </c>
      <c r="B73" s="101" t="s">
        <v>152</v>
      </c>
      <c r="C73" s="164">
        <v>44870.278263888889</v>
      </c>
      <c r="D73" s="101" t="s">
        <v>180</v>
      </c>
      <c r="E73" s="102">
        <v>35</v>
      </c>
      <c r="M73" s="31"/>
      <c r="O73" s="20"/>
      <c r="P73" s="20"/>
      <c r="Q73" s="20"/>
      <c r="R73" s="67"/>
      <c r="S73" s="20"/>
      <c r="T73" s="20"/>
      <c r="U73" s="20"/>
      <c r="V73" s="67"/>
      <c r="W73" s="20"/>
      <c r="X73" s="20"/>
      <c r="Y73" s="20"/>
      <c r="Z73" s="67"/>
    </row>
    <row r="74" spans="1:29" ht="15">
      <c r="A74" s="101" t="s">
        <v>151</v>
      </c>
      <c r="B74" s="101" t="s">
        <v>152</v>
      </c>
      <c r="C74" s="164">
        <v>44871.174166666664</v>
      </c>
      <c r="D74" s="101" t="s">
        <v>186</v>
      </c>
      <c r="E74" s="102">
        <v>105</v>
      </c>
      <c r="M74" s="8"/>
      <c r="P74" s="8"/>
      <c r="R74" s="110"/>
      <c r="W74" s="21"/>
      <c r="X74" s="21"/>
      <c r="AB74" s="22"/>
      <c r="AC74" s="22"/>
    </row>
    <row r="75" spans="1:29" ht="15">
      <c r="A75" s="101" t="s">
        <v>151</v>
      </c>
      <c r="B75" s="101" t="s">
        <v>152</v>
      </c>
      <c r="C75" s="164">
        <v>44871.174571759257</v>
      </c>
      <c r="D75" s="101" t="s">
        <v>192</v>
      </c>
      <c r="E75" s="102">
        <v>105</v>
      </c>
      <c r="M75" s="31"/>
      <c r="Y75" s="21"/>
      <c r="Z75" s="68"/>
      <c r="AB75" s="22"/>
      <c r="AC75" s="22"/>
    </row>
    <row r="76" spans="1:29" ht="15">
      <c r="A76" s="101" t="s">
        <v>220</v>
      </c>
      <c r="B76" s="101" t="s">
        <v>152</v>
      </c>
      <c r="C76" s="164">
        <v>44871.284305555557</v>
      </c>
      <c r="D76" s="101" t="s">
        <v>141</v>
      </c>
      <c r="E76" s="102">
        <v>-212.71</v>
      </c>
      <c r="M76" s="31"/>
      <c r="N76" s="67"/>
    </row>
    <row r="77" spans="1:29" ht="15">
      <c r="A77" s="103" t="s">
        <v>195</v>
      </c>
      <c r="B77" s="103" t="s">
        <v>152</v>
      </c>
      <c r="C77" s="162">
        <v>44872.176192129627</v>
      </c>
      <c r="D77" s="103" t="s">
        <v>156</v>
      </c>
      <c r="E77" s="104">
        <v>-89.68</v>
      </c>
      <c r="M77" s="31"/>
      <c r="O77" s="20"/>
      <c r="P77" s="20"/>
      <c r="Q77" s="20"/>
      <c r="R77" s="67"/>
      <c r="S77" s="20"/>
      <c r="T77" s="20"/>
      <c r="U77" s="20"/>
      <c r="V77" s="67"/>
      <c r="W77" s="20"/>
      <c r="X77" s="20"/>
      <c r="Y77" s="20"/>
      <c r="Z77" s="67"/>
    </row>
    <row r="78" spans="1:29" ht="15">
      <c r="A78" s="101" t="s">
        <v>151</v>
      </c>
      <c r="B78" s="101" t="s">
        <v>152</v>
      </c>
      <c r="C78" s="164">
        <v>44875.726956018516</v>
      </c>
      <c r="D78" s="101" t="s">
        <v>204</v>
      </c>
      <c r="E78" s="102">
        <v>105</v>
      </c>
      <c r="M78" s="8"/>
      <c r="P78" s="8"/>
      <c r="R78" s="110"/>
      <c r="W78" s="21"/>
      <c r="X78" s="21"/>
      <c r="AB78" s="22"/>
      <c r="AC78" s="22"/>
    </row>
    <row r="79" spans="1:29" ht="15">
      <c r="A79" s="101" t="s">
        <v>151</v>
      </c>
      <c r="B79" s="101" t="s">
        <v>152</v>
      </c>
      <c r="C79" s="164">
        <v>44876.765983796293</v>
      </c>
      <c r="D79" s="101" t="s">
        <v>208</v>
      </c>
      <c r="E79" s="102">
        <v>35</v>
      </c>
      <c r="M79" s="8"/>
      <c r="Y79" s="21"/>
      <c r="Z79" s="68"/>
      <c r="AB79" s="22"/>
      <c r="AC79" s="22"/>
    </row>
    <row r="80" spans="1:29" ht="15">
      <c r="A80" s="103" t="s">
        <v>195</v>
      </c>
      <c r="B80" s="103" t="s">
        <v>152</v>
      </c>
      <c r="C80" s="162">
        <v>44887.168854166666</v>
      </c>
      <c r="D80" s="103" t="s">
        <v>161</v>
      </c>
      <c r="E80" s="104">
        <v>-17.64</v>
      </c>
      <c r="N80" s="67"/>
    </row>
    <row r="81" spans="1:29" ht="15">
      <c r="A81" s="101" t="s">
        <v>151</v>
      </c>
      <c r="B81" s="101" t="s">
        <v>152</v>
      </c>
      <c r="C81" s="164">
        <v>44887.211608796293</v>
      </c>
      <c r="D81" s="101" t="s">
        <v>213</v>
      </c>
      <c r="E81" s="102">
        <v>35</v>
      </c>
      <c r="O81" s="20"/>
      <c r="P81" s="20"/>
      <c r="Q81" s="20"/>
      <c r="R81" s="67"/>
      <c r="S81" s="20"/>
      <c r="T81" s="20"/>
      <c r="U81" s="20"/>
      <c r="V81" s="67"/>
      <c r="W81" s="20"/>
      <c r="X81" s="20"/>
      <c r="Y81" s="20"/>
      <c r="Z81" s="67"/>
    </row>
    <row r="82" spans="1:29" ht="15">
      <c r="A82" s="103" t="s">
        <v>257</v>
      </c>
      <c r="B82" s="103" t="s">
        <v>152</v>
      </c>
      <c r="C82" s="162">
        <v>44898.375</v>
      </c>
      <c r="D82" s="103" t="s">
        <v>166</v>
      </c>
      <c r="E82" s="104">
        <v>89.68</v>
      </c>
      <c r="P82" s="8"/>
      <c r="R82" s="110"/>
      <c r="W82" s="21"/>
      <c r="X82" s="21"/>
      <c r="AB82" s="22"/>
      <c r="AC82" s="22"/>
    </row>
    <row r="83" spans="1:29" ht="15">
      <c r="A83" s="101" t="s">
        <v>151</v>
      </c>
      <c r="B83" s="101" t="s">
        <v>152</v>
      </c>
      <c r="C83" s="164">
        <v>44899.091944444444</v>
      </c>
      <c r="D83" s="101" t="s">
        <v>217</v>
      </c>
      <c r="E83" s="102">
        <v>70</v>
      </c>
      <c r="N83" s="63"/>
      <c r="W83" s="21"/>
      <c r="X83" s="21"/>
      <c r="Y83" s="21"/>
      <c r="Z83" s="68"/>
      <c r="AB83" s="22"/>
      <c r="AC83" s="22"/>
    </row>
    <row r="84" spans="1:29" ht="15">
      <c r="A84" s="99" t="s">
        <v>151</v>
      </c>
      <c r="B84" s="99" t="s">
        <v>152</v>
      </c>
      <c r="C84" s="161">
        <v>44938.718159722222</v>
      </c>
      <c r="D84" s="114" t="s">
        <v>199</v>
      </c>
      <c r="E84" s="100">
        <v>69</v>
      </c>
      <c r="N84" s="87"/>
    </row>
    <row r="85" spans="1:29" ht="15">
      <c r="A85" s="101" t="s">
        <v>151</v>
      </c>
      <c r="B85" s="101" t="s">
        <v>152</v>
      </c>
      <c r="C85" s="164">
        <v>44938.720011574071</v>
      </c>
      <c r="D85" s="101" t="s">
        <v>223</v>
      </c>
      <c r="E85" s="102">
        <v>70</v>
      </c>
      <c r="N85" s="63"/>
      <c r="O85" s="20"/>
      <c r="P85" s="20"/>
      <c r="Q85" s="20"/>
      <c r="R85" s="67"/>
      <c r="S85" s="20"/>
      <c r="T85" s="20"/>
      <c r="U85" s="20"/>
      <c r="V85" s="67"/>
      <c r="W85" s="20"/>
      <c r="X85" s="20"/>
      <c r="Y85" s="20"/>
      <c r="Z85" s="67"/>
    </row>
    <row r="86" spans="1:29" ht="15">
      <c r="A86" s="99" t="s">
        <v>151</v>
      </c>
      <c r="B86" s="99" t="s">
        <v>152</v>
      </c>
      <c r="C86" s="161">
        <v>44982.198136574072</v>
      </c>
      <c r="D86" s="114" t="s">
        <v>205</v>
      </c>
      <c r="E86" s="100">
        <v>33</v>
      </c>
      <c r="N86" s="63"/>
      <c r="P86" s="8"/>
      <c r="R86" s="110"/>
      <c r="W86" s="21"/>
      <c r="X86" s="21"/>
      <c r="AB86" s="22"/>
      <c r="AC86" s="22"/>
    </row>
    <row r="87" spans="1:29" ht="15">
      <c r="A87" s="99" t="s">
        <v>151</v>
      </c>
      <c r="B87" s="99" t="s">
        <v>152</v>
      </c>
      <c r="C87" s="161">
        <v>44994.151921296296</v>
      </c>
      <c r="D87" s="114" t="s">
        <v>209</v>
      </c>
      <c r="E87" s="100">
        <v>96</v>
      </c>
      <c r="N87" s="63"/>
      <c r="W87" s="21"/>
      <c r="X87" s="21"/>
      <c r="Y87" s="21"/>
      <c r="Z87" s="68"/>
      <c r="AB87" s="22"/>
      <c r="AC87" s="22"/>
    </row>
    <row r="88" spans="1:29" ht="15">
      <c r="A88" s="99" t="s">
        <v>151</v>
      </c>
      <c r="B88" s="99" t="s">
        <v>152</v>
      </c>
      <c r="C88" s="161">
        <v>44994.156921296293</v>
      </c>
      <c r="D88" s="114" t="s">
        <v>214</v>
      </c>
      <c r="E88" s="100">
        <v>63</v>
      </c>
      <c r="N88" s="87"/>
    </row>
    <row r="89" spans="1:29" ht="15">
      <c r="A89" s="101" t="s">
        <v>151</v>
      </c>
      <c r="B89" s="101" t="s">
        <v>152</v>
      </c>
      <c r="C89" s="164">
        <v>44994.156921296293</v>
      </c>
      <c r="D89" s="101" t="s">
        <v>228</v>
      </c>
      <c r="E89" s="102">
        <f>98-63</f>
        <v>35</v>
      </c>
      <c r="N89" s="63"/>
      <c r="O89" s="20"/>
      <c r="P89" s="20"/>
      <c r="Q89" s="20"/>
      <c r="R89" s="67"/>
      <c r="S89" s="20"/>
      <c r="T89" s="20"/>
      <c r="U89" s="20"/>
      <c r="V89" s="67"/>
      <c r="W89" s="20"/>
      <c r="X89" s="20"/>
      <c r="Y89" s="20"/>
      <c r="Z89" s="67"/>
    </row>
    <row r="90" spans="1:29" ht="15">
      <c r="A90" s="103" t="s">
        <v>195</v>
      </c>
      <c r="B90" s="103" t="s">
        <v>152</v>
      </c>
      <c r="C90" s="162">
        <v>45034.161134259259</v>
      </c>
      <c r="D90" s="103" t="s">
        <v>172</v>
      </c>
      <c r="E90" s="104">
        <v>-108</v>
      </c>
      <c r="N90" s="63"/>
      <c r="P90" s="8"/>
      <c r="R90" s="110"/>
      <c r="W90" s="21"/>
      <c r="X90" s="21"/>
      <c r="AB90" s="22"/>
      <c r="AC90" s="22"/>
    </row>
    <row r="91" spans="1:29" ht="15">
      <c r="A91" s="103" t="s">
        <v>151</v>
      </c>
      <c r="B91" s="103" t="s">
        <v>152</v>
      </c>
      <c r="C91" s="162">
        <v>45034.738379629627</v>
      </c>
      <c r="D91" s="103" t="s">
        <v>176</v>
      </c>
      <c r="E91" s="104">
        <v>78</v>
      </c>
      <c r="N91" s="63"/>
      <c r="S91" s="113"/>
      <c r="T91" s="113"/>
      <c r="U91" s="113"/>
      <c r="V91" s="130"/>
      <c r="W91" s="21"/>
      <c r="X91" s="21"/>
      <c r="Y91" s="21"/>
      <c r="Z91" s="68"/>
      <c r="AB91" s="22"/>
      <c r="AC91" s="22"/>
    </row>
    <row r="92" spans="1:29" ht="15">
      <c r="A92" s="103" t="s">
        <v>195</v>
      </c>
      <c r="B92" s="103" t="s">
        <v>152</v>
      </c>
      <c r="C92" s="162">
        <v>45035.636689814812</v>
      </c>
      <c r="D92" s="103" t="s">
        <v>182</v>
      </c>
      <c r="E92" s="104">
        <v>-634.99</v>
      </c>
      <c r="N92" s="87"/>
      <c r="P92" s="87"/>
      <c r="Q92" s="108"/>
      <c r="R92" s="87"/>
      <c r="S92" s="108"/>
      <c r="T92" s="108"/>
      <c r="U92" s="108"/>
      <c r="V92" s="87"/>
      <c r="W92" s="108"/>
      <c r="X92" s="108"/>
      <c r="Y92" s="108"/>
      <c r="Z92" s="63"/>
      <c r="AA92" s="63"/>
      <c r="AB92" s="63"/>
    </row>
    <row r="93" spans="1:29" ht="15">
      <c r="A93" s="103" t="s">
        <v>195</v>
      </c>
      <c r="B93" s="103" t="s">
        <v>152</v>
      </c>
      <c r="C93" s="162">
        <v>45035.702476851853</v>
      </c>
      <c r="D93" s="103" t="s">
        <v>188</v>
      </c>
      <c r="E93" s="104">
        <v>-357.25</v>
      </c>
      <c r="N93" s="63"/>
      <c r="O93" s="20"/>
      <c r="P93" s="63"/>
      <c r="Q93" s="109"/>
      <c r="R93" s="63"/>
      <c r="S93" s="41"/>
      <c r="T93" s="41"/>
      <c r="U93" s="41"/>
      <c r="V93" s="69"/>
      <c r="W93" s="22"/>
      <c r="X93" s="41"/>
      <c r="Y93" s="41"/>
      <c r="Z93" s="63"/>
      <c r="AA93" s="22"/>
      <c r="AB93" s="22"/>
    </row>
    <row r="94" spans="1:29" ht="15">
      <c r="A94" s="101" t="s">
        <v>151</v>
      </c>
      <c r="B94" s="101" t="s">
        <v>152</v>
      </c>
      <c r="C94" s="164">
        <v>45041.089918981481</v>
      </c>
      <c r="D94" s="101" t="s">
        <v>233</v>
      </c>
      <c r="E94" s="102">
        <v>25</v>
      </c>
      <c r="N94" s="63"/>
      <c r="P94" s="63"/>
      <c r="Q94" s="41"/>
      <c r="R94" s="63"/>
      <c r="S94" s="41"/>
      <c r="T94" s="41"/>
      <c r="U94" s="41"/>
      <c r="V94" s="63"/>
      <c r="W94" s="41"/>
      <c r="X94" s="22"/>
      <c r="Y94" s="22"/>
      <c r="Z94" s="63"/>
      <c r="AA94" s="22"/>
      <c r="AB94" s="22"/>
      <c r="AC94" s="22"/>
    </row>
    <row r="95" spans="1:29" ht="15">
      <c r="A95" s="99" t="s">
        <v>151</v>
      </c>
      <c r="B95" s="99" t="s">
        <v>152</v>
      </c>
      <c r="C95" s="161">
        <v>45043.264085648145</v>
      </c>
      <c r="D95" s="114" t="s">
        <v>218</v>
      </c>
      <c r="E95" s="100">
        <v>123</v>
      </c>
      <c r="P95" s="63"/>
      <c r="Q95" s="63"/>
      <c r="R95" s="63"/>
      <c r="S95" s="41"/>
      <c r="T95" s="41"/>
      <c r="U95" s="41"/>
      <c r="V95" s="63"/>
      <c r="W95" s="41"/>
      <c r="X95" s="41"/>
      <c r="Y95" s="41"/>
      <c r="Z95" s="63"/>
      <c r="AA95" s="63"/>
      <c r="AB95" s="63"/>
      <c r="AC95" s="22"/>
    </row>
    <row r="96" spans="1:29" ht="15">
      <c r="A96" s="103" t="s">
        <v>151</v>
      </c>
      <c r="B96" s="103" t="s">
        <v>152</v>
      </c>
      <c r="C96" s="162">
        <v>45043.268657407411</v>
      </c>
      <c r="D96" s="103" t="s">
        <v>194</v>
      </c>
      <c r="E96" s="104">
        <v>78</v>
      </c>
      <c r="N96" s="87"/>
      <c r="P96" s="87"/>
      <c r="Q96" s="108"/>
      <c r="R96" s="87"/>
      <c r="S96" s="108"/>
      <c r="T96" s="108"/>
      <c r="U96" s="108"/>
      <c r="V96" s="87"/>
      <c r="W96" s="108"/>
      <c r="X96" s="108"/>
      <c r="Y96" s="108"/>
      <c r="Z96" s="63"/>
      <c r="AA96" s="63"/>
      <c r="AB96" s="63"/>
    </row>
    <row r="97" spans="1:29" ht="15">
      <c r="A97" s="103" t="s">
        <v>151</v>
      </c>
      <c r="B97" s="103" t="s">
        <v>152</v>
      </c>
      <c r="C97" s="162">
        <v>45043.26966435185</v>
      </c>
      <c r="D97" s="103" t="s">
        <v>200</v>
      </c>
      <c r="E97" s="104">
        <v>88</v>
      </c>
      <c r="N97" s="63"/>
      <c r="O97" s="20"/>
      <c r="P97" s="63"/>
      <c r="Q97" s="109"/>
      <c r="R97" s="63"/>
      <c r="S97" s="41"/>
      <c r="T97" s="41"/>
      <c r="U97" s="41"/>
      <c r="V97" s="69"/>
      <c r="W97" s="22"/>
      <c r="X97" s="41"/>
      <c r="Y97" s="41"/>
      <c r="Z97" s="63"/>
      <c r="AA97" s="22"/>
      <c r="AB97" s="22"/>
    </row>
    <row r="98" spans="1:29" ht="15">
      <c r="A98" s="103" t="s">
        <v>220</v>
      </c>
      <c r="B98" s="103" t="s">
        <v>152</v>
      </c>
      <c r="C98" s="162">
        <v>45043.658553240741</v>
      </c>
      <c r="D98" s="103" t="s">
        <v>141</v>
      </c>
      <c r="E98" s="104">
        <v>-217.8</v>
      </c>
      <c r="N98" s="63"/>
      <c r="P98" s="63"/>
      <c r="Q98" s="41"/>
      <c r="R98" s="63"/>
      <c r="S98" s="41"/>
      <c r="T98" s="41"/>
      <c r="U98" s="41"/>
      <c r="V98" s="63"/>
      <c r="W98" s="41"/>
      <c r="X98" s="22"/>
      <c r="Y98" s="22"/>
      <c r="Z98" s="63"/>
      <c r="AA98" s="22"/>
      <c r="AB98" s="22"/>
      <c r="AC98" s="22"/>
    </row>
    <row r="99" spans="1:29" ht="15">
      <c r="A99" s="99" t="s">
        <v>151</v>
      </c>
      <c r="B99" s="99" t="s">
        <v>152</v>
      </c>
      <c r="C99" s="161">
        <v>45063.180439814816</v>
      </c>
      <c r="D99" s="114" t="s">
        <v>224</v>
      </c>
      <c r="E99" s="100">
        <v>30</v>
      </c>
      <c r="N99" s="63"/>
      <c r="P99" s="63"/>
      <c r="Q99" s="63"/>
      <c r="R99" s="63"/>
      <c r="S99" s="41"/>
      <c r="T99" s="41"/>
      <c r="U99" s="41"/>
      <c r="V99" s="63"/>
      <c r="W99" s="41"/>
      <c r="X99" s="41"/>
      <c r="Y99" s="41"/>
      <c r="Z99" s="63"/>
      <c r="AA99" s="63"/>
      <c r="AB99" s="63"/>
      <c r="AC99" s="22"/>
    </row>
    <row r="100" spans="1:29" ht="15">
      <c r="A100" s="103" t="s">
        <v>151</v>
      </c>
      <c r="B100" s="103" t="s">
        <v>152</v>
      </c>
      <c r="C100" s="162">
        <v>45066.870439814818</v>
      </c>
      <c r="D100" s="103" t="s">
        <v>210</v>
      </c>
      <c r="E100" s="104">
        <v>154</v>
      </c>
      <c r="N100" s="87"/>
      <c r="P100" s="87"/>
      <c r="Q100" s="108"/>
      <c r="R100" s="87"/>
      <c r="S100" s="108"/>
      <c r="T100" s="108"/>
      <c r="U100" s="108"/>
      <c r="V100" s="87"/>
      <c r="W100" s="108"/>
      <c r="X100" s="108"/>
      <c r="Y100" s="108"/>
      <c r="Z100" s="63"/>
      <c r="AA100" s="63"/>
      <c r="AB100" s="63"/>
    </row>
    <row r="101" spans="1:29" ht="15">
      <c r="A101" s="103" t="s">
        <v>151</v>
      </c>
      <c r="B101" s="103" t="s">
        <v>152</v>
      </c>
      <c r="C101" s="162">
        <v>45067.205231481479</v>
      </c>
      <c r="D101" s="103" t="s">
        <v>215</v>
      </c>
      <c r="E101" s="104">
        <v>136</v>
      </c>
      <c r="N101" s="63"/>
      <c r="O101" s="20"/>
      <c r="P101" s="63"/>
      <c r="Q101" s="109"/>
      <c r="R101" s="63"/>
      <c r="S101" s="41"/>
      <c r="T101" s="41"/>
      <c r="U101" s="41"/>
      <c r="V101" s="69"/>
      <c r="W101" s="22"/>
      <c r="X101" s="41"/>
      <c r="Y101" s="41"/>
      <c r="Z101" s="63"/>
      <c r="AA101" s="22"/>
      <c r="AB101" s="22"/>
    </row>
    <row r="102" spans="1:29" ht="15">
      <c r="A102" s="103" t="s">
        <v>151</v>
      </c>
      <c r="B102" s="103" t="s">
        <v>152</v>
      </c>
      <c r="C102" s="162">
        <v>45067.211840277778</v>
      </c>
      <c r="D102" s="103" t="s">
        <v>219</v>
      </c>
      <c r="E102" s="104">
        <v>112</v>
      </c>
      <c r="N102" s="67"/>
      <c r="O102" s="20"/>
      <c r="P102" s="20"/>
      <c r="Q102" s="20"/>
      <c r="R102" s="67"/>
      <c r="S102" s="20"/>
      <c r="T102" s="20"/>
      <c r="U102" s="20"/>
      <c r="V102" s="67"/>
      <c r="W102" s="20"/>
      <c r="X102" s="22"/>
      <c r="Y102" s="22"/>
      <c r="Z102" s="63"/>
      <c r="AA102" s="22"/>
      <c r="AB102" s="22"/>
      <c r="AC102" s="22"/>
    </row>
    <row r="103" spans="1:29" ht="15">
      <c r="A103" s="103" t="s">
        <v>151</v>
      </c>
      <c r="B103" s="103" t="s">
        <v>152</v>
      </c>
      <c r="C103" s="162">
        <v>45079.026655092595</v>
      </c>
      <c r="D103" s="103" t="s">
        <v>225</v>
      </c>
      <c r="E103" s="104">
        <v>112.01</v>
      </c>
      <c r="N103" s="67"/>
      <c r="O103" s="20"/>
      <c r="P103" s="20"/>
      <c r="Q103" s="20"/>
      <c r="R103" s="67"/>
      <c r="S103" s="20"/>
      <c r="T103" s="20"/>
      <c r="U103" s="20"/>
      <c r="V103" s="67"/>
      <c r="W103" s="20"/>
      <c r="X103" s="41"/>
      <c r="Y103" s="41"/>
      <c r="Z103" s="63"/>
      <c r="AA103" s="63"/>
      <c r="AB103" s="63"/>
      <c r="AC103" s="22"/>
    </row>
    <row r="104" spans="1:29" ht="15">
      <c r="A104" s="103" t="s">
        <v>151</v>
      </c>
      <c r="B104" s="103" t="s">
        <v>152</v>
      </c>
      <c r="C104" s="162">
        <v>45091.817326388889</v>
      </c>
      <c r="D104" s="103" t="s">
        <v>230</v>
      </c>
      <c r="E104" s="104">
        <v>78.12</v>
      </c>
      <c r="N104" s="67"/>
      <c r="O104" s="20"/>
      <c r="P104" s="20"/>
      <c r="Q104" s="20"/>
      <c r="R104" s="67"/>
      <c r="S104" s="20"/>
      <c r="T104" s="20"/>
      <c r="U104" s="20"/>
      <c r="V104" s="67"/>
      <c r="W104" s="20"/>
      <c r="X104" s="108"/>
      <c r="Y104" s="108"/>
      <c r="Z104" s="63"/>
      <c r="AA104" s="63"/>
      <c r="AB104" s="63"/>
    </row>
    <row r="105" spans="1:29" ht="15">
      <c r="A105" s="103" t="s">
        <v>151</v>
      </c>
      <c r="B105" s="103" t="s">
        <v>152</v>
      </c>
      <c r="C105" s="162">
        <v>45098.101701388892</v>
      </c>
      <c r="D105" s="103" t="s">
        <v>235</v>
      </c>
      <c r="E105" s="104">
        <v>34</v>
      </c>
      <c r="N105" s="67"/>
      <c r="O105" s="20"/>
      <c r="P105" s="20"/>
      <c r="Q105" s="20"/>
      <c r="R105" s="67"/>
      <c r="S105" s="20"/>
      <c r="T105" s="20"/>
      <c r="U105" s="20"/>
      <c r="V105" s="67"/>
      <c r="W105" s="20"/>
      <c r="X105" s="41"/>
      <c r="Y105" s="41"/>
      <c r="Z105" s="63"/>
      <c r="AA105" s="22"/>
      <c r="AB105" s="22"/>
    </row>
    <row r="106" spans="1:29" ht="15">
      <c r="A106" s="99" t="s">
        <v>151</v>
      </c>
      <c r="B106" s="99" t="s">
        <v>152</v>
      </c>
      <c r="C106" s="161">
        <v>45101.156226851854</v>
      </c>
      <c r="D106" s="114" t="s">
        <v>229</v>
      </c>
      <c r="E106" s="100">
        <v>33</v>
      </c>
      <c r="N106" s="67"/>
      <c r="O106" s="20"/>
      <c r="P106" s="20"/>
      <c r="Q106" s="20"/>
      <c r="R106" s="67"/>
      <c r="S106" s="20"/>
      <c r="T106" s="20"/>
      <c r="U106" s="20"/>
      <c r="V106" s="67"/>
      <c r="W106" s="20"/>
      <c r="X106" s="22"/>
      <c r="Y106" s="22"/>
      <c r="Z106" s="63"/>
      <c r="AA106" s="22"/>
      <c r="AB106" s="22"/>
      <c r="AC106" s="22"/>
    </row>
    <row r="107" spans="1:29" ht="15">
      <c r="A107" s="103" t="s">
        <v>151</v>
      </c>
      <c r="B107" s="103" t="s">
        <v>152</v>
      </c>
      <c r="C107" s="162">
        <v>45101.156226851854</v>
      </c>
      <c r="D107" s="103" t="s">
        <v>237</v>
      </c>
      <c r="E107" s="104">
        <f>77-33</f>
        <v>44</v>
      </c>
      <c r="N107" s="67"/>
      <c r="O107" s="20"/>
      <c r="P107" s="20"/>
      <c r="Q107" s="20"/>
      <c r="R107" s="67"/>
      <c r="S107" s="20"/>
      <c r="T107" s="20"/>
      <c r="U107" s="20"/>
      <c r="V107" s="67"/>
      <c r="W107" s="20"/>
      <c r="X107" s="41"/>
      <c r="Y107" s="41"/>
      <c r="Z107" s="63"/>
      <c r="AA107" s="63"/>
      <c r="AB107" s="63"/>
      <c r="AC107" s="22"/>
    </row>
    <row r="108" spans="1:29" ht="15">
      <c r="A108" s="103" t="s">
        <v>151</v>
      </c>
      <c r="B108" s="103" t="s">
        <v>152</v>
      </c>
      <c r="C108" s="162">
        <v>45105.730752314812</v>
      </c>
      <c r="D108" s="103" t="s">
        <v>239</v>
      </c>
      <c r="E108" s="104">
        <f>63-33</f>
        <v>30</v>
      </c>
      <c r="N108" s="67"/>
      <c r="O108" s="20"/>
      <c r="P108" s="20"/>
      <c r="Q108" s="20"/>
      <c r="R108" s="67"/>
      <c r="S108" s="20"/>
      <c r="T108" s="20"/>
      <c r="U108" s="20"/>
      <c r="V108" s="67"/>
      <c r="W108" s="20"/>
      <c r="X108" s="108"/>
      <c r="Y108" s="108"/>
      <c r="Z108" s="63"/>
      <c r="AA108" s="63"/>
      <c r="AB108" s="63"/>
    </row>
    <row r="109" spans="1:29" ht="15">
      <c r="A109" s="99" t="s">
        <v>151</v>
      </c>
      <c r="B109" s="99" t="s">
        <v>152</v>
      </c>
      <c r="C109" s="161">
        <v>45105.730752314812</v>
      </c>
      <c r="D109" s="99" t="s">
        <v>234</v>
      </c>
      <c r="E109" s="100">
        <v>33</v>
      </c>
      <c r="N109" s="67"/>
      <c r="O109" s="20"/>
      <c r="P109" s="20"/>
      <c r="Q109" s="20"/>
      <c r="R109" s="67"/>
      <c r="S109" s="20"/>
      <c r="T109" s="20"/>
      <c r="U109" s="20"/>
      <c r="V109" s="67"/>
      <c r="W109" s="20"/>
      <c r="X109" s="41"/>
      <c r="Y109" s="41"/>
      <c r="Z109" s="63"/>
      <c r="AA109" s="22"/>
      <c r="AB109" s="22"/>
    </row>
    <row r="110" spans="1:29" ht="15">
      <c r="A110" s="103" t="s">
        <v>151</v>
      </c>
      <c r="B110" s="103" t="s">
        <v>152</v>
      </c>
      <c r="C110" s="162">
        <v>45133.818460648145</v>
      </c>
      <c r="D110" s="103" t="s">
        <v>241</v>
      </c>
      <c r="E110" s="104">
        <v>66</v>
      </c>
      <c r="K110" s="8"/>
      <c r="N110" s="67"/>
      <c r="O110" s="20"/>
      <c r="P110" s="20"/>
      <c r="Q110" s="20"/>
      <c r="R110" s="67"/>
      <c r="S110" s="20"/>
      <c r="T110" s="20"/>
      <c r="U110" s="20"/>
      <c r="V110" s="67"/>
      <c r="W110" s="20"/>
      <c r="X110" s="22"/>
      <c r="Y110" s="22"/>
      <c r="Z110" s="63"/>
      <c r="AA110" s="22"/>
      <c r="AB110" s="22"/>
      <c r="AC110" s="22"/>
    </row>
    <row r="111" spans="1:29" ht="15">
      <c r="A111" s="103" t="s">
        <v>151</v>
      </c>
      <c r="B111" s="103" t="s">
        <v>152</v>
      </c>
      <c r="C111" s="162">
        <v>45240.911203703705</v>
      </c>
      <c r="D111" s="103" t="s">
        <v>243</v>
      </c>
      <c r="E111" s="104">
        <v>78</v>
      </c>
      <c r="N111" s="67"/>
      <c r="O111" s="20"/>
      <c r="P111" s="20"/>
      <c r="Q111" s="20"/>
      <c r="R111" s="67"/>
      <c r="S111" s="20"/>
      <c r="T111" s="20"/>
      <c r="U111" s="20"/>
      <c r="V111" s="67"/>
      <c r="W111" s="20"/>
      <c r="X111" s="41"/>
      <c r="Y111" s="41"/>
      <c r="Z111" s="63"/>
      <c r="AA111" s="63"/>
      <c r="AB111" s="63"/>
      <c r="AC111" s="22"/>
    </row>
    <row r="112" spans="1:29" ht="15">
      <c r="A112" s="103" t="s">
        <v>151</v>
      </c>
      <c r="B112" s="103" t="s">
        <v>152</v>
      </c>
      <c r="C112" s="162">
        <v>45244.929166666669</v>
      </c>
      <c r="D112" s="165" t="s">
        <v>245</v>
      </c>
      <c r="E112" s="106">
        <v>33</v>
      </c>
      <c r="N112" s="67"/>
      <c r="O112" s="20"/>
      <c r="P112" s="20"/>
      <c r="Q112" s="20"/>
      <c r="R112" s="67"/>
      <c r="S112" s="20"/>
      <c r="T112" s="20"/>
      <c r="U112" s="20"/>
      <c r="V112" s="67"/>
      <c r="W112" s="20"/>
      <c r="X112" s="108"/>
      <c r="Y112" s="108"/>
      <c r="Z112" s="63"/>
      <c r="AA112" s="63"/>
      <c r="AB112" s="63"/>
    </row>
    <row r="113" spans="1:29" ht="15">
      <c r="A113" s="103" t="s">
        <v>151</v>
      </c>
      <c r="B113" s="103" t="s">
        <v>152</v>
      </c>
      <c r="C113" s="162">
        <v>45251</v>
      </c>
      <c r="D113" s="165" t="s">
        <v>236</v>
      </c>
      <c r="E113" s="106">
        <v>26</v>
      </c>
      <c r="N113" s="67"/>
      <c r="O113" s="20"/>
      <c r="P113" s="20"/>
      <c r="Q113" s="20"/>
      <c r="R113" s="67"/>
      <c r="S113" s="20"/>
      <c r="T113" s="20"/>
      <c r="U113" s="20"/>
      <c r="V113" s="67"/>
      <c r="W113" s="20"/>
      <c r="X113" s="108"/>
      <c r="Y113" s="108"/>
      <c r="Z113" s="63"/>
      <c r="AA113" s="63"/>
      <c r="AB113" s="63"/>
    </row>
    <row r="114" spans="1:29" ht="15">
      <c r="A114" s="171" t="s">
        <v>195</v>
      </c>
      <c r="B114" s="171" t="s">
        <v>152</v>
      </c>
      <c r="C114" s="172">
        <v>45260</v>
      </c>
      <c r="D114" s="173" t="s">
        <v>188</v>
      </c>
      <c r="E114" s="174">
        <v>-713.58</v>
      </c>
      <c r="N114" s="67"/>
      <c r="O114" s="20"/>
      <c r="P114" s="20"/>
      <c r="Q114" s="20"/>
      <c r="R114" s="67"/>
      <c r="S114" s="20"/>
      <c r="T114" s="20"/>
      <c r="U114" s="20"/>
      <c r="V114" s="67"/>
      <c r="W114" s="20"/>
      <c r="X114" s="108"/>
      <c r="Y114" s="108"/>
      <c r="Z114" s="63"/>
      <c r="AA114" s="63"/>
      <c r="AB114" s="63"/>
    </row>
    <row r="115" spans="1:29" ht="15">
      <c r="A115" s="103" t="s">
        <v>151</v>
      </c>
      <c r="B115" s="103" t="s">
        <v>152</v>
      </c>
      <c r="C115" s="162">
        <v>45260</v>
      </c>
      <c r="D115" s="165" t="s">
        <v>247</v>
      </c>
      <c r="E115" s="106">
        <v>44</v>
      </c>
      <c r="N115" s="67"/>
      <c r="O115" s="20"/>
      <c r="P115" s="20"/>
      <c r="Q115" s="20"/>
      <c r="R115" s="67"/>
      <c r="S115" s="20"/>
      <c r="T115" s="20"/>
      <c r="U115" s="20"/>
      <c r="V115" s="67"/>
      <c r="W115" s="20"/>
      <c r="X115" s="108"/>
      <c r="Y115" s="108"/>
      <c r="Z115" s="63"/>
      <c r="AA115" s="63"/>
      <c r="AB115" s="63"/>
    </row>
    <row r="116" spans="1:29" ht="15">
      <c r="A116" s="171" t="s">
        <v>220</v>
      </c>
      <c r="B116" s="171" t="s">
        <v>152</v>
      </c>
      <c r="C116" s="172">
        <v>45323</v>
      </c>
      <c r="D116" s="173" t="s">
        <v>141</v>
      </c>
      <c r="E116" s="171">
        <v>-228.69</v>
      </c>
      <c r="N116" s="67"/>
      <c r="O116" s="20"/>
      <c r="P116" s="20"/>
      <c r="Q116" s="20"/>
      <c r="R116" s="67"/>
      <c r="S116" s="20"/>
      <c r="T116" s="20"/>
      <c r="U116" s="20"/>
      <c r="V116" s="67"/>
      <c r="W116" s="20"/>
      <c r="X116" s="41"/>
      <c r="Y116" s="41"/>
      <c r="Z116" s="63"/>
      <c r="AA116" s="22"/>
      <c r="AB116" s="22"/>
    </row>
    <row r="117" spans="1:29" ht="15">
      <c r="A117" s="99" t="s">
        <v>151</v>
      </c>
      <c r="B117" s="99" t="s">
        <v>152</v>
      </c>
      <c r="C117" s="161">
        <v>45349</v>
      </c>
      <c r="D117" s="114" t="s">
        <v>258</v>
      </c>
      <c r="E117" s="100">
        <v>33</v>
      </c>
      <c r="N117" s="67"/>
      <c r="O117" s="20"/>
      <c r="P117" s="20"/>
      <c r="Q117" s="20"/>
      <c r="R117" s="67"/>
      <c r="S117" s="20"/>
      <c r="T117" s="20"/>
      <c r="U117" s="20"/>
      <c r="V117" s="67"/>
      <c r="W117" s="20"/>
      <c r="X117" s="41"/>
      <c r="Y117" s="41"/>
      <c r="Z117" s="63"/>
      <c r="AA117" s="22"/>
      <c r="AB117" s="22"/>
    </row>
    <row r="118" spans="1:29" ht="15">
      <c r="A118" s="103" t="s">
        <v>151</v>
      </c>
      <c r="B118" s="103" t="s">
        <v>152</v>
      </c>
      <c r="C118" s="162">
        <v>45349</v>
      </c>
      <c r="D118" s="103" t="s">
        <v>259</v>
      </c>
      <c r="E118" s="104">
        <v>78</v>
      </c>
      <c r="N118" s="67"/>
      <c r="O118" s="20"/>
      <c r="P118" s="20"/>
      <c r="Q118" s="20"/>
      <c r="R118" s="67"/>
      <c r="S118" s="20"/>
      <c r="T118" s="20"/>
      <c r="U118" s="20"/>
      <c r="V118" s="67"/>
      <c r="W118" s="20"/>
      <c r="X118" s="41"/>
      <c r="Y118" s="41"/>
      <c r="Z118" s="63"/>
      <c r="AA118" s="22"/>
      <c r="AB118" s="22"/>
    </row>
    <row r="119" spans="1:29" ht="15">
      <c r="A119" s="171" t="s">
        <v>151</v>
      </c>
      <c r="B119" s="171" t="s">
        <v>152</v>
      </c>
      <c r="C119" s="172">
        <v>45372</v>
      </c>
      <c r="D119" s="171" t="s">
        <v>260</v>
      </c>
      <c r="E119" s="191">
        <v>66</v>
      </c>
      <c r="N119" s="67"/>
      <c r="O119" s="20"/>
      <c r="P119" s="20"/>
      <c r="Q119" s="20"/>
      <c r="R119" s="67"/>
      <c r="S119" s="20"/>
      <c r="T119" s="20"/>
      <c r="U119" s="20"/>
      <c r="V119" s="67"/>
      <c r="W119" s="20"/>
      <c r="X119" s="41"/>
      <c r="Y119" s="41"/>
      <c r="Z119" s="63"/>
      <c r="AA119" s="22"/>
      <c r="AB119" s="22"/>
    </row>
    <row r="120" spans="1:29" ht="15">
      <c r="C120" s="92"/>
      <c r="E120" s="116">
        <f>SUM(E4:E119)</f>
        <v>407.99999999999949</v>
      </c>
      <c r="N120" s="67"/>
      <c r="O120" s="20"/>
      <c r="P120" s="20"/>
      <c r="Q120" s="20"/>
      <c r="R120" s="67"/>
      <c r="S120" s="20"/>
      <c r="T120" s="20"/>
      <c r="U120" s="20"/>
      <c r="V120" s="67"/>
      <c r="W120" s="20"/>
      <c r="X120" s="22"/>
      <c r="Y120" s="22"/>
      <c r="Z120" s="63"/>
      <c r="AA120" s="22"/>
      <c r="AB120" s="22"/>
      <c r="AC120" s="22"/>
    </row>
    <row r="121" spans="1:29" ht="15.95" customHeight="1">
      <c r="C121" s="92"/>
      <c r="E121" s="105"/>
      <c r="N121" s="67"/>
      <c r="O121" s="20"/>
      <c r="P121" s="20"/>
      <c r="Q121" s="20"/>
      <c r="R121" s="67"/>
      <c r="S121" s="20"/>
      <c r="T121" s="20"/>
      <c r="U121" s="20"/>
      <c r="V121" s="67"/>
      <c r="W121" s="20"/>
      <c r="X121" s="41"/>
      <c r="Y121" s="41"/>
      <c r="Z121" s="63"/>
      <c r="AA121" s="63"/>
      <c r="AB121" s="63"/>
      <c r="AC121" s="22"/>
    </row>
    <row r="122" spans="1:29" ht="15.95" customHeight="1">
      <c r="C122" s="92"/>
      <c r="E122" s="105"/>
      <c r="N122" s="67"/>
      <c r="O122" s="20"/>
      <c r="P122" s="20"/>
      <c r="Q122" s="20"/>
      <c r="R122" s="67"/>
      <c r="S122" s="20"/>
      <c r="T122" s="20"/>
      <c r="U122" s="20"/>
      <c r="V122" s="67"/>
      <c r="W122" s="20"/>
      <c r="X122" s="108"/>
      <c r="Y122" s="108"/>
      <c r="Z122" s="63"/>
      <c r="AA122" s="63"/>
      <c r="AB122" s="63"/>
    </row>
    <row r="123" spans="1:29" ht="15.95" customHeight="1">
      <c r="E123" s="107"/>
      <c r="N123" s="67"/>
      <c r="O123" s="20"/>
      <c r="P123" s="20"/>
      <c r="Q123" s="20"/>
      <c r="R123" s="67"/>
      <c r="S123" s="20"/>
      <c r="T123" s="20"/>
      <c r="U123" s="20"/>
      <c r="V123" s="67"/>
      <c r="W123" s="20"/>
      <c r="X123" s="41"/>
      <c r="Y123" s="41"/>
      <c r="Z123" s="63"/>
      <c r="AA123" s="22"/>
      <c r="AB123" s="22"/>
    </row>
    <row r="124" spans="1:29" ht="15.95" customHeight="1">
      <c r="E124" s="107"/>
      <c r="N124" s="67"/>
      <c r="O124" s="20"/>
      <c r="P124" s="20"/>
      <c r="Q124" s="20"/>
      <c r="R124" s="67"/>
      <c r="S124" s="20"/>
      <c r="T124" s="20"/>
      <c r="U124" s="20"/>
      <c r="V124" s="67"/>
      <c r="W124" s="20"/>
      <c r="X124" s="22"/>
      <c r="Y124" s="22"/>
      <c r="Z124" s="63"/>
      <c r="AA124" s="22"/>
      <c r="AB124" s="22"/>
      <c r="AC124" s="22"/>
    </row>
    <row r="125" spans="1:29" ht="15.95" customHeight="1">
      <c r="E125" s="107"/>
      <c r="N125" s="67"/>
      <c r="O125" s="20"/>
      <c r="P125" s="20"/>
      <c r="Q125" s="20"/>
      <c r="R125" s="67"/>
      <c r="S125" s="20"/>
      <c r="T125" s="20"/>
      <c r="U125" s="20"/>
      <c r="V125" s="67"/>
      <c r="W125" s="20"/>
      <c r="X125" s="41"/>
      <c r="Y125" s="41"/>
      <c r="Z125" s="63"/>
      <c r="AA125" s="63"/>
      <c r="AB125" s="63"/>
      <c r="AC125" s="22"/>
    </row>
    <row r="126" spans="1:29" ht="15.95" customHeight="1">
      <c r="E126" s="107"/>
      <c r="N126" s="67"/>
      <c r="O126" s="20"/>
      <c r="P126" s="20"/>
      <c r="Q126" s="20"/>
      <c r="R126" s="67"/>
      <c r="S126" s="20"/>
      <c r="T126" s="20"/>
      <c r="U126" s="20"/>
      <c r="V126" s="67"/>
      <c r="W126" s="20"/>
      <c r="X126" s="108"/>
      <c r="Y126" s="108"/>
      <c r="Z126" s="63"/>
      <c r="AA126" s="63"/>
      <c r="AB126" s="63"/>
    </row>
    <row r="127" spans="1:29" ht="15.95" customHeight="1">
      <c r="E127" s="107"/>
      <c r="N127" s="67"/>
      <c r="O127" s="20"/>
      <c r="P127" s="20"/>
      <c r="Q127" s="20"/>
      <c r="R127" s="67"/>
      <c r="S127" s="20"/>
      <c r="T127" s="20"/>
      <c r="U127" s="20"/>
      <c r="V127" s="67"/>
      <c r="W127" s="20"/>
      <c r="X127" s="41"/>
      <c r="Y127" s="41"/>
      <c r="Z127" s="63"/>
      <c r="AA127" s="22"/>
      <c r="AB127" s="22"/>
    </row>
    <row r="128" spans="1:29" ht="15.95" customHeight="1">
      <c r="E128" s="107"/>
      <c r="N128" s="67"/>
      <c r="O128" s="20"/>
      <c r="P128" s="20"/>
      <c r="Q128" s="20"/>
      <c r="R128" s="67"/>
      <c r="S128" s="20"/>
      <c r="T128" s="20"/>
      <c r="U128" s="20"/>
      <c r="V128" s="67"/>
      <c r="W128" s="20"/>
      <c r="X128" s="22"/>
      <c r="Y128" s="22"/>
      <c r="Z128" s="63"/>
      <c r="AA128" s="22"/>
      <c r="AB128" s="22"/>
      <c r="AC128" s="22"/>
    </row>
    <row r="129" spans="5:29" ht="15.95" customHeight="1">
      <c r="E129" s="107"/>
      <c r="I129" s="46"/>
      <c r="N129" s="67"/>
      <c r="O129" s="20"/>
      <c r="P129" s="20"/>
      <c r="Q129" s="20"/>
      <c r="R129" s="67"/>
      <c r="S129" s="20"/>
      <c r="T129" s="20"/>
      <c r="U129" s="20"/>
      <c r="V129" s="67"/>
      <c r="W129" s="20"/>
      <c r="X129" s="41"/>
      <c r="Y129" s="41"/>
      <c r="Z129" s="63"/>
      <c r="AA129" s="63"/>
      <c r="AB129" s="63"/>
      <c r="AC129" s="22"/>
    </row>
    <row r="130" spans="5:29" ht="15.95" customHeight="1">
      <c r="E130" s="107"/>
      <c r="I130" s="46"/>
      <c r="N130" s="67"/>
      <c r="O130" s="20"/>
      <c r="P130" s="20"/>
      <c r="Q130" s="20"/>
      <c r="R130" s="67"/>
      <c r="S130" s="20"/>
      <c r="T130" s="20"/>
      <c r="U130" s="20"/>
      <c r="V130" s="67"/>
      <c r="W130" s="20"/>
      <c r="X130" s="108"/>
      <c r="Y130" s="108"/>
      <c r="Z130" s="63"/>
      <c r="AA130" s="63"/>
      <c r="AB130" s="63"/>
    </row>
    <row r="131" spans="5:29" ht="15.95" customHeight="1">
      <c r="E131" s="107"/>
      <c r="I131" s="46"/>
      <c r="N131" s="67"/>
      <c r="O131" s="20"/>
      <c r="P131" s="20"/>
      <c r="Q131" s="20"/>
      <c r="R131" s="67"/>
      <c r="S131" s="20"/>
      <c r="T131" s="20"/>
      <c r="U131" s="20"/>
      <c r="V131" s="67"/>
      <c r="W131" s="20"/>
      <c r="X131" s="41"/>
      <c r="Y131" s="41"/>
      <c r="Z131" s="63"/>
      <c r="AA131" s="22"/>
      <c r="AB131" s="22"/>
    </row>
    <row r="132" spans="5:29" ht="15.95" customHeight="1">
      <c r="E132" s="107"/>
      <c r="N132" s="67"/>
      <c r="O132" s="20"/>
      <c r="P132" s="20"/>
      <c r="Q132" s="20"/>
      <c r="R132" s="67"/>
      <c r="S132" s="20"/>
      <c r="T132" s="20"/>
      <c r="U132" s="20"/>
      <c r="V132" s="67"/>
      <c r="W132" s="20"/>
      <c r="X132" s="22"/>
      <c r="Y132" s="22"/>
      <c r="Z132" s="63"/>
      <c r="AA132" s="22"/>
      <c r="AB132" s="22"/>
      <c r="AC132" s="22"/>
    </row>
    <row r="133" spans="5:29" ht="15.95" customHeight="1">
      <c r="E133" s="107"/>
      <c r="I133" s="46"/>
      <c r="N133" s="67"/>
      <c r="O133" s="20"/>
      <c r="P133" s="20"/>
      <c r="Q133" s="20"/>
      <c r="R133" s="67"/>
      <c r="S133" s="20"/>
      <c r="T133" s="20"/>
      <c r="U133" s="20"/>
      <c r="V133" s="67"/>
      <c r="W133" s="20"/>
      <c r="X133" s="41"/>
      <c r="Y133" s="41"/>
      <c r="Z133" s="63"/>
      <c r="AA133" s="63"/>
      <c r="AB133" s="63"/>
      <c r="AC133" s="22"/>
    </row>
    <row r="134" spans="5:29" ht="15.95" customHeight="1">
      <c r="E134" s="107"/>
      <c r="N134" s="67"/>
      <c r="O134" s="20"/>
      <c r="P134" s="20"/>
      <c r="Q134" s="20"/>
      <c r="R134" s="67"/>
      <c r="S134" s="20"/>
      <c r="T134" s="20"/>
      <c r="U134" s="20"/>
      <c r="V134" s="67"/>
      <c r="W134" s="20"/>
      <c r="X134" s="108"/>
      <c r="Y134" s="108"/>
      <c r="Z134" s="63"/>
      <c r="AA134" s="63"/>
      <c r="AB134" s="63"/>
    </row>
    <row r="135" spans="5:29" ht="15.95" customHeight="1">
      <c r="E135" s="107"/>
      <c r="N135" s="67"/>
      <c r="O135" s="20"/>
      <c r="P135" s="20"/>
      <c r="Q135" s="20"/>
      <c r="R135" s="67"/>
      <c r="S135" s="20"/>
      <c r="T135" s="20"/>
      <c r="U135" s="20"/>
      <c r="V135" s="67"/>
      <c r="W135" s="20"/>
      <c r="X135" s="41"/>
      <c r="Y135" s="41"/>
      <c r="Z135" s="63"/>
      <c r="AA135" s="22"/>
      <c r="AB135" s="22"/>
    </row>
    <row r="136" spans="5:29" ht="15.95" customHeight="1">
      <c r="E136" s="107"/>
      <c r="N136" s="67"/>
      <c r="O136" s="20"/>
      <c r="P136" s="20"/>
      <c r="Q136" s="20"/>
      <c r="R136" s="67"/>
      <c r="S136" s="20"/>
      <c r="T136" s="20"/>
      <c r="U136" s="20"/>
      <c r="V136" s="67"/>
      <c r="W136" s="20"/>
      <c r="X136" s="22"/>
      <c r="Y136" s="22"/>
      <c r="Z136" s="63"/>
      <c r="AA136" s="22"/>
      <c r="AB136" s="22"/>
      <c r="AC136" s="22"/>
    </row>
    <row r="137" spans="5:29" ht="15.95" customHeight="1">
      <c r="E137" s="107"/>
      <c r="N137" s="67"/>
      <c r="O137" s="20"/>
      <c r="P137" s="20"/>
      <c r="Q137" s="20"/>
      <c r="R137" s="67"/>
      <c r="S137" s="20"/>
      <c r="T137" s="20"/>
      <c r="U137" s="20"/>
      <c r="V137" s="67"/>
      <c r="W137" s="20"/>
      <c r="X137" s="41"/>
      <c r="Y137" s="41"/>
      <c r="Z137" s="63"/>
      <c r="AA137" s="63"/>
      <c r="AB137" s="63"/>
      <c r="AC137" s="22"/>
    </row>
    <row r="138" spans="5:29" ht="15.95" customHeight="1">
      <c r="E138" s="107"/>
      <c r="N138" s="67"/>
      <c r="O138" s="20"/>
      <c r="P138" s="20"/>
      <c r="Q138" s="20"/>
      <c r="R138" s="67"/>
      <c r="S138" s="20"/>
      <c r="T138" s="20"/>
      <c r="U138" s="20"/>
      <c r="V138" s="67"/>
      <c r="W138" s="20"/>
      <c r="X138" s="108"/>
      <c r="Y138" s="108"/>
      <c r="Z138" s="63"/>
      <c r="AA138" s="63"/>
      <c r="AB138" s="63"/>
    </row>
    <row r="139" spans="5:29" ht="15.95" customHeight="1">
      <c r="E139" s="107"/>
      <c r="N139" s="67"/>
      <c r="O139" s="20"/>
      <c r="P139" s="20"/>
      <c r="Q139" s="20"/>
      <c r="R139" s="67"/>
      <c r="S139" s="20"/>
      <c r="T139" s="20"/>
      <c r="U139" s="20"/>
      <c r="V139" s="67"/>
      <c r="W139" s="20"/>
      <c r="X139" s="41"/>
      <c r="Y139" s="41"/>
      <c r="Z139" s="63"/>
      <c r="AA139" s="22"/>
      <c r="AB139" s="22"/>
    </row>
    <row r="140" spans="5:29" ht="15.95" customHeight="1">
      <c r="E140" s="107"/>
      <c r="N140" s="67"/>
      <c r="O140" s="20"/>
      <c r="P140" s="20"/>
      <c r="Q140" s="20"/>
      <c r="R140" s="67"/>
      <c r="S140" s="20"/>
      <c r="T140" s="20"/>
      <c r="U140" s="20"/>
      <c r="V140" s="67"/>
      <c r="W140" s="20"/>
      <c r="X140" s="22"/>
      <c r="Y140" s="22"/>
      <c r="Z140" s="63"/>
      <c r="AA140" s="22"/>
      <c r="AB140" s="22"/>
      <c r="AC140" s="22"/>
    </row>
    <row r="141" spans="5:29" ht="15.95" customHeight="1">
      <c r="E141" s="107"/>
      <c r="N141" s="67"/>
      <c r="O141" s="20"/>
      <c r="P141" s="20"/>
      <c r="Q141" s="20"/>
      <c r="R141" s="67"/>
      <c r="S141" s="20"/>
      <c r="T141" s="20"/>
      <c r="U141" s="20"/>
      <c r="V141" s="67"/>
      <c r="W141" s="20"/>
      <c r="X141" s="41"/>
      <c r="Y141" s="41"/>
      <c r="Z141" s="63"/>
      <c r="AA141" s="63"/>
      <c r="AB141" s="63"/>
      <c r="AC141" s="22"/>
    </row>
    <row r="142" spans="5:29" ht="15.95" customHeight="1">
      <c r="E142" s="107"/>
      <c r="N142" s="67"/>
      <c r="O142" s="20"/>
      <c r="P142" s="20"/>
      <c r="Q142" s="20"/>
      <c r="R142" s="67"/>
      <c r="S142" s="20"/>
      <c r="T142" s="20"/>
      <c r="U142" s="20"/>
      <c r="V142" s="67"/>
      <c r="W142" s="20"/>
      <c r="X142" s="108"/>
      <c r="Y142" s="108"/>
      <c r="Z142" s="63"/>
      <c r="AA142" s="63"/>
      <c r="AB142" s="63"/>
    </row>
    <row r="143" spans="5:29" ht="15.95" customHeight="1">
      <c r="E143" s="107"/>
      <c r="N143" s="67"/>
      <c r="O143" s="20"/>
      <c r="P143" s="20"/>
      <c r="Q143" s="20"/>
      <c r="R143" s="67"/>
      <c r="S143" s="20"/>
      <c r="T143" s="20"/>
      <c r="U143" s="20"/>
      <c r="V143" s="67"/>
      <c r="W143" s="20"/>
      <c r="X143" s="41"/>
      <c r="Y143" s="41"/>
      <c r="Z143" s="63"/>
      <c r="AA143" s="22"/>
      <c r="AB143" s="22"/>
    </row>
    <row r="144" spans="5:29" ht="15.95" customHeight="1">
      <c r="E144" s="107"/>
      <c r="N144" s="67"/>
      <c r="O144" s="20"/>
      <c r="P144" s="20"/>
      <c r="Q144" s="20"/>
      <c r="R144" s="67"/>
      <c r="S144" s="20"/>
      <c r="T144" s="20"/>
      <c r="U144" s="20"/>
      <c r="V144" s="67"/>
      <c r="W144" s="20"/>
      <c r="X144" s="22"/>
      <c r="Y144" s="22"/>
      <c r="Z144" s="63"/>
      <c r="AA144" s="22"/>
      <c r="AB144" s="22"/>
    </row>
    <row r="145" spans="5:28" ht="15.95" customHeight="1">
      <c r="E145" s="107"/>
      <c r="N145" s="67"/>
      <c r="O145" s="20"/>
      <c r="P145" s="20"/>
      <c r="Q145" s="20"/>
      <c r="R145" s="67"/>
      <c r="S145" s="20"/>
      <c r="T145" s="20"/>
      <c r="U145" s="20"/>
      <c r="V145" s="67"/>
      <c r="W145" s="20"/>
      <c r="X145" s="63"/>
      <c r="Y145" s="63"/>
      <c r="Z145" s="63"/>
      <c r="AA145" s="63"/>
      <c r="AB145" s="63"/>
    </row>
    <row r="146" spans="5:28" ht="15.95" customHeight="1">
      <c r="E146" s="107"/>
      <c r="N146" s="67"/>
      <c r="O146" s="20"/>
      <c r="P146" s="20"/>
      <c r="Q146" s="20"/>
      <c r="R146" s="67"/>
      <c r="S146" s="20"/>
      <c r="T146" s="20"/>
      <c r="U146" s="20"/>
      <c r="V146" s="67"/>
      <c r="W146" s="20"/>
      <c r="X146" s="108"/>
      <c r="Y146" s="108"/>
      <c r="Z146" s="63"/>
      <c r="AA146" s="63"/>
      <c r="AB146" s="63"/>
    </row>
    <row r="147" spans="5:28" ht="15.95" customHeight="1">
      <c r="E147" s="107"/>
      <c r="N147" s="67"/>
      <c r="O147" s="20"/>
      <c r="P147" s="20"/>
      <c r="Q147" s="20"/>
      <c r="R147" s="67"/>
      <c r="S147" s="20"/>
      <c r="T147" s="20"/>
      <c r="U147" s="20"/>
      <c r="V147" s="67"/>
      <c r="W147" s="20"/>
      <c r="X147" s="41"/>
      <c r="Y147" s="41"/>
      <c r="Z147" s="63"/>
      <c r="AA147" s="22"/>
      <c r="AB147" s="22"/>
    </row>
    <row r="148" spans="5:28" ht="15.95" customHeight="1">
      <c r="E148" s="107"/>
      <c r="N148" s="67"/>
      <c r="O148" s="20"/>
      <c r="P148" s="20"/>
      <c r="Q148" s="20"/>
      <c r="R148" s="67"/>
      <c r="S148" s="20"/>
      <c r="T148" s="20"/>
      <c r="U148" s="20"/>
      <c r="V148" s="67"/>
      <c r="W148" s="20"/>
      <c r="X148" s="22"/>
      <c r="Y148" s="22"/>
      <c r="Z148" s="63"/>
      <c r="AA148" s="22"/>
      <c r="AB148" s="22"/>
    </row>
    <row r="149" spans="5:28" ht="15.95" customHeight="1">
      <c r="E149" s="107"/>
      <c r="N149" s="67"/>
      <c r="O149" s="20"/>
      <c r="P149" s="20"/>
      <c r="Q149" s="20"/>
      <c r="R149" s="67"/>
      <c r="S149" s="20"/>
      <c r="T149" s="20"/>
      <c r="U149" s="20"/>
      <c r="V149" s="67"/>
      <c r="W149" s="20"/>
      <c r="X149" s="63"/>
      <c r="Y149" s="63"/>
      <c r="Z149" s="63"/>
      <c r="AA149" s="63"/>
      <c r="AB149" s="63"/>
    </row>
    <row r="150" spans="5:28" ht="15.95" customHeight="1">
      <c r="E150" s="107"/>
      <c r="N150" s="67"/>
      <c r="O150" s="20"/>
      <c r="P150" s="20"/>
      <c r="Q150" s="20"/>
      <c r="R150" s="67"/>
      <c r="S150" s="20"/>
      <c r="T150" s="20"/>
      <c r="U150" s="20"/>
      <c r="V150" s="67"/>
      <c r="W150" s="20"/>
      <c r="X150" s="108"/>
      <c r="Y150" s="108"/>
      <c r="Z150" s="63"/>
      <c r="AA150" s="63"/>
      <c r="AB150" s="63"/>
    </row>
    <row r="151" spans="5:28" ht="15.95" customHeight="1">
      <c r="E151" s="107"/>
      <c r="N151" s="67"/>
      <c r="O151" s="20"/>
      <c r="P151" s="20"/>
      <c r="Q151" s="20"/>
      <c r="R151" s="67"/>
      <c r="S151" s="20"/>
      <c r="T151" s="20"/>
      <c r="U151" s="20"/>
      <c r="V151" s="67"/>
      <c r="W151" s="20"/>
      <c r="X151" s="41"/>
      <c r="Y151" s="41"/>
      <c r="Z151" s="63"/>
      <c r="AA151" s="22"/>
      <c r="AB151" s="22"/>
    </row>
    <row r="152" spans="5:28" ht="15.95" customHeight="1">
      <c r="E152" s="107"/>
      <c r="N152" s="67"/>
      <c r="O152" s="20"/>
      <c r="P152" s="20"/>
      <c r="Q152" s="20"/>
      <c r="R152" s="67"/>
      <c r="S152" s="20"/>
      <c r="T152" s="20"/>
      <c r="U152" s="20"/>
      <c r="V152" s="67"/>
      <c r="W152" s="20"/>
      <c r="X152" s="22"/>
      <c r="Y152" s="22"/>
      <c r="Z152" s="63"/>
      <c r="AA152" s="22"/>
      <c r="AB152" s="22"/>
    </row>
    <row r="153" spans="5:28" ht="15.95" customHeight="1">
      <c r="E153" s="107"/>
      <c r="N153" s="67"/>
      <c r="O153" s="20"/>
      <c r="P153" s="20"/>
      <c r="Q153" s="20"/>
      <c r="R153" s="67"/>
      <c r="S153" s="20"/>
      <c r="T153" s="20"/>
      <c r="U153" s="20"/>
      <c r="V153" s="67"/>
      <c r="W153" s="20"/>
      <c r="X153" s="63"/>
      <c r="Y153" s="63"/>
      <c r="Z153" s="63"/>
      <c r="AA153" s="63"/>
      <c r="AB153" s="63"/>
    </row>
    <row r="154" spans="5:28" ht="15.95" customHeight="1">
      <c r="E154" s="107"/>
      <c r="N154" s="67"/>
      <c r="O154" s="20"/>
      <c r="P154" s="20"/>
      <c r="Q154" s="20"/>
      <c r="R154" s="67"/>
      <c r="S154" s="20"/>
      <c r="T154" s="20"/>
      <c r="U154" s="20"/>
      <c r="V154" s="67"/>
      <c r="W154" s="20"/>
      <c r="X154" s="108"/>
      <c r="Y154" s="108"/>
      <c r="Z154" s="63"/>
      <c r="AA154" s="63"/>
      <c r="AB154" s="63"/>
    </row>
    <row r="155" spans="5:28" ht="15.95" customHeight="1">
      <c r="E155" s="107"/>
      <c r="N155" s="67"/>
      <c r="O155" s="20"/>
      <c r="P155" s="20"/>
      <c r="Q155" s="20"/>
      <c r="R155" s="67"/>
      <c r="S155" s="20"/>
      <c r="T155" s="20"/>
      <c r="U155" s="20"/>
      <c r="V155" s="67"/>
      <c r="W155" s="20"/>
      <c r="X155" s="41"/>
      <c r="Y155" s="41"/>
      <c r="Z155" s="63"/>
      <c r="AA155" s="22"/>
      <c r="AB155" s="22"/>
    </row>
    <row r="156" spans="5:28" ht="15.95" customHeight="1">
      <c r="E156" s="107"/>
      <c r="N156" s="67"/>
      <c r="O156" s="20"/>
      <c r="P156" s="20"/>
      <c r="Q156" s="20"/>
      <c r="R156" s="67"/>
      <c r="S156" s="20"/>
      <c r="T156" s="20"/>
      <c r="U156" s="20"/>
      <c r="V156" s="67"/>
      <c r="W156" s="20"/>
      <c r="X156" s="22"/>
      <c r="Y156" s="22"/>
      <c r="Z156" s="63"/>
      <c r="AA156" s="22"/>
      <c r="AB156" s="22"/>
    </row>
    <row r="157" spans="5:28" ht="15.95" customHeight="1">
      <c r="E157" s="107"/>
      <c r="N157" s="67"/>
      <c r="O157" s="20"/>
      <c r="P157" s="20"/>
      <c r="Q157" s="20"/>
      <c r="R157" s="67"/>
      <c r="S157" s="20"/>
      <c r="T157" s="20"/>
      <c r="U157" s="20"/>
      <c r="V157" s="67"/>
      <c r="W157" s="20"/>
      <c r="X157" s="63"/>
      <c r="Y157" s="63"/>
      <c r="Z157" s="63"/>
      <c r="AA157" s="63"/>
      <c r="AB157" s="63"/>
    </row>
    <row r="158" spans="5:28" ht="15.95" customHeight="1">
      <c r="E158" s="107"/>
      <c r="N158" s="67"/>
      <c r="O158" s="20"/>
      <c r="P158" s="20"/>
      <c r="Q158" s="20"/>
      <c r="R158" s="67"/>
      <c r="S158" s="20"/>
      <c r="T158" s="20"/>
      <c r="U158" s="20"/>
      <c r="V158" s="67"/>
      <c r="W158" s="20"/>
      <c r="X158" s="108"/>
      <c r="Y158" s="108"/>
      <c r="Z158" s="63"/>
      <c r="AA158" s="63"/>
      <c r="AB158" s="63"/>
    </row>
    <row r="159" spans="5:28" ht="15.95" customHeight="1">
      <c r="E159" s="107"/>
      <c r="N159" s="67"/>
      <c r="O159" s="20"/>
      <c r="P159" s="20"/>
      <c r="Q159" s="20"/>
      <c r="R159" s="67"/>
      <c r="S159" s="20"/>
      <c r="T159" s="20"/>
      <c r="U159" s="20"/>
      <c r="V159" s="67"/>
      <c r="W159" s="20"/>
      <c r="X159" s="41"/>
      <c r="Y159" s="41"/>
      <c r="Z159" s="63"/>
      <c r="AA159" s="22"/>
      <c r="AB159" s="22"/>
    </row>
    <row r="160" spans="5:28" ht="15.95" customHeight="1">
      <c r="E160" s="107"/>
      <c r="N160" s="67"/>
      <c r="O160" s="20"/>
      <c r="P160" s="20"/>
      <c r="Q160" s="20"/>
      <c r="R160" s="67"/>
      <c r="S160" s="20"/>
      <c r="T160" s="20"/>
      <c r="U160" s="20"/>
      <c r="V160" s="67"/>
      <c r="W160" s="20"/>
      <c r="X160" s="22"/>
      <c r="Y160" s="22"/>
      <c r="Z160" s="63"/>
      <c r="AA160" s="22"/>
      <c r="AB160" s="22"/>
    </row>
    <row r="161" spans="5:23" ht="15.95" customHeight="1">
      <c r="E161" s="107"/>
      <c r="N161" s="67"/>
      <c r="O161" s="20"/>
      <c r="P161" s="20"/>
      <c r="Q161" s="20"/>
      <c r="R161" s="67"/>
      <c r="S161" s="20"/>
      <c r="T161" s="20"/>
      <c r="U161" s="20"/>
      <c r="V161" s="67"/>
      <c r="W161" s="20"/>
    </row>
    <row r="162" spans="5:23" ht="15.95" customHeight="1">
      <c r="E162" s="107"/>
      <c r="N162" s="67"/>
      <c r="O162" s="20"/>
      <c r="P162" s="20"/>
      <c r="Q162" s="20"/>
      <c r="R162" s="67"/>
      <c r="S162" s="20"/>
      <c r="T162" s="20"/>
      <c r="U162" s="20"/>
      <c r="V162" s="67"/>
      <c r="W162" s="20"/>
    </row>
    <row r="163" spans="5:23" ht="15.95" customHeight="1">
      <c r="E163" s="107"/>
      <c r="N163" s="67"/>
      <c r="O163" s="20"/>
      <c r="P163" s="20"/>
      <c r="Q163" s="20"/>
      <c r="R163" s="67"/>
      <c r="S163" s="20"/>
      <c r="T163" s="20"/>
      <c r="U163" s="20"/>
      <c r="V163" s="67"/>
      <c r="W163" s="20"/>
    </row>
    <row r="164" spans="5:23" ht="15.95" customHeight="1">
      <c r="E164" s="107"/>
      <c r="N164" s="67"/>
      <c r="O164" s="20"/>
      <c r="P164" s="20"/>
      <c r="Q164" s="20"/>
      <c r="R164" s="67"/>
      <c r="S164" s="20"/>
      <c r="T164" s="20"/>
      <c r="U164" s="20"/>
      <c r="V164" s="67"/>
      <c r="W164" s="20"/>
    </row>
    <row r="165" spans="5:23" ht="15.95" customHeight="1">
      <c r="E165" s="107"/>
      <c r="N165" s="67"/>
      <c r="O165" s="20"/>
      <c r="P165" s="20"/>
      <c r="Q165" s="20"/>
      <c r="R165" s="67"/>
      <c r="S165" s="20"/>
      <c r="T165" s="20"/>
      <c r="U165" s="20"/>
      <c r="V165" s="67"/>
      <c r="W165" s="20"/>
    </row>
    <row r="166" spans="5:23" ht="15.95" customHeight="1">
      <c r="E166" s="107"/>
      <c r="N166" s="67"/>
      <c r="O166" s="20"/>
      <c r="P166" s="20"/>
      <c r="Q166" s="20"/>
      <c r="R166" s="67"/>
      <c r="S166" s="20"/>
      <c r="T166" s="20"/>
      <c r="U166" s="20"/>
      <c r="V166" s="67"/>
      <c r="W166" s="20"/>
    </row>
    <row r="167" spans="5:23" ht="15.95" customHeight="1">
      <c r="E167" s="107"/>
      <c r="N167" s="67"/>
      <c r="O167" s="20"/>
      <c r="P167" s="20"/>
      <c r="Q167" s="20"/>
      <c r="R167" s="67"/>
      <c r="S167" s="20"/>
      <c r="T167" s="20"/>
      <c r="U167" s="20"/>
      <c r="V167" s="67"/>
      <c r="W167" s="20"/>
    </row>
    <row r="168" spans="5:23" ht="15.95" customHeight="1">
      <c r="E168" s="107"/>
      <c r="N168" s="67"/>
      <c r="O168" s="20"/>
      <c r="P168" s="20"/>
      <c r="Q168" s="20"/>
      <c r="R168" s="67"/>
      <c r="S168" s="20"/>
      <c r="T168" s="20"/>
      <c r="U168" s="20"/>
      <c r="V168" s="67"/>
      <c r="W168" s="20"/>
    </row>
    <row r="169" spans="5:23" ht="15.95" customHeight="1">
      <c r="E169" s="107"/>
      <c r="N169" s="67"/>
      <c r="O169" s="20"/>
      <c r="P169" s="20"/>
      <c r="Q169" s="20"/>
      <c r="R169" s="67"/>
      <c r="S169" s="20"/>
      <c r="T169" s="20"/>
      <c r="U169" s="20"/>
      <c r="V169" s="67"/>
      <c r="W169" s="20"/>
    </row>
    <row r="170" spans="5:23" ht="15.95" customHeight="1">
      <c r="E170" s="107"/>
      <c r="N170" s="67"/>
      <c r="O170" s="20"/>
      <c r="P170" s="20"/>
      <c r="Q170" s="20"/>
      <c r="R170" s="67"/>
      <c r="S170" s="20"/>
      <c r="T170" s="20"/>
      <c r="U170" s="20"/>
      <c r="V170" s="67"/>
      <c r="W170" s="20"/>
    </row>
    <row r="171" spans="5:23" ht="15.95" customHeight="1">
      <c r="E171" s="107"/>
      <c r="N171" s="67"/>
      <c r="O171" s="20"/>
      <c r="P171" s="20"/>
      <c r="Q171" s="20"/>
      <c r="R171" s="67"/>
      <c r="S171" s="20"/>
      <c r="T171" s="20"/>
      <c r="U171" s="20"/>
      <c r="V171" s="67"/>
      <c r="W171" s="20"/>
    </row>
    <row r="172" spans="5:23" ht="15.95" customHeight="1">
      <c r="E172" s="107"/>
      <c r="N172" s="67"/>
      <c r="O172" s="20"/>
      <c r="P172" s="20"/>
      <c r="Q172" s="20"/>
      <c r="R172" s="67"/>
      <c r="S172" s="20"/>
      <c r="T172" s="20"/>
      <c r="U172" s="20"/>
      <c r="V172" s="67"/>
      <c r="W172" s="20"/>
    </row>
    <row r="173" spans="5:23" ht="15.95" customHeight="1">
      <c r="E173" s="107"/>
      <c r="N173" s="67"/>
      <c r="O173" s="20"/>
      <c r="P173" s="20"/>
      <c r="Q173" s="20"/>
      <c r="R173" s="67"/>
      <c r="S173" s="20"/>
      <c r="T173" s="20"/>
      <c r="U173" s="20"/>
      <c r="V173" s="67"/>
      <c r="W173" s="20"/>
    </row>
    <row r="174" spans="5:23" ht="15.95" customHeight="1">
      <c r="E174" s="107"/>
      <c r="N174" s="67"/>
      <c r="O174" s="20"/>
      <c r="P174" s="20"/>
      <c r="Q174" s="20"/>
      <c r="R174" s="67"/>
      <c r="S174" s="20"/>
      <c r="T174" s="20"/>
      <c r="U174" s="20"/>
      <c r="V174" s="67"/>
      <c r="W174" s="20"/>
    </row>
    <row r="175" spans="5:23" ht="15.95" customHeight="1">
      <c r="E175" s="107"/>
      <c r="N175" s="67"/>
      <c r="O175" s="20"/>
      <c r="P175" s="20"/>
      <c r="Q175" s="20"/>
      <c r="R175" s="67"/>
      <c r="S175" s="20"/>
      <c r="T175" s="20"/>
      <c r="U175" s="20"/>
      <c r="V175" s="67"/>
      <c r="W175" s="20"/>
    </row>
    <row r="176" spans="5:23" ht="15.95" customHeight="1">
      <c r="E176" s="107"/>
      <c r="N176" s="67"/>
      <c r="O176" s="20"/>
      <c r="P176" s="20"/>
      <c r="Q176" s="20"/>
      <c r="R176" s="67"/>
      <c r="S176" s="20"/>
      <c r="T176" s="20"/>
      <c r="U176" s="20"/>
      <c r="V176" s="67"/>
      <c r="W176" s="20"/>
    </row>
    <row r="177" spans="5:23" ht="15.95" customHeight="1">
      <c r="E177" s="107"/>
      <c r="N177" s="67"/>
      <c r="O177" s="20"/>
      <c r="P177" s="20"/>
      <c r="Q177" s="20"/>
      <c r="R177" s="67"/>
      <c r="S177" s="20"/>
      <c r="T177" s="20"/>
      <c r="U177" s="20"/>
      <c r="V177" s="67"/>
      <c r="W177" s="20"/>
    </row>
    <row r="178" spans="5:23" ht="15.95" customHeight="1">
      <c r="E178" s="107"/>
      <c r="N178" s="67"/>
      <c r="O178" s="20"/>
      <c r="P178" s="20"/>
      <c r="Q178" s="20"/>
      <c r="R178" s="67"/>
      <c r="S178" s="20"/>
      <c r="T178" s="20"/>
      <c r="U178" s="20"/>
      <c r="V178" s="67"/>
      <c r="W178" s="20"/>
    </row>
    <row r="179" spans="5:23" ht="15.95" customHeight="1">
      <c r="E179" s="107"/>
      <c r="N179" s="67"/>
      <c r="O179" s="20"/>
      <c r="P179" s="20"/>
      <c r="Q179" s="20"/>
      <c r="R179" s="67"/>
      <c r="S179" s="20"/>
      <c r="T179" s="20"/>
      <c r="U179" s="20"/>
      <c r="V179" s="67"/>
      <c r="W179" s="20"/>
    </row>
    <row r="180" spans="5:23" ht="15.95" customHeight="1">
      <c r="E180" s="107"/>
      <c r="N180" s="67"/>
      <c r="O180" s="20"/>
      <c r="P180" s="20"/>
      <c r="Q180" s="20"/>
      <c r="R180" s="67"/>
      <c r="S180" s="20"/>
      <c r="T180" s="20"/>
      <c r="U180" s="20"/>
      <c r="V180" s="67"/>
      <c r="W180" s="20"/>
    </row>
    <row r="181" spans="5:23" ht="15.95" customHeight="1">
      <c r="E181" s="107"/>
      <c r="N181" s="67"/>
      <c r="O181" s="20"/>
      <c r="P181" s="20"/>
      <c r="Q181" s="20"/>
      <c r="R181" s="67"/>
      <c r="S181" s="20"/>
      <c r="T181" s="20"/>
      <c r="U181" s="20"/>
      <c r="V181" s="67"/>
      <c r="W181" s="20"/>
    </row>
    <row r="182" spans="5:23" ht="15.95" customHeight="1">
      <c r="E182" s="107"/>
      <c r="N182" s="67"/>
      <c r="O182" s="20"/>
      <c r="P182" s="20"/>
      <c r="Q182" s="20"/>
      <c r="R182" s="67"/>
      <c r="S182" s="20"/>
      <c r="T182" s="20"/>
      <c r="U182" s="20"/>
      <c r="V182" s="67"/>
      <c r="W182" s="20"/>
    </row>
    <row r="183" spans="5:23" ht="15.95" customHeight="1">
      <c r="E183" s="107"/>
      <c r="N183" s="67"/>
      <c r="O183" s="20"/>
      <c r="P183" s="20"/>
      <c r="Q183" s="20"/>
      <c r="R183" s="67"/>
      <c r="S183" s="20"/>
      <c r="T183" s="20"/>
      <c r="U183" s="20"/>
      <c r="V183" s="67"/>
      <c r="W183" s="20"/>
    </row>
    <row r="184" spans="5:23" ht="15.95" customHeight="1">
      <c r="E184" s="107"/>
      <c r="N184" s="67"/>
      <c r="O184" s="20"/>
      <c r="P184" s="20"/>
      <c r="Q184" s="20"/>
      <c r="R184" s="67"/>
      <c r="S184" s="20"/>
      <c r="T184" s="20"/>
      <c r="U184" s="20"/>
      <c r="V184" s="67"/>
      <c r="W184" s="20"/>
    </row>
    <row r="185" spans="5:23" ht="15.95" customHeight="1">
      <c r="E185" s="107"/>
      <c r="N185" s="67"/>
      <c r="O185" s="20"/>
      <c r="P185" s="20"/>
      <c r="Q185" s="20"/>
      <c r="R185" s="67"/>
      <c r="S185" s="20"/>
      <c r="T185" s="20"/>
      <c r="U185" s="20"/>
      <c r="V185" s="67"/>
      <c r="W185" s="20"/>
    </row>
    <row r="186" spans="5:23" ht="15.95" customHeight="1">
      <c r="E186" s="107"/>
      <c r="N186" s="67"/>
      <c r="O186" s="20"/>
      <c r="P186" s="20"/>
      <c r="Q186" s="20"/>
      <c r="R186" s="67"/>
      <c r="S186" s="20"/>
      <c r="T186" s="20"/>
      <c r="U186" s="20"/>
      <c r="V186" s="67"/>
      <c r="W186" s="20"/>
    </row>
    <row r="187" spans="5:23" ht="15.95" customHeight="1">
      <c r="E187" s="107"/>
    </row>
    <row r="188" spans="5:23" ht="15.95" customHeight="1">
      <c r="E188" s="107"/>
    </row>
    <row r="189" spans="5:23" ht="15.95" customHeight="1">
      <c r="E189" s="107"/>
    </row>
    <row r="190" spans="5:23" ht="15.95" customHeight="1">
      <c r="E190" s="107"/>
    </row>
    <row r="191" spans="5:23" ht="15.95" customHeight="1">
      <c r="E191" s="107"/>
    </row>
    <row r="192" spans="5:23" ht="15.95" customHeight="1">
      <c r="E192" s="107"/>
    </row>
    <row r="193" spans="5:5" ht="15.95" customHeight="1">
      <c r="E193" s="107"/>
    </row>
    <row r="194" spans="5:5" ht="15.95" customHeight="1">
      <c r="E194" s="107"/>
    </row>
    <row r="195" spans="5:5" ht="15.95" customHeight="1">
      <c r="E195" s="107"/>
    </row>
    <row r="196" spans="5:5" ht="15.95" customHeight="1">
      <c r="E196" s="107"/>
    </row>
    <row r="197" spans="5:5" ht="15.95" customHeight="1">
      <c r="E197" s="107"/>
    </row>
  </sheetData>
  <phoneticPr fontId="27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BEF8-4221-1E42-8B82-A067AC77C433}">
  <sheetPr>
    <tabColor rgb="FFFF0000"/>
  </sheetPr>
  <dimension ref="A1:AD195"/>
  <sheetViews>
    <sheetView showGridLines="0" zoomScaleNormal="125" workbookViewId="0">
      <selection activeCell="C66" sqref="C66"/>
    </sheetView>
  </sheetViews>
  <sheetFormatPr defaultColWidth="10.875" defaultRowHeight="15"/>
  <cols>
    <col min="2" max="2" width="29.5" customWidth="1"/>
    <col min="3" max="4" width="10.875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1.5" customWidth="1"/>
  </cols>
  <sheetData>
    <row r="1" spans="2:30" ht="15.75" thickBot="1"/>
    <row r="2" spans="2:30" ht="15.75" thickBot="1">
      <c r="B2" s="402" t="s">
        <v>18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13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MIRILLA</v>
      </c>
      <c r="Q3" s="309">
        <f>Z3</f>
        <v>55</v>
      </c>
      <c r="R3" s="310">
        <f>AA3-AA12</f>
        <v>7</v>
      </c>
      <c r="S3" s="310">
        <f t="shared" ref="S3:S8" si="0">AB3-AB12</f>
        <v>2</v>
      </c>
      <c r="T3" s="311">
        <f>SUM(R3:S3)</f>
        <v>9</v>
      </c>
      <c r="U3" s="252">
        <f>IFERROR(Q3*T3,"-")</f>
        <v>495</v>
      </c>
      <c r="Y3" s="302" t="str">
        <f>$P$27</f>
        <v>MIRILLA</v>
      </c>
      <c r="Z3" s="309">
        <f>Z35</f>
        <v>55</v>
      </c>
      <c r="AA3" s="310">
        <f>R27</f>
        <v>8</v>
      </c>
      <c r="AB3" s="310">
        <f>S27</f>
        <v>2</v>
      </c>
      <c r="AC3" s="310">
        <f>SUM(AA3:AB3)</f>
        <v>10</v>
      </c>
      <c r="AD3" s="252">
        <f>IFERROR(Z3*AC3,"-")</f>
        <v>550</v>
      </c>
    </row>
    <row r="4" spans="2:30" ht="15.75" thickBot="1">
      <c r="B4" s="63"/>
      <c r="C4" s="63"/>
      <c r="D4" s="63"/>
      <c r="P4" s="302" t="str">
        <f>$P$28</f>
        <v>CARA</v>
      </c>
      <c r="Q4" s="309">
        <f t="shared" ref="Q4:Q6" si="1">Z4</f>
        <v>55</v>
      </c>
      <c r="R4" s="310">
        <f t="shared" ref="R4:R8" si="2">AA4-AA13</f>
        <v>5</v>
      </c>
      <c r="S4" s="310">
        <f t="shared" si="0"/>
        <v>0</v>
      </c>
      <c r="T4" s="310">
        <f t="shared" ref="T4:T8" si="3">SUM(R4:S4)</f>
        <v>5</v>
      </c>
      <c r="U4" s="252">
        <f t="shared" ref="U4:U8" si="4">IFERROR(Q4*T4,"-")</f>
        <v>275</v>
      </c>
      <c r="Y4" s="302" t="str">
        <f>$P$28</f>
        <v>CARA</v>
      </c>
      <c r="Z4" s="309">
        <f>Z36</f>
        <v>55</v>
      </c>
      <c r="AA4" s="310">
        <f>R28</f>
        <v>6</v>
      </c>
      <c r="AB4" s="310">
        <f>S28</f>
        <v>0</v>
      </c>
      <c r="AC4" s="310">
        <f t="shared" ref="AC4:AC8" si="5">SUM(AA4:AB4)</f>
        <v>6</v>
      </c>
      <c r="AD4" s="252">
        <f t="shared" ref="AD4:AD8" si="6">IFERROR(Z4*AC4,"-")</f>
        <v>330</v>
      </c>
    </row>
    <row r="5" spans="2:30" ht="15.75" thickBot="1">
      <c r="B5" s="63"/>
      <c r="C5" s="300" t="s">
        <v>122</v>
      </c>
      <c r="D5" s="301" t="s">
        <v>123</v>
      </c>
      <c r="P5" s="302" t="str">
        <f>$P$29</f>
        <v>AIRLINE</v>
      </c>
      <c r="Q5" s="309">
        <f t="shared" si="1"/>
        <v>30</v>
      </c>
      <c r="R5" s="310">
        <f t="shared" si="2"/>
        <v>6</v>
      </c>
      <c r="S5" s="310">
        <f t="shared" si="0"/>
        <v>0</v>
      </c>
      <c r="T5" s="310">
        <f t="shared" si="3"/>
        <v>6</v>
      </c>
      <c r="U5" s="252">
        <f t="shared" si="4"/>
        <v>180</v>
      </c>
      <c r="Y5" s="302" t="str">
        <f>$P$29</f>
        <v>AIRLINE</v>
      </c>
      <c r="Z5" s="309">
        <f>Z37</f>
        <v>30</v>
      </c>
      <c r="AA5" s="310">
        <f>R29</f>
        <v>8</v>
      </c>
      <c r="AB5" s="310">
        <f>S29</f>
        <v>0</v>
      </c>
      <c r="AC5" s="310">
        <f t="shared" si="5"/>
        <v>8</v>
      </c>
      <c r="AD5" s="252">
        <f t="shared" si="6"/>
        <v>240</v>
      </c>
    </row>
    <row r="6" spans="2:30">
      <c r="B6" s="270" t="s">
        <v>98</v>
      </c>
      <c r="C6" s="266">
        <f>U9</f>
        <v>1130</v>
      </c>
      <c r="D6" s="267">
        <f>SUM(L27:$L$61)</f>
        <v>1049</v>
      </c>
      <c r="P6" s="302" t="str">
        <f>$P$30</f>
        <v>MADRID</v>
      </c>
      <c r="Q6" s="309">
        <f t="shared" si="1"/>
        <v>30</v>
      </c>
      <c r="R6" s="310">
        <f t="shared" si="2"/>
        <v>6</v>
      </c>
      <c r="S6" s="310">
        <f t="shared" si="0"/>
        <v>0</v>
      </c>
      <c r="T6" s="310">
        <f t="shared" si="3"/>
        <v>6</v>
      </c>
      <c r="U6" s="252">
        <f t="shared" si="4"/>
        <v>180</v>
      </c>
      <c r="Y6" s="302" t="str">
        <f>$P$30</f>
        <v>MADRID</v>
      </c>
      <c r="Z6" s="309">
        <f>Z38</f>
        <v>30</v>
      </c>
      <c r="AA6" s="310">
        <f>R30</f>
        <v>8</v>
      </c>
      <c r="AB6" s="310">
        <f>S30</f>
        <v>0</v>
      </c>
      <c r="AC6" s="310">
        <f t="shared" si="5"/>
        <v>8</v>
      </c>
      <c r="AD6" s="252">
        <f t="shared" si="6"/>
        <v>240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18">
        <f t="shared" si="4"/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18">
        <f t="shared" si="6"/>
        <v>0</v>
      </c>
    </row>
    <row r="8" spans="2:30" ht="15.75" thickBot="1">
      <c r="B8" s="273" t="s">
        <v>125</v>
      </c>
      <c r="C8" s="257">
        <f>SUM(C6:C7)</f>
        <v>1130</v>
      </c>
      <c r="D8" s="258">
        <f>SUM(D6:D7)</f>
        <v>1049</v>
      </c>
      <c r="P8" s="279"/>
      <c r="Q8" s="312"/>
      <c r="R8" s="312">
        <f t="shared" si="2"/>
        <v>0</v>
      </c>
      <c r="S8" s="310">
        <f t="shared" si="0"/>
        <v>0</v>
      </c>
      <c r="T8" s="312">
        <f t="shared" si="3"/>
        <v>0</v>
      </c>
      <c r="U8" s="296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296">
        <f t="shared" si="6"/>
        <v>0</v>
      </c>
    </row>
    <row r="9" spans="2:30" ht="15.75" thickBot="1">
      <c r="B9" s="272" t="s">
        <v>126</v>
      </c>
      <c r="C9" s="259">
        <f>$W$52</f>
        <v>-655.48000000000013</v>
      </c>
      <c r="D9" s="260">
        <f>C9</f>
        <v>-655.48000000000013</v>
      </c>
      <c r="P9" s="305" t="s">
        <v>127</v>
      </c>
      <c r="Q9" s="306"/>
      <c r="R9" s="306"/>
      <c r="S9" s="321"/>
      <c r="T9" s="333">
        <f>SUM(T3:T8)</f>
        <v>26</v>
      </c>
      <c r="U9" s="307">
        <f>SUM(U3:U8)</f>
        <v>1130</v>
      </c>
      <c r="Y9" s="305" t="s">
        <v>142</v>
      </c>
      <c r="Z9" s="306"/>
      <c r="AA9" s="306"/>
      <c r="AB9" s="321"/>
      <c r="AC9" s="333">
        <f>SUM(AC3:AC8)</f>
        <v>32</v>
      </c>
      <c r="AD9" s="307">
        <f>SUM(AD3:AD8)</f>
        <v>1360</v>
      </c>
    </row>
    <row r="10" spans="2:30" ht="15.75" thickBot="1">
      <c r="B10" s="272" t="s">
        <v>128</v>
      </c>
      <c r="C10" s="259">
        <f>$U$61</f>
        <v>-116.16000000000001</v>
      </c>
      <c r="D10" s="260">
        <f>C10</f>
        <v>-116.16000000000001</v>
      </c>
    </row>
    <row r="11" spans="2:30" ht="15.75" thickBot="1">
      <c r="B11" s="272" t="s">
        <v>109</v>
      </c>
      <c r="C11" s="259">
        <f>-66.46</f>
        <v>-66.459999999999994</v>
      </c>
      <c r="D11" s="260">
        <f>C11</f>
        <v>-66.459999999999994</v>
      </c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 t="s">
        <v>130</v>
      </c>
      <c r="C12" s="259"/>
      <c r="D12" s="260"/>
      <c r="Y12" s="302" t="str">
        <f>$P$27</f>
        <v>MIRILLA</v>
      </c>
      <c r="Z12" s="309">
        <f>AA35</f>
        <v>-34.782499999999999</v>
      </c>
      <c r="AA12" s="359">
        <v>1</v>
      </c>
      <c r="AB12" s="359"/>
      <c r="AC12" s="310">
        <f>SUM(AA12:AB12)</f>
        <v>1</v>
      </c>
      <c r="AD12" s="252">
        <f>IFERROR(Z12*AC12,"-")</f>
        <v>-34.782499999999999</v>
      </c>
    </row>
    <row r="13" spans="2:30">
      <c r="B13" s="271"/>
      <c r="C13" s="255"/>
      <c r="D13" s="256"/>
      <c r="Y13" s="302" t="str">
        <f>$P$28</f>
        <v>CARA</v>
      </c>
      <c r="Z13" s="309">
        <f>AA36</f>
        <v>-33.082500000000003</v>
      </c>
      <c r="AA13" s="359">
        <v>1</v>
      </c>
      <c r="AB13" s="359"/>
      <c r="AC13" s="310">
        <f t="shared" ref="AC13:AC17" si="7">SUM(AA13:AB13)</f>
        <v>1</v>
      </c>
      <c r="AD13" s="252">
        <f t="shared" ref="AD13:AD17" si="8">IFERROR(Z13*AC13,"-")</f>
        <v>-33.082500000000003</v>
      </c>
    </row>
    <row r="14" spans="2:30">
      <c r="B14" s="273" t="s">
        <v>133</v>
      </c>
      <c r="C14" s="257">
        <f>SUM(C9:C13)</f>
        <v>-838.10000000000014</v>
      </c>
      <c r="D14" s="258">
        <f>SUM(D9:D13)</f>
        <v>-838.10000000000014</v>
      </c>
      <c r="Y14" s="302" t="str">
        <f>$P$29</f>
        <v>AIRLINE</v>
      </c>
      <c r="Z14" s="309">
        <f>AA37</f>
        <v>-14.0825</v>
      </c>
      <c r="AA14" s="359">
        <v>2</v>
      </c>
      <c r="AB14" s="359"/>
      <c r="AC14" s="310">
        <f t="shared" si="7"/>
        <v>2</v>
      </c>
      <c r="AD14" s="252">
        <f t="shared" si="8"/>
        <v>-28.164999999999999</v>
      </c>
    </row>
    <row r="15" spans="2:30" ht="15.75" thickBot="1">
      <c r="B15" s="274"/>
      <c r="C15" s="261"/>
      <c r="D15" s="262"/>
      <c r="Y15" s="302" t="str">
        <f>$P$30</f>
        <v>MADRID</v>
      </c>
      <c r="Z15" s="309">
        <f>AA38</f>
        <v>-14.0825</v>
      </c>
      <c r="AA15" s="359">
        <v>2</v>
      </c>
      <c r="AB15" s="359"/>
      <c r="AC15" s="310">
        <f t="shared" si="7"/>
        <v>2</v>
      </c>
      <c r="AD15" s="252">
        <f t="shared" si="8"/>
        <v>-28.164999999999999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18">
        <f t="shared" si="8"/>
        <v>0</v>
      </c>
    </row>
    <row r="17" spans="1:30" ht="15.75" thickBot="1">
      <c r="B17" s="275" t="s">
        <v>110</v>
      </c>
      <c r="C17" s="263">
        <f>C8+C14</f>
        <v>291.89999999999986</v>
      </c>
      <c r="D17" s="264">
        <f>D8+D14</f>
        <v>210.89999999999986</v>
      </c>
      <c r="Y17" s="279"/>
      <c r="Z17" s="312"/>
      <c r="AA17" s="360"/>
      <c r="AB17" s="360"/>
      <c r="AC17" s="312">
        <f t="shared" si="7"/>
        <v>0</v>
      </c>
      <c r="AD17" s="296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6</v>
      </c>
      <c r="AD18" s="307">
        <f>SUM(AD12:AD17)</f>
        <v>-124.19499999999999</v>
      </c>
    </row>
    <row r="19" spans="1:30">
      <c r="B19" t="s">
        <v>135</v>
      </c>
      <c r="C19" s="198">
        <f>IFERROR(ABS($C$9/$C$8),"-")</f>
        <v>0.58007079646017712</v>
      </c>
      <c r="D19" s="198">
        <f>IFERROR(ABS($D$10/$D$8),"-")</f>
        <v>0.1107340324118208</v>
      </c>
    </row>
    <row r="20" spans="1:30">
      <c r="B20" t="s">
        <v>114</v>
      </c>
      <c r="C20" s="198">
        <f>IFERROR(ABS($C$14/$C$8),"-")</f>
        <v>0.74168141592920367</v>
      </c>
      <c r="D20" s="198">
        <f>IFERROR(ABS($D$14/$D$8),"-")</f>
        <v>0.79895138226882756</v>
      </c>
    </row>
    <row r="21" spans="1:30" ht="15.75" thickBot="1"/>
    <row r="22" spans="1:30">
      <c r="C22" s="419" t="str">
        <f>$P$27</f>
        <v>MIRILLA</v>
      </c>
      <c r="D22" s="420"/>
      <c r="E22" s="421" t="str">
        <f>$P$28</f>
        <v>CARA</v>
      </c>
      <c r="F22" s="422"/>
      <c r="G22" s="423" t="str">
        <f>$P$29</f>
        <v>AIRLINE</v>
      </c>
      <c r="H22" s="424"/>
      <c r="I22" s="425" t="str">
        <f>$P$30</f>
        <v>MADRID</v>
      </c>
      <c r="J22" s="426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99">
        <f>SUM(C27:C61)</f>
        <v>7</v>
      </c>
      <c r="D24" s="249">
        <f t="shared" ref="D24:J24" si="9">SUM(D27:D61)</f>
        <v>2</v>
      </c>
      <c r="E24" s="286">
        <f t="shared" si="9"/>
        <v>4</v>
      </c>
      <c r="F24" s="249">
        <f t="shared" si="9"/>
        <v>0</v>
      </c>
      <c r="G24" s="284">
        <f t="shared" si="9"/>
        <v>6</v>
      </c>
      <c r="H24" s="248">
        <f t="shared" si="9"/>
        <v>0</v>
      </c>
      <c r="I24" s="284">
        <f t="shared" si="9"/>
        <v>6</v>
      </c>
      <c r="J24" s="246">
        <f t="shared" si="9"/>
        <v>0</v>
      </c>
      <c r="K24" s="322">
        <f>SUM(C24:J24)</f>
        <v>25</v>
      </c>
      <c r="L24" s="276">
        <f>K24-SUM(K27:K61)</f>
        <v>0</v>
      </c>
    </row>
    <row r="25" spans="1:30" ht="15.75" thickBot="1">
      <c r="B25" s="279" t="s">
        <v>137</v>
      </c>
      <c r="C25" s="371">
        <f>R3-C24</f>
        <v>0</v>
      </c>
      <c r="D25" s="288">
        <f t="shared" ref="D25" si="10">S3-D24</f>
        <v>0</v>
      </c>
      <c r="E25" s="290">
        <f>R4-E24</f>
        <v>1</v>
      </c>
      <c r="F25" s="372">
        <f>S4-F24</f>
        <v>0</v>
      </c>
      <c r="G25" s="287">
        <f>R5-G24</f>
        <v>0</v>
      </c>
      <c r="H25" s="288">
        <f>S5-H24</f>
        <v>0</v>
      </c>
      <c r="I25" s="287">
        <f>R6-I24</f>
        <v>0</v>
      </c>
      <c r="J25" s="289">
        <f>S6-J24</f>
        <v>0</v>
      </c>
      <c r="K25" s="247">
        <f>SUM(C25:J25)</f>
        <v>1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>
      <c r="A27">
        <v>1</v>
      </c>
      <c r="B27" s="339" t="s">
        <v>70</v>
      </c>
      <c r="C27" s="340">
        <v>1</v>
      </c>
      <c r="D27" s="341">
        <v>0</v>
      </c>
      <c r="E27" s="340">
        <v>0</v>
      </c>
      <c r="F27" s="341">
        <v>0</v>
      </c>
      <c r="G27" s="340">
        <v>1</v>
      </c>
      <c r="H27" s="341">
        <v>0</v>
      </c>
      <c r="I27" s="340">
        <v>1</v>
      </c>
      <c r="J27" s="342">
        <v>0</v>
      </c>
      <c r="K27" s="334">
        <f>SUM(C27:J27)</f>
        <v>3</v>
      </c>
      <c r="L27" s="254">
        <f>IFERROR(((C27+D27)*$Q$3)+((E27+F27)*$Q$4)+((G27+H27)*$Q$5)+((I27+J27)*$Q$6),"-")+5</f>
        <v>120</v>
      </c>
      <c r="M27" s="351"/>
      <c r="P27" s="354" t="s">
        <v>261</v>
      </c>
      <c r="Q27" s="355">
        <v>27.5</v>
      </c>
      <c r="R27" s="356">
        <v>8</v>
      </c>
      <c r="S27" s="356">
        <v>2</v>
      </c>
      <c r="T27" s="311">
        <f>R27+S27</f>
        <v>10</v>
      </c>
      <c r="U27" s="332">
        <f>IFERROR($W$36/$T$33,"-")</f>
        <v>3.0474999999999999</v>
      </c>
      <c r="V27" s="375">
        <f>IFERROR(Q27+U27,"-")</f>
        <v>30.547499999999999</v>
      </c>
      <c r="W27" s="251">
        <f>IFERROR(T27*V27,"-")</f>
        <v>305.47500000000002</v>
      </c>
      <c r="Y27" s="302" t="str">
        <f>$P$27</f>
        <v>MIRILLA</v>
      </c>
      <c r="Z27" s="316">
        <f>V27</f>
        <v>30.547499999999999</v>
      </c>
      <c r="AA27" s="309">
        <f>T55</f>
        <v>4.2350000000000003</v>
      </c>
      <c r="AB27" s="309"/>
      <c r="AC27" s="252">
        <f>SUM(Z27:AB27)</f>
        <v>34.782499999999999</v>
      </c>
    </row>
    <row r="28" spans="1:30">
      <c r="A28">
        <v>2</v>
      </c>
      <c r="B28" s="343" t="s">
        <v>12</v>
      </c>
      <c r="C28" s="344">
        <v>1</v>
      </c>
      <c r="D28" s="345"/>
      <c r="E28" s="344">
        <v>1</v>
      </c>
      <c r="F28" s="345"/>
      <c r="G28" s="344"/>
      <c r="H28" s="345"/>
      <c r="I28" s="344"/>
      <c r="J28" s="346"/>
      <c r="K28" s="335">
        <f t="shared" ref="K28:K61" si="11">SUM(C28:J28)</f>
        <v>2</v>
      </c>
      <c r="L28" s="259">
        <f>IFERROR(((C28+D28)*$Q$3)+((E28+F28)*$Q$4)+((G28+H28)*$Q$5)+((I28+J28)*$Q$6),"-")-5</f>
        <v>105</v>
      </c>
      <c r="M28" s="352"/>
      <c r="P28" s="357" t="s">
        <v>262</v>
      </c>
      <c r="Q28" s="358">
        <v>25.8</v>
      </c>
      <c r="R28" s="359">
        <v>6</v>
      </c>
      <c r="S28" s="359"/>
      <c r="T28" s="310">
        <f t="shared" ref="T28:T32" si="12">R28+S28</f>
        <v>6</v>
      </c>
      <c r="U28" s="309">
        <f>IFERROR($W$36/$T$33,"-")</f>
        <v>3.0474999999999999</v>
      </c>
      <c r="V28" s="309">
        <f>IFERROR(Q28+U28,"-")</f>
        <v>28.8475</v>
      </c>
      <c r="W28" s="252">
        <f t="shared" ref="W28:W32" si="13">IFERROR(T28*V28,"-")</f>
        <v>173.08500000000001</v>
      </c>
      <c r="Y28" s="302" t="str">
        <f>$P$28</f>
        <v>CARA</v>
      </c>
      <c r="Z28" s="316">
        <f>V28</f>
        <v>28.8475</v>
      </c>
      <c r="AA28" s="309">
        <f>T56</f>
        <v>4.2350000000000003</v>
      </c>
      <c r="AB28" s="309"/>
      <c r="AC28" s="252">
        <f t="shared" ref="AC28:AC32" si="14">SUM(Z28:AB28)</f>
        <v>33.082500000000003</v>
      </c>
    </row>
    <row r="29" spans="1:30">
      <c r="A29">
        <v>3</v>
      </c>
      <c r="B29" s="343" t="s">
        <v>57</v>
      </c>
      <c r="C29" s="344">
        <v>1</v>
      </c>
      <c r="D29" s="345"/>
      <c r="E29" s="344"/>
      <c r="F29" s="345"/>
      <c r="G29" s="344"/>
      <c r="H29" s="345"/>
      <c r="I29" s="344">
        <v>1</v>
      </c>
      <c r="J29" s="346"/>
      <c r="K29" s="335">
        <f t="shared" si="11"/>
        <v>2</v>
      </c>
      <c r="L29" s="259">
        <f>IFERROR(((C29+D29)*$Q$3)+((E29+F29)*$Q$4)+((G29+H29)*$Q$5)+((I29+J29)*$Q$6),"-")-5</f>
        <v>80</v>
      </c>
      <c r="M29" s="352"/>
      <c r="P29" s="357" t="s">
        <v>263</v>
      </c>
      <c r="Q29" s="358">
        <v>8.01</v>
      </c>
      <c r="R29" s="359">
        <v>8</v>
      </c>
      <c r="S29" s="359"/>
      <c r="T29" s="310">
        <f t="shared" si="12"/>
        <v>8</v>
      </c>
      <c r="U29" s="309">
        <f>IFERROR($W$36/$T$33,"-")</f>
        <v>3.0474999999999999</v>
      </c>
      <c r="V29" s="309">
        <f>IFERROR(Q29+U29,"-")</f>
        <v>11.057499999999999</v>
      </c>
      <c r="W29" s="252">
        <f t="shared" si="13"/>
        <v>88.46</v>
      </c>
      <c r="Y29" s="302" t="str">
        <f>$P$29</f>
        <v>AIRLINE</v>
      </c>
      <c r="Z29" s="316">
        <f>V29</f>
        <v>11.057499999999999</v>
      </c>
      <c r="AA29" s="309">
        <f>T57</f>
        <v>3.0249999999999999</v>
      </c>
      <c r="AB29" s="309"/>
      <c r="AC29" s="252">
        <f t="shared" si="14"/>
        <v>14.0825</v>
      </c>
    </row>
    <row r="30" spans="1:30">
      <c r="A30">
        <f>A29+1</f>
        <v>4</v>
      </c>
      <c r="B30" s="343" t="s">
        <v>31</v>
      </c>
      <c r="C30" s="344">
        <v>1</v>
      </c>
      <c r="D30" s="345"/>
      <c r="E30" s="344">
        <v>1</v>
      </c>
      <c r="F30" s="345"/>
      <c r="G30" s="344">
        <v>1</v>
      </c>
      <c r="H30" s="345"/>
      <c r="I30" s="344"/>
      <c r="J30" s="346"/>
      <c r="K30" s="335">
        <f t="shared" si="11"/>
        <v>3</v>
      </c>
      <c r="L30" s="259">
        <f>IFERROR(((C30+D30)*$Q$3)+((E30+F30)*$Q$4)+((G30+H30)*$Q$5)+((I30+J30)*$Q$6),"-")-28</f>
        <v>112</v>
      </c>
      <c r="M30" s="352"/>
      <c r="P30" s="357" t="s">
        <v>264</v>
      </c>
      <c r="Q30" s="358">
        <v>8.01</v>
      </c>
      <c r="R30" s="359">
        <v>8</v>
      </c>
      <c r="S30" s="359"/>
      <c r="T30" s="310">
        <f t="shared" si="12"/>
        <v>8</v>
      </c>
      <c r="U30" s="309">
        <f>IFERROR($W$36/$T$33,"-")</f>
        <v>3.0474999999999999</v>
      </c>
      <c r="V30" s="309">
        <f>IFERROR(Q30+U30,"-")</f>
        <v>11.057499999999999</v>
      </c>
      <c r="W30" s="252">
        <f t="shared" si="13"/>
        <v>88.46</v>
      </c>
      <c r="Y30" s="302" t="str">
        <f>$P$30</f>
        <v>MADRID</v>
      </c>
      <c r="Z30" s="316">
        <f>V30</f>
        <v>11.057499999999999</v>
      </c>
      <c r="AA30" s="320">
        <f>T58</f>
        <v>3.0249999999999999</v>
      </c>
      <c r="AB30" s="320"/>
      <c r="AC30" s="252">
        <f>SUM(Z30:AB30)</f>
        <v>14.0825</v>
      </c>
    </row>
    <row r="31" spans="1:30">
      <c r="A31">
        <f t="shared" ref="A31:A61" si="15">A30+1</f>
        <v>5</v>
      </c>
      <c r="B31" s="343" t="s">
        <v>50</v>
      </c>
      <c r="C31" s="344"/>
      <c r="D31" s="345">
        <v>1</v>
      </c>
      <c r="E31" s="344"/>
      <c r="F31" s="345"/>
      <c r="G31" s="344"/>
      <c r="H31" s="345"/>
      <c r="I31" s="344"/>
      <c r="J31" s="346"/>
      <c r="K31" s="335">
        <f t="shared" si="11"/>
        <v>1</v>
      </c>
      <c r="L31" s="259">
        <f t="shared" ref="L31:L61" si="16">IFERROR(((C31+D31)*$Q$3)+((E31+F31)*$Q$4)+((G31+H31)*$Q$5)+((I31+J31)*$Q$6),"-")</f>
        <v>55</v>
      </c>
      <c r="M31" s="352"/>
      <c r="P31" s="343"/>
      <c r="Q31" s="359"/>
      <c r="R31" s="359"/>
      <c r="S31" s="359"/>
      <c r="T31" s="310">
        <f t="shared" si="12"/>
        <v>0</v>
      </c>
      <c r="U31" s="309"/>
      <c r="V31" s="309">
        <f>IFERROR(Q31+U31,"-")</f>
        <v>0</v>
      </c>
      <c r="W31" s="252">
        <f t="shared" si="13"/>
        <v>0</v>
      </c>
      <c r="Y31" s="278"/>
      <c r="Z31" s="310"/>
      <c r="AA31" s="317"/>
      <c r="AB31" s="317"/>
      <c r="AC31" s="323">
        <f t="shared" si="14"/>
        <v>0</v>
      </c>
    </row>
    <row r="32" spans="1:30" ht="15.75" thickBot="1">
      <c r="A32">
        <f t="shared" si="15"/>
        <v>6</v>
      </c>
      <c r="B32" s="343" t="s">
        <v>33</v>
      </c>
      <c r="C32" s="344">
        <v>2</v>
      </c>
      <c r="D32" s="345">
        <v>1</v>
      </c>
      <c r="E32" s="344"/>
      <c r="F32" s="345"/>
      <c r="G32" s="344">
        <v>1</v>
      </c>
      <c r="H32" s="345"/>
      <c r="I32" s="344"/>
      <c r="J32" s="346"/>
      <c r="K32" s="335">
        <f t="shared" si="11"/>
        <v>4</v>
      </c>
      <c r="L32" s="259">
        <f>IFERROR(((C32+D32)*$Q$3)+((E32+F32)*$Q$4)+((G32+H32)*$Q$5)+((I32+J32)*$Q$6),"-")+37</f>
        <v>232</v>
      </c>
      <c r="M32" s="352"/>
      <c r="P32" s="347"/>
      <c r="Q32" s="360"/>
      <c r="R32" s="360"/>
      <c r="S32" s="360"/>
      <c r="T32" s="312">
        <f t="shared" si="12"/>
        <v>0</v>
      </c>
      <c r="U32" s="328"/>
      <c r="V32" s="328">
        <f>IFERROR(Q32+U32,"-")</f>
        <v>0</v>
      </c>
      <c r="W32" s="253">
        <f t="shared" si="13"/>
        <v>0</v>
      </c>
      <c r="Y32" s="279"/>
      <c r="Z32" s="312"/>
      <c r="AA32" s="319"/>
      <c r="AB32" s="319"/>
      <c r="AC32" s="324">
        <f t="shared" si="14"/>
        <v>0</v>
      </c>
    </row>
    <row r="33" spans="1:29" ht="15.75" thickBot="1">
      <c r="A33">
        <f t="shared" si="15"/>
        <v>7</v>
      </c>
      <c r="B33" s="343" t="s">
        <v>52</v>
      </c>
      <c r="C33" s="344"/>
      <c r="D33" s="345"/>
      <c r="E33" s="344"/>
      <c r="F33" s="345"/>
      <c r="G33" s="344"/>
      <c r="H33" s="345"/>
      <c r="I33" s="344">
        <v>1</v>
      </c>
      <c r="J33" s="346"/>
      <c r="K33" s="335">
        <f t="shared" si="11"/>
        <v>1</v>
      </c>
      <c r="L33" s="259">
        <f t="shared" si="16"/>
        <v>30</v>
      </c>
      <c r="M33" s="352"/>
      <c r="P33" s="313" t="s">
        <v>113</v>
      </c>
      <c r="Q33" s="308"/>
      <c r="R33" s="308"/>
      <c r="S33" s="308"/>
      <c r="T33" s="308">
        <f>SUM(T27:T32)</f>
        <v>32</v>
      </c>
      <c r="U33" s="329"/>
      <c r="V33" s="308"/>
      <c r="W33" s="314">
        <f>SUM(W27:W32)</f>
        <v>655.48000000000013</v>
      </c>
    </row>
    <row r="34" spans="1:29" ht="15.75" thickBot="1">
      <c r="A34">
        <f t="shared" si="15"/>
        <v>8</v>
      </c>
      <c r="B34" s="343" t="s">
        <v>68</v>
      </c>
      <c r="C34" s="344"/>
      <c r="D34" s="345"/>
      <c r="E34" s="344"/>
      <c r="F34" s="345"/>
      <c r="G34" s="344"/>
      <c r="H34" s="345"/>
      <c r="I34" s="344">
        <v>1</v>
      </c>
      <c r="J34" s="346"/>
      <c r="K34" s="335">
        <f t="shared" si="11"/>
        <v>1</v>
      </c>
      <c r="L34" s="259">
        <f t="shared" si="16"/>
        <v>30</v>
      </c>
      <c r="M34" s="352"/>
      <c r="P34" s="357" t="s">
        <v>129</v>
      </c>
      <c r="Q34" s="361"/>
      <c r="R34" s="361"/>
      <c r="S34" s="361"/>
      <c r="T34" s="361"/>
      <c r="U34" s="361"/>
      <c r="V34" s="361"/>
      <c r="W34" s="362">
        <v>97.52</v>
      </c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>
      <c r="A35">
        <f t="shared" si="15"/>
        <v>9</v>
      </c>
      <c r="B35" s="343" t="s">
        <v>44</v>
      </c>
      <c r="C35" s="344"/>
      <c r="D35" s="345"/>
      <c r="E35" s="344"/>
      <c r="F35" s="345"/>
      <c r="G35" s="344">
        <v>1</v>
      </c>
      <c r="H35" s="345"/>
      <c r="I35" s="344"/>
      <c r="J35" s="346"/>
      <c r="K35" s="335">
        <f t="shared" si="11"/>
        <v>1</v>
      </c>
      <c r="L35" s="259">
        <f t="shared" si="16"/>
        <v>30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v>0</v>
      </c>
      <c r="Y35" s="302" t="str">
        <f>$P$27</f>
        <v>MIRILLA</v>
      </c>
      <c r="Z35" s="363">
        <v>55</v>
      </c>
      <c r="AA35" s="309">
        <f>-AC27</f>
        <v>-34.782499999999999</v>
      </c>
      <c r="AB35" s="309">
        <f>SUM(Z35:AA35)</f>
        <v>20.217500000000001</v>
      </c>
      <c r="AC35" s="330">
        <f>AB35/Z35</f>
        <v>0.36759090909090913</v>
      </c>
    </row>
    <row r="36" spans="1:29" ht="15.75" thickBot="1">
      <c r="A36">
        <f t="shared" si="15"/>
        <v>10</v>
      </c>
      <c r="B36" s="343" t="s">
        <v>48</v>
      </c>
      <c r="C36" s="344"/>
      <c r="D36" s="345"/>
      <c r="E36" s="344"/>
      <c r="F36" s="345"/>
      <c r="G36" s="344">
        <v>1</v>
      </c>
      <c r="H36" s="345"/>
      <c r="I36" s="344"/>
      <c r="J36" s="346"/>
      <c r="K36" s="335">
        <f t="shared" si="11"/>
        <v>1</v>
      </c>
      <c r="L36" s="259">
        <f t="shared" si="16"/>
        <v>30</v>
      </c>
      <c r="M36" s="352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97.52</v>
      </c>
      <c r="Y36" s="302" t="str">
        <f>$P$28</f>
        <v>CARA</v>
      </c>
      <c r="Z36" s="363">
        <v>55</v>
      </c>
      <c r="AA36" s="309">
        <f>-AC28</f>
        <v>-33.082500000000003</v>
      </c>
      <c r="AB36" s="309">
        <f t="shared" ref="AB36:AB38" si="17">SUM(Z36:AA36)</f>
        <v>21.917499999999997</v>
      </c>
      <c r="AC36" s="330">
        <f t="shared" ref="AC36:AC38" si="18">AB36/Z36</f>
        <v>0.39849999999999997</v>
      </c>
    </row>
    <row r="37" spans="1:29" ht="15.75" thickBot="1">
      <c r="A37">
        <f t="shared" si="15"/>
        <v>11</v>
      </c>
      <c r="B37" s="343" t="s">
        <v>35</v>
      </c>
      <c r="C37" s="344">
        <v>1</v>
      </c>
      <c r="D37" s="345"/>
      <c r="E37" s="344"/>
      <c r="F37" s="345"/>
      <c r="G37" s="344"/>
      <c r="H37" s="345"/>
      <c r="I37" s="344"/>
      <c r="J37" s="346"/>
      <c r="K37" s="335">
        <f t="shared" si="11"/>
        <v>1</v>
      </c>
      <c r="L37" s="259">
        <f t="shared" si="16"/>
        <v>55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-W33</f>
        <v>-655.48000000000013</v>
      </c>
      <c r="Y37" s="302" t="str">
        <f>$P$29</f>
        <v>AIRLINE</v>
      </c>
      <c r="Z37" s="363">
        <v>30</v>
      </c>
      <c r="AA37" s="309">
        <f>-AC29</f>
        <v>-14.0825</v>
      </c>
      <c r="AB37" s="309">
        <f t="shared" si="17"/>
        <v>15.9175</v>
      </c>
      <c r="AC37" s="330">
        <f t="shared" si="18"/>
        <v>0.5305833333333333</v>
      </c>
    </row>
    <row r="38" spans="1:29" ht="15.75" thickBot="1">
      <c r="A38">
        <f t="shared" si="15"/>
        <v>12</v>
      </c>
      <c r="B38" s="343" t="s">
        <v>60</v>
      </c>
      <c r="C38" s="344"/>
      <c r="D38" s="345"/>
      <c r="E38" s="344"/>
      <c r="F38" s="345"/>
      <c r="G38" s="344">
        <v>1</v>
      </c>
      <c r="H38" s="345"/>
      <c r="I38" s="344"/>
      <c r="J38" s="346"/>
      <c r="K38" s="335">
        <f t="shared" si="11"/>
        <v>1</v>
      </c>
      <c r="L38" s="259">
        <f t="shared" si="16"/>
        <v>30</v>
      </c>
      <c r="M38" s="352"/>
      <c r="W38" s="276">
        <f>Q27*T27+Q28*T28+Q29*T29+Q30*T30+Q31*T31+Q32*T32+W36+W37</f>
        <v>0</v>
      </c>
      <c r="Y38" s="302" t="str">
        <f>$P$30</f>
        <v>MADRID</v>
      </c>
      <c r="Z38" s="363">
        <v>30</v>
      </c>
      <c r="AA38" s="320">
        <f>-AC30</f>
        <v>-14.0825</v>
      </c>
      <c r="AB38" s="320">
        <f t="shared" si="17"/>
        <v>15.9175</v>
      </c>
      <c r="AC38" s="330">
        <f t="shared" si="18"/>
        <v>0.5305833333333333</v>
      </c>
    </row>
    <row r="39" spans="1:29" ht="15.75" thickBot="1">
      <c r="A39">
        <f t="shared" si="15"/>
        <v>13</v>
      </c>
      <c r="B39" s="343" t="s">
        <v>75</v>
      </c>
      <c r="C39" s="344"/>
      <c r="D39" s="345"/>
      <c r="E39" s="344"/>
      <c r="F39" s="345"/>
      <c r="G39" s="344"/>
      <c r="H39" s="345"/>
      <c r="I39" s="344">
        <v>1</v>
      </c>
      <c r="J39" s="346"/>
      <c r="K39" s="335">
        <f t="shared" si="11"/>
        <v>1</v>
      </c>
      <c r="L39" s="259">
        <f t="shared" si="16"/>
        <v>30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5.75" thickBot="1">
      <c r="A40">
        <f t="shared" si="15"/>
        <v>14</v>
      </c>
      <c r="B40" s="343" t="s">
        <v>25</v>
      </c>
      <c r="C40" s="344"/>
      <c r="D40" s="345"/>
      <c r="E40" s="344"/>
      <c r="F40" s="345"/>
      <c r="G40" s="344"/>
      <c r="H40" s="345"/>
      <c r="I40" s="344">
        <v>1</v>
      </c>
      <c r="J40" s="346"/>
      <c r="K40" s="335">
        <f t="shared" si="11"/>
        <v>1</v>
      </c>
      <c r="L40" s="259">
        <f t="shared" si="16"/>
        <v>30</v>
      </c>
      <c r="M40" s="352"/>
      <c r="P40" s="357"/>
      <c r="Q40" s="358"/>
      <c r="R40" s="356"/>
      <c r="S40" s="356"/>
      <c r="T40" s="311">
        <f>SUM(R40:S40)</f>
        <v>0</v>
      </c>
      <c r="U40" s="316" t="str">
        <f>IFERROR($W$49/$T$46,"-")</f>
        <v>-</v>
      </c>
      <c r="V40" s="376" t="str">
        <f>IFERROR(Q40+U40,"-")</f>
        <v>-</v>
      </c>
      <c r="W40" s="252" t="str">
        <f>IFERROR(T40*V40,"-")</f>
        <v>-</v>
      </c>
      <c r="Y40" s="279"/>
      <c r="Z40" s="360"/>
      <c r="AA40" s="319"/>
      <c r="AB40" s="319"/>
      <c r="AC40" s="205"/>
    </row>
    <row r="41" spans="1:29">
      <c r="A41">
        <f t="shared" si="15"/>
        <v>15</v>
      </c>
      <c r="B41" s="343" t="s">
        <v>71</v>
      </c>
      <c r="C41" s="344"/>
      <c r="D41" s="345"/>
      <c r="E41" s="344">
        <v>1</v>
      </c>
      <c r="F41" s="345"/>
      <c r="G41" s="344"/>
      <c r="H41" s="345"/>
      <c r="I41" s="344"/>
      <c r="J41" s="346"/>
      <c r="K41" s="335">
        <f t="shared" si="11"/>
        <v>1</v>
      </c>
      <c r="L41" s="259">
        <f>IFERROR(((C41+D41)*$Q$3)+((E41+F41)*$Q$4)+((G41+H41)*$Q$5)+((I41+J41)*$Q$6),"-")-15</f>
        <v>40</v>
      </c>
      <c r="M41" s="352"/>
      <c r="P41" s="357"/>
      <c r="Q41" s="358"/>
      <c r="R41" s="359"/>
      <c r="S41" s="359"/>
      <c r="T41" s="310">
        <f t="shared" ref="T41:T45" si="19">SUM(R41:S41)</f>
        <v>0</v>
      </c>
      <c r="U41" s="309" t="str">
        <f>IFERROR($W$49/$T$46,"-")</f>
        <v>-</v>
      </c>
      <c r="V41" s="309" t="str">
        <f>IFERROR(Q41+U41,"-")</f>
        <v>-</v>
      </c>
      <c r="W41" s="252" t="str">
        <f t="shared" ref="W41:W45" si="20">IFERROR(T41*V41,"-")</f>
        <v>-</v>
      </c>
    </row>
    <row r="42" spans="1:29">
      <c r="A42">
        <f t="shared" si="15"/>
        <v>16</v>
      </c>
      <c r="B42" s="343" t="s">
        <v>43</v>
      </c>
      <c r="C42" s="344"/>
      <c r="D42" s="345"/>
      <c r="E42" s="344">
        <v>1</v>
      </c>
      <c r="F42" s="345"/>
      <c r="G42" s="344"/>
      <c r="H42" s="345"/>
      <c r="I42" s="344"/>
      <c r="J42" s="346"/>
      <c r="K42" s="335">
        <f t="shared" si="11"/>
        <v>1</v>
      </c>
      <c r="L42" s="259">
        <f>IFERROR(((C42+D42)*$Q$3)+((E42+F42)*$Q$4)+((G42+H42)*$Q$5)+((I42+J42)*$Q$6),"-")-15</f>
        <v>40</v>
      </c>
      <c r="M42" s="352"/>
      <c r="P42" s="357"/>
      <c r="Q42" s="358"/>
      <c r="R42" s="359"/>
      <c r="S42" s="359"/>
      <c r="T42" s="310">
        <f t="shared" si="19"/>
        <v>0</v>
      </c>
      <c r="U42" s="309" t="str">
        <f>IFERROR($W$49/$T$46,"-")</f>
        <v>-</v>
      </c>
      <c r="V42" s="309" t="str">
        <f>IFERROR(Q42+U42,"-")</f>
        <v>-</v>
      </c>
      <c r="W42" s="252" t="str">
        <f t="shared" si="20"/>
        <v>-</v>
      </c>
    </row>
    <row r="43" spans="1:29">
      <c r="A43">
        <f t="shared" si="15"/>
        <v>17</v>
      </c>
      <c r="B43" s="343"/>
      <c r="C43" s="344"/>
      <c r="D43" s="345"/>
      <c r="E43" s="344"/>
      <c r="F43" s="345"/>
      <c r="G43" s="344"/>
      <c r="H43" s="345"/>
      <c r="I43" s="344"/>
      <c r="J43" s="346"/>
      <c r="K43" s="335">
        <f t="shared" si="11"/>
        <v>0</v>
      </c>
      <c r="L43" s="259">
        <f t="shared" si="16"/>
        <v>0</v>
      </c>
      <c r="M43" s="352"/>
      <c r="P43" s="357"/>
      <c r="Q43" s="358"/>
      <c r="R43" s="359"/>
      <c r="S43" s="359"/>
      <c r="T43" s="310">
        <f t="shared" si="19"/>
        <v>0</v>
      </c>
      <c r="U43" s="309" t="str">
        <f>IFERROR($W$49/$T$46,"-")</f>
        <v>-</v>
      </c>
      <c r="V43" s="309" t="str">
        <f>IFERROR(Q43+U43,"-")</f>
        <v>-</v>
      </c>
      <c r="W43" s="252" t="str">
        <f t="shared" si="20"/>
        <v>-</v>
      </c>
    </row>
    <row r="44" spans="1:29">
      <c r="A44">
        <f t="shared" si="15"/>
        <v>18</v>
      </c>
      <c r="B44" s="343"/>
      <c r="C44" s="344"/>
      <c r="D44" s="345"/>
      <c r="E44" s="344"/>
      <c r="F44" s="345"/>
      <c r="G44" s="344"/>
      <c r="H44" s="345"/>
      <c r="I44" s="344"/>
      <c r="J44" s="346"/>
      <c r="K44" s="335">
        <f t="shared" si="11"/>
        <v>0</v>
      </c>
      <c r="L44" s="259">
        <f t="shared" si="16"/>
        <v>0</v>
      </c>
      <c r="M44" s="352"/>
      <c r="P44" s="343"/>
      <c r="Q44" s="359"/>
      <c r="R44" s="359"/>
      <c r="S44" s="359"/>
      <c r="T44" s="310">
        <f t="shared" si="19"/>
        <v>0</v>
      </c>
      <c r="U44" s="309"/>
      <c r="V44" s="309">
        <f>IFERROR(Q44+U44,"-")</f>
        <v>0</v>
      </c>
      <c r="W44" s="252">
        <f t="shared" si="20"/>
        <v>0</v>
      </c>
    </row>
    <row r="45" spans="1:29" ht="15.75" thickBot="1">
      <c r="A45">
        <f t="shared" si="15"/>
        <v>19</v>
      </c>
      <c r="B45" s="343"/>
      <c r="C45" s="344"/>
      <c r="D45" s="345"/>
      <c r="E45" s="344"/>
      <c r="F45" s="345"/>
      <c r="G45" s="344"/>
      <c r="H45" s="345"/>
      <c r="I45" s="344"/>
      <c r="J45" s="346"/>
      <c r="K45" s="335">
        <f t="shared" si="11"/>
        <v>0</v>
      </c>
      <c r="L45" s="259">
        <f t="shared" si="16"/>
        <v>0</v>
      </c>
      <c r="M45" s="352"/>
      <c r="P45" s="347"/>
      <c r="Q45" s="360"/>
      <c r="R45" s="360"/>
      <c r="S45" s="360"/>
      <c r="T45" s="312">
        <f t="shared" si="19"/>
        <v>0</v>
      </c>
      <c r="U45" s="328"/>
      <c r="V45" s="328">
        <f>IFERROR(Q45+U45,"-")</f>
        <v>0</v>
      </c>
      <c r="W45" s="253">
        <f t="shared" si="20"/>
        <v>0</v>
      </c>
    </row>
    <row r="46" spans="1:29">
      <c r="A46">
        <f t="shared" si="15"/>
        <v>20</v>
      </c>
      <c r="B46" s="343"/>
      <c r="C46" s="344"/>
      <c r="D46" s="345"/>
      <c r="E46" s="344"/>
      <c r="F46" s="345"/>
      <c r="G46" s="344"/>
      <c r="H46" s="345"/>
      <c r="I46" s="344"/>
      <c r="J46" s="346"/>
      <c r="K46" s="335">
        <f t="shared" si="11"/>
        <v>0</v>
      </c>
      <c r="L46" s="259">
        <f t="shared" si="16"/>
        <v>0</v>
      </c>
      <c r="M46" s="352"/>
      <c r="P46" s="313" t="s">
        <v>113</v>
      </c>
      <c r="Q46" s="308"/>
      <c r="R46" s="308"/>
      <c r="S46" s="308"/>
      <c r="T46" s="308">
        <f>SUM(T40:T45)</f>
        <v>0</v>
      </c>
      <c r="U46" s="329"/>
      <c r="V46" s="308"/>
      <c r="W46" s="314">
        <f>SUM(W40:W45)</f>
        <v>0</v>
      </c>
    </row>
    <row r="47" spans="1:29">
      <c r="A47">
        <f t="shared" si="15"/>
        <v>21</v>
      </c>
      <c r="B47" s="343"/>
      <c r="C47" s="344"/>
      <c r="D47" s="345"/>
      <c r="E47" s="344"/>
      <c r="F47" s="345"/>
      <c r="G47" s="344"/>
      <c r="H47" s="345"/>
      <c r="I47" s="344"/>
      <c r="J47" s="346"/>
      <c r="K47" s="335">
        <f t="shared" si="11"/>
        <v>0</v>
      </c>
      <c r="L47" s="259">
        <f t="shared" si="16"/>
        <v>0</v>
      </c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>
      <c r="A48">
        <f t="shared" si="15"/>
        <v>22</v>
      </c>
      <c r="B48" s="343"/>
      <c r="C48" s="344"/>
      <c r="D48" s="345"/>
      <c r="E48" s="344"/>
      <c r="F48" s="345"/>
      <c r="G48" s="344"/>
      <c r="H48" s="345"/>
      <c r="I48" s="344"/>
      <c r="J48" s="346"/>
      <c r="K48" s="335">
        <f t="shared" si="11"/>
        <v>0</v>
      </c>
      <c r="L48" s="259">
        <f t="shared" si="16"/>
        <v>0</v>
      </c>
      <c r="M48" s="352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5.75" thickBot="1">
      <c r="A49">
        <f t="shared" si="15"/>
        <v>23</v>
      </c>
      <c r="B49" s="343"/>
      <c r="C49" s="344"/>
      <c r="D49" s="345"/>
      <c r="E49" s="344"/>
      <c r="F49" s="345"/>
      <c r="G49" s="344"/>
      <c r="H49" s="345"/>
      <c r="I49" s="344"/>
      <c r="J49" s="346"/>
      <c r="K49" s="335">
        <f t="shared" si="11"/>
        <v>0</v>
      </c>
      <c r="L49" s="259">
        <f t="shared" si="16"/>
        <v>0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5.75" thickBot="1">
      <c r="A50">
        <f t="shared" si="15"/>
        <v>24</v>
      </c>
      <c r="B50" s="343"/>
      <c r="C50" s="344"/>
      <c r="D50" s="345"/>
      <c r="E50" s="344"/>
      <c r="F50" s="345"/>
      <c r="G50" s="344"/>
      <c r="H50" s="345"/>
      <c r="I50" s="344"/>
      <c r="J50" s="346"/>
      <c r="K50" s="335">
        <f t="shared" si="11"/>
        <v>0</v>
      </c>
      <c r="L50" s="259">
        <f t="shared" si="16"/>
        <v>0</v>
      </c>
      <c r="M50" s="352"/>
      <c r="P50" s="305" t="s">
        <v>132</v>
      </c>
      <c r="Q50" s="306"/>
      <c r="R50" s="306"/>
      <c r="S50" s="306"/>
      <c r="T50" s="306"/>
      <c r="U50" s="306"/>
      <c r="V50" s="306"/>
      <c r="W50" s="307">
        <f>-W46</f>
        <v>0</v>
      </c>
    </row>
    <row r="51" spans="1:23" ht="15.75" thickBot="1">
      <c r="A51">
        <f t="shared" si="15"/>
        <v>25</v>
      </c>
      <c r="B51" s="343"/>
      <c r="C51" s="344"/>
      <c r="D51" s="345"/>
      <c r="E51" s="344"/>
      <c r="F51" s="345"/>
      <c r="G51" s="344"/>
      <c r="H51" s="345"/>
      <c r="I51" s="344"/>
      <c r="J51" s="346"/>
      <c r="K51" s="335">
        <f t="shared" si="11"/>
        <v>0</v>
      </c>
      <c r="L51" s="259">
        <f t="shared" si="16"/>
        <v>0</v>
      </c>
      <c r="M51" s="352"/>
      <c r="W51" s="276">
        <f>Q40*T40+Q41*T41+Q42*T42+Q43*T43+Q44*T44+Q45*T45+W49+W50</f>
        <v>0</v>
      </c>
    </row>
    <row r="52" spans="1:23" ht="15.75" thickBot="1">
      <c r="A52">
        <f t="shared" si="15"/>
        <v>26</v>
      </c>
      <c r="B52" s="343"/>
      <c r="C52" s="344"/>
      <c r="D52" s="345"/>
      <c r="E52" s="344"/>
      <c r="F52" s="345"/>
      <c r="G52" s="344"/>
      <c r="H52" s="345"/>
      <c r="I52" s="344"/>
      <c r="J52" s="346"/>
      <c r="K52" s="335">
        <f t="shared" si="11"/>
        <v>0</v>
      </c>
      <c r="L52" s="259">
        <f t="shared" si="16"/>
        <v>0</v>
      </c>
      <c r="M52" s="352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-655.48000000000013</v>
      </c>
    </row>
    <row r="53" spans="1:23" ht="15.75" thickBot="1">
      <c r="A53">
        <f t="shared" si="15"/>
        <v>27</v>
      </c>
      <c r="B53" s="343"/>
      <c r="C53" s="344"/>
      <c r="D53" s="345"/>
      <c r="E53" s="344"/>
      <c r="F53" s="345"/>
      <c r="G53" s="344"/>
      <c r="H53" s="345"/>
      <c r="I53" s="344"/>
      <c r="J53" s="346"/>
      <c r="K53" s="335">
        <f t="shared" si="11"/>
        <v>0</v>
      </c>
      <c r="L53" s="259">
        <f t="shared" si="16"/>
        <v>0</v>
      </c>
      <c r="M53" s="352"/>
    </row>
    <row r="54" spans="1:23" ht="15.75" thickBot="1">
      <c r="A54">
        <f t="shared" si="15"/>
        <v>28</v>
      </c>
      <c r="B54" s="343"/>
      <c r="C54" s="344"/>
      <c r="D54" s="345"/>
      <c r="E54" s="344"/>
      <c r="F54" s="345"/>
      <c r="G54" s="344"/>
      <c r="H54" s="345"/>
      <c r="I54" s="344"/>
      <c r="J54" s="346"/>
      <c r="K54" s="335">
        <f t="shared" si="11"/>
        <v>0</v>
      </c>
      <c r="L54" s="259">
        <f t="shared" si="16"/>
        <v>0</v>
      </c>
      <c r="M54" s="352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>
      <c r="A55">
        <f t="shared" si="15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35">
        <f t="shared" si="11"/>
        <v>0</v>
      </c>
      <c r="L55" s="259">
        <f t="shared" si="16"/>
        <v>0</v>
      </c>
      <c r="M55" s="352"/>
      <c r="P55" s="302" t="str">
        <f>$P$27</f>
        <v>MIRILLA</v>
      </c>
      <c r="Q55" s="358">
        <v>3.5</v>
      </c>
      <c r="R55" s="310">
        <f>T27</f>
        <v>10</v>
      </c>
      <c r="S55" s="309">
        <f>IFERROR(((Q55*R55)*0.21)/R55,"-")</f>
        <v>0.73499999999999999</v>
      </c>
      <c r="T55" s="309">
        <f>IFERROR(Q55+S55,"-")</f>
        <v>4.2350000000000003</v>
      </c>
      <c r="U55" s="252">
        <f>IFERROR(R55*T55,"-")</f>
        <v>42.35</v>
      </c>
    </row>
    <row r="56" spans="1:23">
      <c r="A56">
        <f t="shared" si="15"/>
        <v>30</v>
      </c>
      <c r="B56" s="343"/>
      <c r="C56" s="344"/>
      <c r="D56" s="345"/>
      <c r="E56" s="344"/>
      <c r="F56" s="345"/>
      <c r="G56" s="344"/>
      <c r="H56" s="345"/>
      <c r="I56" s="344"/>
      <c r="J56" s="346"/>
      <c r="K56" s="335">
        <f t="shared" si="11"/>
        <v>0</v>
      </c>
      <c r="L56" s="259">
        <f t="shared" si="16"/>
        <v>0</v>
      </c>
      <c r="M56" s="352"/>
      <c r="P56" s="302" t="str">
        <f>$P$28</f>
        <v>CARA</v>
      </c>
      <c r="Q56" s="358">
        <v>3.5</v>
      </c>
      <c r="R56" s="310">
        <f>T28</f>
        <v>6</v>
      </c>
      <c r="S56" s="309">
        <f>IFERROR(((Q56*R56)*0.21)/R56,"-")</f>
        <v>0.73499999999999999</v>
      </c>
      <c r="T56" s="309">
        <f>IFERROR(Q56+S56,"-")</f>
        <v>4.2350000000000003</v>
      </c>
      <c r="U56" s="252">
        <f>IFERROR(R56*T56,"-")</f>
        <v>25.410000000000004</v>
      </c>
    </row>
    <row r="57" spans="1:23">
      <c r="A57">
        <f t="shared" si="15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35">
        <f t="shared" si="11"/>
        <v>0</v>
      </c>
      <c r="L57" s="259">
        <f t="shared" si="16"/>
        <v>0</v>
      </c>
      <c r="M57" s="352"/>
      <c r="P57" s="302" t="str">
        <f>$P$29</f>
        <v>AIRLINE</v>
      </c>
      <c r="Q57" s="358">
        <v>2.5</v>
      </c>
      <c r="R57" s="310">
        <f>T29</f>
        <v>8</v>
      </c>
      <c r="S57" s="309">
        <f>IFERROR(((Q57*R57)*0.21)/R57,"-")</f>
        <v>0.52500000000000002</v>
      </c>
      <c r="T57" s="309">
        <f>IFERROR(Q57+S57,"-")</f>
        <v>3.0249999999999999</v>
      </c>
      <c r="U57" s="252">
        <f>IFERROR(R57*T57,"-")</f>
        <v>24.2</v>
      </c>
    </row>
    <row r="58" spans="1:23">
      <c r="A58">
        <f t="shared" si="15"/>
        <v>32</v>
      </c>
      <c r="B58" s="343"/>
      <c r="C58" s="344"/>
      <c r="D58" s="345"/>
      <c r="E58" s="344"/>
      <c r="F58" s="345"/>
      <c r="G58" s="344"/>
      <c r="H58" s="345"/>
      <c r="I58" s="344"/>
      <c r="J58" s="346"/>
      <c r="K58" s="335">
        <f t="shared" si="11"/>
        <v>0</v>
      </c>
      <c r="L58" s="259">
        <f t="shared" si="16"/>
        <v>0</v>
      </c>
      <c r="M58" s="352"/>
      <c r="P58" s="302" t="str">
        <f>$P$30</f>
        <v>MADRID</v>
      </c>
      <c r="Q58" s="358">
        <v>2.5</v>
      </c>
      <c r="R58" s="310">
        <f>T30</f>
        <v>8</v>
      </c>
      <c r="S58" s="320">
        <f>IFERROR(((Q58*R58)*0.21)/R58,"-")</f>
        <v>0.52500000000000002</v>
      </c>
      <c r="T58" s="309">
        <f>IFERROR(Q58+S58,"-")</f>
        <v>3.0249999999999999</v>
      </c>
      <c r="U58" s="252">
        <f>IFERROR(R58*T58,"-")</f>
        <v>24.2</v>
      </c>
    </row>
    <row r="59" spans="1:23">
      <c r="A59">
        <f t="shared" si="15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35">
        <f t="shared" si="11"/>
        <v>0</v>
      </c>
      <c r="L59" s="259">
        <f t="shared" si="16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5.75" thickBot="1">
      <c r="A60">
        <f t="shared" si="15"/>
        <v>34</v>
      </c>
      <c r="B60" s="343"/>
      <c r="C60" s="344"/>
      <c r="D60" s="345"/>
      <c r="E60" s="344"/>
      <c r="F60" s="345"/>
      <c r="G60" s="344"/>
      <c r="H60" s="345"/>
      <c r="I60" s="344"/>
      <c r="J60" s="346"/>
      <c r="K60" s="335">
        <f t="shared" si="11"/>
        <v>0</v>
      </c>
      <c r="L60" s="259">
        <f t="shared" si="16"/>
        <v>0</v>
      </c>
      <c r="M60" s="352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5.75" thickBot="1">
      <c r="A61">
        <f t="shared" si="15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36">
        <f t="shared" si="11"/>
        <v>0</v>
      </c>
      <c r="L61" s="261">
        <f t="shared" si="16"/>
        <v>0</v>
      </c>
      <c r="M61" s="353"/>
      <c r="P61" s="305" t="s">
        <v>112</v>
      </c>
      <c r="Q61" s="306"/>
      <c r="R61" s="306">
        <f>SUM(R55:R60)</f>
        <v>32</v>
      </c>
      <c r="S61" s="321"/>
      <c r="T61" s="321"/>
      <c r="U61" s="307">
        <f>-SUM(U55:U60)</f>
        <v>-116.16000000000001</v>
      </c>
    </row>
    <row r="65" spans="1:7">
      <c r="A65" s="364">
        <v>1</v>
      </c>
      <c r="B65" s="364" t="str">
        <f>B27</f>
        <v>JAIME MILL</v>
      </c>
      <c r="C65" s="364" t="str">
        <f>_xlfn.TEXTJOIN(", ",TRUE,
IF(OR(C27&gt;0,E27&gt;0,G27&gt;0,I27&gt;0),"M",""),
IF(OR(D27&gt;0,F27&gt;0,H27&gt;0,J27&gt;0),"L","")
)</f>
        <v>M</v>
      </c>
      <c r="D65" s="364">
        <f>IF(C65="M",1,IF(C65="L",2,IF(C65="M, L",3)))</f>
        <v>1</v>
      </c>
      <c r="E65" s="365">
        <f>K27</f>
        <v>3</v>
      </c>
      <c r="F65" s="366">
        <f>L27</f>
        <v>120</v>
      </c>
      <c r="G65" s="364" t="str">
        <f>$B$2</f>
        <v>DROP 1</v>
      </c>
    </row>
    <row r="66" spans="1:7">
      <c r="A66" s="364">
        <v>2</v>
      </c>
      <c r="B66" s="364" t="str">
        <f>B28</f>
        <v>PETER</v>
      </c>
      <c r="C66" s="364" t="str">
        <f>_xlfn.TEXTJOIN(", ",TRUE,
IF(OR(C28&gt;0,E28&gt;0,G28&gt;0,I28&gt;0),"M",""),
IF(OR(D28&gt;0,F28&gt;0,H28&gt;0,J28&gt;0),"L","")
)</f>
        <v>M</v>
      </c>
      <c r="D66" s="364">
        <f>IF(C66="M",1,IF(C66="L",2,IF(C66="M, L",3)))</f>
        <v>1</v>
      </c>
      <c r="E66" s="365">
        <f>K28</f>
        <v>2</v>
      </c>
      <c r="F66" s="366">
        <f>L28</f>
        <v>105</v>
      </c>
      <c r="G66" s="364" t="str">
        <f t="shared" ref="G66:G80" si="21">$B$2</f>
        <v>DROP 1</v>
      </c>
    </row>
    <row r="67" spans="1:7">
      <c r="A67" s="364">
        <v>3</v>
      </c>
      <c r="B67" s="364" t="str">
        <f>B29</f>
        <v>LUIS CANADA</v>
      </c>
      <c r="C67" s="364" t="str">
        <f>_xlfn.TEXTJOIN(", ",TRUE,
IF(OR(C29&gt;0,E29&gt;0,G29&gt;0,I29&gt;0),"M",""),
IF(OR(D29&gt;0,F29&gt;0,H29&gt;0,J29&gt;0),"L","")
)</f>
        <v>M</v>
      </c>
      <c r="D67" s="364">
        <f>IF(C67="M",1,IF(C67="L",2,IF(C67="M, L",3)))</f>
        <v>1</v>
      </c>
      <c r="E67" s="365">
        <f>K29</f>
        <v>2</v>
      </c>
      <c r="F67" s="366">
        <f>L29</f>
        <v>80</v>
      </c>
      <c r="G67" s="364" t="str">
        <f t="shared" si="21"/>
        <v>DROP 1</v>
      </c>
    </row>
    <row r="68" spans="1:7">
      <c r="A68" s="364">
        <f>A67+1</f>
        <v>4</v>
      </c>
      <c r="B68" s="364" t="str">
        <f>B30</f>
        <v>JAIME BUSTAMANTE</v>
      </c>
      <c r="C68" s="364" t="str">
        <f>_xlfn.TEXTJOIN(", ",TRUE,
IF(OR(C30&gt;0,E30&gt;0,G30&gt;0,I30&gt;0),"M",""),
IF(OR(D30&gt;0,F30&gt;0,H30&gt;0,J30&gt;0),"L","")
)</f>
        <v>M</v>
      </c>
      <c r="D68" s="364">
        <f>IF(C68="M",1,IF(C68="L",2,IF(C68="M, L",3)))</f>
        <v>1</v>
      </c>
      <c r="E68" s="365">
        <f>K30</f>
        <v>3</v>
      </c>
      <c r="F68" s="366">
        <f>L30</f>
        <v>112</v>
      </c>
      <c r="G68" s="364" t="str">
        <f t="shared" si="21"/>
        <v>DROP 1</v>
      </c>
    </row>
    <row r="69" spans="1:7">
      <c r="A69" s="364">
        <f t="shared" ref="A69:A99" si="22">A68+1</f>
        <v>5</v>
      </c>
      <c r="B69" s="364" t="str">
        <f>B31</f>
        <v>QUINTANA</v>
      </c>
      <c r="C69" s="364" t="str">
        <f>_xlfn.TEXTJOIN(", ",TRUE,
IF(OR(C31&gt;0,E31&gt;0,G31&gt;0,I31&gt;0),"M",""),
IF(OR(D31&gt;0,F31&gt;0,H31&gt;0,J31&gt;0),"L","")
)</f>
        <v>L</v>
      </c>
      <c r="D69" s="364">
        <f>IF(C69="M",1,IF(C69="L",2,IF(C69="M, L",3)))</f>
        <v>2</v>
      </c>
      <c r="E69" s="365">
        <f>K31</f>
        <v>1</v>
      </c>
      <c r="F69" s="366">
        <f>L31</f>
        <v>55</v>
      </c>
      <c r="G69" s="364" t="str">
        <f t="shared" si="21"/>
        <v>DROP 1</v>
      </c>
    </row>
    <row r="70" spans="1:7">
      <c r="A70" s="364">
        <f t="shared" si="22"/>
        <v>6</v>
      </c>
      <c r="B70" s="364" t="str">
        <f>B32</f>
        <v>MUÑOZ</v>
      </c>
      <c r="C70" s="364" t="s">
        <v>13</v>
      </c>
      <c r="D70" s="364">
        <f>IF(C70="M",1,IF(C70="L",2,IF(C70="M, L",3)))</f>
        <v>2</v>
      </c>
      <c r="E70" s="365">
        <f>K32</f>
        <v>4</v>
      </c>
      <c r="F70" s="366">
        <f>L32</f>
        <v>232</v>
      </c>
      <c r="G70" s="364" t="str">
        <f t="shared" si="21"/>
        <v>DROP 1</v>
      </c>
    </row>
    <row r="71" spans="1:7">
      <c r="A71" s="364">
        <f t="shared" si="22"/>
        <v>7</v>
      </c>
      <c r="B71" s="364" t="str">
        <f>B33</f>
        <v>PUIG AMIGO JACO</v>
      </c>
      <c r="C71" s="364" t="str">
        <f>_xlfn.TEXTJOIN(", ",TRUE,
IF(OR(C33&gt;0,E33&gt;0,G33&gt;0,I33&gt;0),"M",""),
IF(OR(D33&gt;0,F33&gt;0,H33&gt;0,J33&gt;0),"L","")
)</f>
        <v>M</v>
      </c>
      <c r="D71" s="364">
        <f>IF(C71="M",1,IF(C71="L",2,IF(C71="M, L",3)))</f>
        <v>1</v>
      </c>
      <c r="E71" s="365">
        <f>K33</f>
        <v>1</v>
      </c>
      <c r="F71" s="366">
        <f>L33</f>
        <v>30</v>
      </c>
      <c r="G71" s="364" t="str">
        <f t="shared" si="21"/>
        <v>DROP 1</v>
      </c>
    </row>
    <row r="72" spans="1:7">
      <c r="A72" s="364">
        <f t="shared" si="22"/>
        <v>8</v>
      </c>
      <c r="B72" s="364" t="str">
        <f>B34</f>
        <v>GA</v>
      </c>
      <c r="C72" s="364" t="str">
        <f>_xlfn.TEXTJOIN(", ",TRUE,
IF(OR(C34&gt;0,E34&gt;0,G34&gt;0,I34&gt;0),"M",""),
IF(OR(D34&gt;0,F34&gt;0,H34&gt;0,J34&gt;0),"L","")
)</f>
        <v>M</v>
      </c>
      <c r="D72" s="364">
        <f>IF(C72="M",1,IF(C72="L",2,IF(C72="M, L",3)))</f>
        <v>1</v>
      </c>
      <c r="E72" s="365">
        <f>K34</f>
        <v>1</v>
      </c>
      <c r="F72" s="366">
        <f>L34</f>
        <v>30</v>
      </c>
      <c r="G72" s="364" t="str">
        <f t="shared" si="21"/>
        <v>DROP 1</v>
      </c>
    </row>
    <row r="73" spans="1:7">
      <c r="A73" s="364">
        <f t="shared" si="22"/>
        <v>9</v>
      </c>
      <c r="B73" s="364" t="str">
        <f>B35</f>
        <v>NACHO PEREZ</v>
      </c>
      <c r="C73" s="364" t="str">
        <f>_xlfn.TEXTJOIN(", ",TRUE,
IF(OR(C35&gt;0,E35&gt;0,G35&gt;0,I35&gt;0),"M",""),
IF(OR(D35&gt;0,F35&gt;0,H35&gt;0,J35&gt;0),"L","")
)</f>
        <v>M</v>
      </c>
      <c r="D73" s="364">
        <f>IF(C73="M",1,IF(C73="L",2,IF(C73="M, L",3)))</f>
        <v>1</v>
      </c>
      <c r="E73" s="365">
        <f>K35</f>
        <v>1</v>
      </c>
      <c r="F73" s="366">
        <f>L35</f>
        <v>30</v>
      </c>
      <c r="G73" s="364" t="str">
        <f t="shared" si="21"/>
        <v>DROP 1</v>
      </c>
    </row>
    <row r="74" spans="1:7">
      <c r="A74" s="364">
        <f t="shared" si="22"/>
        <v>10</v>
      </c>
      <c r="B74" s="364" t="str">
        <f>B36</f>
        <v>CASAPE</v>
      </c>
      <c r="C74" s="364" t="str">
        <f>_xlfn.TEXTJOIN(", ",TRUE,
IF(OR(C36&gt;0,E36&gt;0,G36&gt;0,I36&gt;0),"M",""),
IF(OR(D36&gt;0,F36&gt;0,H36&gt;0,J36&gt;0),"L","")
)</f>
        <v>M</v>
      </c>
      <c r="D74" s="364">
        <f>IF(C74="M",1,IF(C74="L",2,IF(C74="M, L",3)))</f>
        <v>1</v>
      </c>
      <c r="E74" s="365">
        <f>K36</f>
        <v>1</v>
      </c>
      <c r="F74" s="366">
        <f>L36</f>
        <v>30</v>
      </c>
      <c r="G74" s="364" t="str">
        <f t="shared" si="21"/>
        <v>DROP 1</v>
      </c>
    </row>
    <row r="75" spans="1:7">
      <c r="A75" s="364">
        <f t="shared" si="22"/>
        <v>11</v>
      </c>
      <c r="B75" s="364" t="str">
        <f>B37</f>
        <v>JUANTO</v>
      </c>
      <c r="C75" s="364" t="str">
        <f>_xlfn.TEXTJOIN(", ",TRUE,
IF(OR(C37&gt;0,E37&gt;0,G37&gt;0,I37&gt;0),"M",""),
IF(OR(D37&gt;0,F37&gt;0,H37&gt;0,J37&gt;0),"L","")
)</f>
        <v>M</v>
      </c>
      <c r="D75" s="364">
        <f>IF(C75="M",1,IF(C75="L",2,IF(C75="M, L",3)))</f>
        <v>1</v>
      </c>
      <c r="E75" s="365">
        <f>K37</f>
        <v>1</v>
      </c>
      <c r="F75" s="366">
        <f>L37</f>
        <v>55</v>
      </c>
      <c r="G75" s="364" t="str">
        <f t="shared" si="21"/>
        <v>DROP 1</v>
      </c>
    </row>
    <row r="76" spans="1:7">
      <c r="A76" s="364">
        <f t="shared" si="22"/>
        <v>12</v>
      </c>
      <c r="B76" s="364" t="str">
        <f>B38</f>
        <v>DIEGO AMIGO JACO</v>
      </c>
      <c r="C76" s="364" t="str">
        <f>_xlfn.TEXTJOIN(", ",TRUE,
IF(OR(C38&gt;0,E38&gt;0,G38&gt;0,I38&gt;0),"M",""),
IF(OR(D38&gt;0,F38&gt;0,H38&gt;0,J38&gt;0),"L","")
)</f>
        <v>M</v>
      </c>
      <c r="D76" s="364">
        <f>IF(C76="M",1,IF(C76="L",2,IF(C76="M, L",3)))</f>
        <v>1</v>
      </c>
      <c r="E76" s="365">
        <f>K38</f>
        <v>1</v>
      </c>
      <c r="F76" s="366">
        <f>L38</f>
        <v>30</v>
      </c>
      <c r="G76" s="364" t="str">
        <f t="shared" si="21"/>
        <v>DROP 1</v>
      </c>
    </row>
    <row r="77" spans="1:7">
      <c r="A77" s="364">
        <f t="shared" si="22"/>
        <v>13</v>
      </c>
      <c r="B77" s="364" t="str">
        <f>B39</f>
        <v>JAIME X</v>
      </c>
      <c r="C77" s="364" t="str">
        <f>_xlfn.TEXTJOIN(", ",TRUE,
IF(OR(C39&gt;0,E39&gt;0,G39&gt;0,I39&gt;0),"M",""),
IF(OR(D39&gt;0,F39&gt;0,H39&gt;0,J39&gt;0),"L","")
)</f>
        <v>M</v>
      </c>
      <c r="D77" s="364">
        <f>IF(C77="M",1,IF(C77="L",2,IF(C77="M, L",3)))</f>
        <v>1</v>
      </c>
      <c r="E77" s="365">
        <f>K39</f>
        <v>1</v>
      </c>
      <c r="F77" s="366">
        <f>L39</f>
        <v>30</v>
      </c>
      <c r="G77" s="364" t="str">
        <f t="shared" si="21"/>
        <v>DROP 1</v>
      </c>
    </row>
    <row r="78" spans="1:7">
      <c r="A78" s="364">
        <f t="shared" si="22"/>
        <v>14</v>
      </c>
      <c r="B78" s="364" t="str">
        <f>B40</f>
        <v>AMIGO ANGEL</v>
      </c>
      <c r="C78" s="364" t="str">
        <f>_xlfn.TEXTJOIN(", ",TRUE,
IF(OR(C40&gt;0,E40&gt;0,G40&gt;0,I40&gt;0),"M",""),
IF(OR(D40&gt;0,F40&gt;0,H40&gt;0,J40&gt;0),"L","")
)</f>
        <v>M</v>
      </c>
      <c r="D78" s="364">
        <f>IF(C78="M",1,IF(C78="L",2,IF(C78="M, L",3)))</f>
        <v>1</v>
      </c>
      <c r="E78" s="365">
        <f>K40</f>
        <v>1</v>
      </c>
      <c r="F78" s="366">
        <f>L40</f>
        <v>30</v>
      </c>
      <c r="G78" s="364" t="str">
        <f t="shared" si="21"/>
        <v>DROP 1</v>
      </c>
    </row>
    <row r="79" spans="1:7">
      <c r="A79" s="364">
        <f t="shared" si="22"/>
        <v>15</v>
      </c>
      <c r="B79" s="364" t="str">
        <f>B41</f>
        <v>GENOVEVA</v>
      </c>
      <c r="C79" s="364" t="str">
        <f>_xlfn.TEXTJOIN(", ",TRUE,
IF(OR(C41&gt;0,E41&gt;0,G41&gt;0,I41&gt;0),"M",""),
IF(OR(D41&gt;0,F41&gt;0,H41&gt;0,J41&gt;0),"L","")
)</f>
        <v>M</v>
      </c>
      <c r="D79" s="364">
        <f>IF(C79="M",1,IF(C79="L",2,IF(C79="M, L",3)))</f>
        <v>1</v>
      </c>
      <c r="E79" s="365">
        <f>K41</f>
        <v>1</v>
      </c>
      <c r="F79" s="366">
        <f>L41</f>
        <v>40</v>
      </c>
      <c r="G79" s="364" t="str">
        <f t="shared" si="21"/>
        <v>DROP 1</v>
      </c>
    </row>
    <row r="80" spans="1:7">
      <c r="A80" s="364">
        <f t="shared" si="22"/>
        <v>16</v>
      </c>
      <c r="B80" s="364" t="str">
        <f>B42</f>
        <v>CANDELA</v>
      </c>
      <c r="C80" s="364" t="str">
        <f>_xlfn.TEXTJOIN(", ",TRUE,
IF(OR(C42&gt;0,E42&gt;0,G42&gt;0,I42&gt;0),"M",""),
IF(OR(D42&gt;0,F42&gt;0,H42&gt;0,J42&gt;0),"L","")
)</f>
        <v>M</v>
      </c>
      <c r="D80" s="364">
        <f>IF(C80="M",1,IF(C80="L",2,IF(C80="M, L",3)))</f>
        <v>1</v>
      </c>
      <c r="E80" s="365">
        <f>K42</f>
        <v>1</v>
      </c>
      <c r="F80" s="366">
        <f>L42</f>
        <v>40</v>
      </c>
      <c r="G80" s="364" t="str">
        <f t="shared" si="21"/>
        <v>DROP 1</v>
      </c>
    </row>
    <row r="81" spans="1:6">
      <c r="A81" s="364">
        <f t="shared" si="22"/>
        <v>17</v>
      </c>
      <c r="B81" s="364">
        <f t="shared" ref="B81:B99" si="23">B43</f>
        <v>0</v>
      </c>
      <c r="C81" s="364" t="str">
        <f t="shared" ref="C81:C99" si="24">_xlfn.TEXTJOIN(", ",TRUE,
IF(OR(C43&gt;0,E43&gt;0,G43&gt;0,I43&gt;0),"M",""),
IF(OR(D43&gt;0,F43&gt;0,H43&gt;0,J43&gt;0),"L","")
)</f>
        <v/>
      </c>
      <c r="D81" s="364" t="b">
        <f>IF(C81="M",1,IF(C81="L",2,IF(C81="M, L",3)))</f>
        <v>0</v>
      </c>
      <c r="E81" s="365">
        <f>K43</f>
        <v>0</v>
      </c>
      <c r="F81" s="366">
        <f>L43</f>
        <v>0</v>
      </c>
    </row>
    <row r="82" spans="1:6">
      <c r="A82" s="364">
        <f t="shared" si="22"/>
        <v>18</v>
      </c>
      <c r="B82" s="364">
        <f t="shared" si="23"/>
        <v>0</v>
      </c>
      <c r="C82" s="364" t="str">
        <f t="shared" si="24"/>
        <v/>
      </c>
      <c r="D82" s="364" t="b">
        <f>IF(C82="M",1,IF(C82="L",2,IF(C82="M, L",3)))</f>
        <v>0</v>
      </c>
      <c r="E82" s="365">
        <f>K44</f>
        <v>0</v>
      </c>
      <c r="F82" s="366">
        <f>L44</f>
        <v>0</v>
      </c>
    </row>
    <row r="83" spans="1:6">
      <c r="A83" s="364">
        <f t="shared" si="22"/>
        <v>19</v>
      </c>
      <c r="B83" s="364">
        <f t="shared" si="23"/>
        <v>0</v>
      </c>
      <c r="C83" s="364" t="str">
        <f t="shared" si="24"/>
        <v/>
      </c>
      <c r="D83" s="364" t="b">
        <f>IF(C83="M",1,IF(C83="L",2,IF(C83="M, L",3)))</f>
        <v>0</v>
      </c>
      <c r="E83" s="365">
        <f>K45</f>
        <v>0</v>
      </c>
      <c r="F83" s="366">
        <f>L45</f>
        <v>0</v>
      </c>
    </row>
    <row r="84" spans="1:6">
      <c r="A84" s="364">
        <f t="shared" si="22"/>
        <v>20</v>
      </c>
      <c r="B84" s="364">
        <f t="shared" si="23"/>
        <v>0</v>
      </c>
      <c r="C84" s="364" t="str">
        <f t="shared" si="24"/>
        <v/>
      </c>
      <c r="D84" s="364" t="b">
        <f>IF(C84="M",1,IF(C84="L",2,IF(C84="M, L",3)))</f>
        <v>0</v>
      </c>
      <c r="E84" s="365">
        <f>K46</f>
        <v>0</v>
      </c>
      <c r="F84" s="366">
        <f>L46</f>
        <v>0</v>
      </c>
    </row>
    <row r="85" spans="1:6">
      <c r="A85" s="364">
        <f t="shared" si="22"/>
        <v>21</v>
      </c>
      <c r="B85" s="364">
        <f t="shared" si="23"/>
        <v>0</v>
      </c>
      <c r="C85" s="364" t="str">
        <f t="shared" si="24"/>
        <v/>
      </c>
      <c r="D85" s="364" t="b">
        <f>IF(C85="M",1,IF(C85="L",2,IF(C85="M, L",3)))</f>
        <v>0</v>
      </c>
      <c r="E85" s="365">
        <f>K47</f>
        <v>0</v>
      </c>
      <c r="F85" s="366">
        <f>L47</f>
        <v>0</v>
      </c>
    </row>
    <row r="86" spans="1:6">
      <c r="A86" s="364">
        <f t="shared" si="22"/>
        <v>22</v>
      </c>
      <c r="B86" s="364">
        <f t="shared" si="23"/>
        <v>0</v>
      </c>
      <c r="C86" s="364" t="str">
        <f t="shared" si="24"/>
        <v/>
      </c>
      <c r="D86" s="364" t="b">
        <f>IF(C86="M",1,IF(C86="L",2,IF(C86="M, L",3)))</f>
        <v>0</v>
      </c>
      <c r="E86" s="365">
        <f>K48</f>
        <v>0</v>
      </c>
      <c r="F86" s="366">
        <f>L48</f>
        <v>0</v>
      </c>
    </row>
    <row r="87" spans="1:6">
      <c r="A87" s="364">
        <f t="shared" si="22"/>
        <v>23</v>
      </c>
      <c r="B87" s="364">
        <f t="shared" si="23"/>
        <v>0</v>
      </c>
      <c r="C87" s="364" t="str">
        <f t="shared" si="24"/>
        <v/>
      </c>
      <c r="D87" s="364" t="b">
        <f>IF(C87="M",1,IF(C87="L",2,IF(C87="M, L",3)))</f>
        <v>0</v>
      </c>
      <c r="E87" s="365">
        <f>K49</f>
        <v>0</v>
      </c>
      <c r="F87" s="366">
        <f>L49</f>
        <v>0</v>
      </c>
    </row>
    <row r="88" spans="1:6">
      <c r="A88" s="364">
        <f t="shared" si="22"/>
        <v>24</v>
      </c>
      <c r="B88" s="364">
        <f t="shared" si="23"/>
        <v>0</v>
      </c>
      <c r="C88" s="364" t="str">
        <f t="shared" si="24"/>
        <v/>
      </c>
      <c r="D88" s="364" t="b">
        <f>IF(C88="M",1,IF(C88="L",2,IF(C88="M, L",3)))</f>
        <v>0</v>
      </c>
      <c r="E88" s="365">
        <f>K50</f>
        <v>0</v>
      </c>
      <c r="F88" s="366">
        <f>L50</f>
        <v>0</v>
      </c>
    </row>
    <row r="89" spans="1:6">
      <c r="A89" s="364">
        <f t="shared" si="22"/>
        <v>25</v>
      </c>
      <c r="B89" s="364">
        <f t="shared" si="23"/>
        <v>0</v>
      </c>
      <c r="C89" s="364" t="str">
        <f t="shared" si="24"/>
        <v/>
      </c>
      <c r="D89" s="364" t="b">
        <f>IF(C89="M",1,IF(C89="L",2,IF(C89="M, L",3)))</f>
        <v>0</v>
      </c>
      <c r="E89" s="365">
        <f>K51</f>
        <v>0</v>
      </c>
      <c r="F89" s="366">
        <f>L51</f>
        <v>0</v>
      </c>
    </row>
    <row r="90" spans="1:6">
      <c r="A90" s="364">
        <f t="shared" si="22"/>
        <v>26</v>
      </c>
      <c r="B90" s="364">
        <f t="shared" si="23"/>
        <v>0</v>
      </c>
      <c r="C90" s="364" t="str">
        <f t="shared" si="24"/>
        <v/>
      </c>
      <c r="D90" s="364" t="b">
        <f>IF(C90="M",1,IF(C90="L",2,IF(C90="M, L",3)))</f>
        <v>0</v>
      </c>
      <c r="E90" s="365">
        <f>K52</f>
        <v>0</v>
      </c>
      <c r="F90" s="366">
        <f>L52</f>
        <v>0</v>
      </c>
    </row>
    <row r="91" spans="1:6">
      <c r="A91" s="364">
        <f t="shared" si="22"/>
        <v>27</v>
      </c>
      <c r="B91" s="364">
        <f t="shared" si="23"/>
        <v>0</v>
      </c>
      <c r="C91" s="364" t="str">
        <f t="shared" si="24"/>
        <v/>
      </c>
      <c r="D91" s="364" t="b">
        <f>IF(C91="M",1,IF(C91="L",2,IF(C91="M, L",3)))</f>
        <v>0</v>
      </c>
      <c r="E91" s="365">
        <f>K53</f>
        <v>0</v>
      </c>
      <c r="F91" s="366">
        <f>L53</f>
        <v>0</v>
      </c>
    </row>
    <row r="92" spans="1:6">
      <c r="A92" s="364">
        <f t="shared" si="22"/>
        <v>28</v>
      </c>
      <c r="B92" s="364">
        <f t="shared" si="23"/>
        <v>0</v>
      </c>
      <c r="C92" s="364" t="str">
        <f t="shared" si="24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</row>
    <row r="93" spans="1:6">
      <c r="A93" s="364">
        <f t="shared" si="22"/>
        <v>29</v>
      </c>
      <c r="B93" s="364">
        <f t="shared" si="23"/>
        <v>0</v>
      </c>
      <c r="C93" s="364" t="str">
        <f t="shared" si="24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</row>
    <row r="94" spans="1:6">
      <c r="A94" s="364">
        <f t="shared" si="22"/>
        <v>30</v>
      </c>
      <c r="B94" s="364">
        <f t="shared" si="23"/>
        <v>0</v>
      </c>
      <c r="C94" s="364" t="str">
        <f t="shared" si="24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</row>
    <row r="95" spans="1:6">
      <c r="A95" s="364">
        <f t="shared" si="22"/>
        <v>31</v>
      </c>
      <c r="B95" s="364">
        <f t="shared" si="23"/>
        <v>0</v>
      </c>
      <c r="C95" s="364" t="str">
        <f t="shared" si="24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</row>
    <row r="96" spans="1:6">
      <c r="A96" s="364">
        <f t="shared" si="22"/>
        <v>32</v>
      </c>
      <c r="B96" s="364">
        <f t="shared" si="23"/>
        <v>0</v>
      </c>
      <c r="C96" s="364" t="str">
        <f t="shared" si="24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</row>
    <row r="97" spans="1:6">
      <c r="A97" s="364">
        <f t="shared" si="22"/>
        <v>33</v>
      </c>
      <c r="B97" s="364">
        <f t="shared" si="23"/>
        <v>0</v>
      </c>
      <c r="C97" s="364" t="str">
        <f t="shared" si="24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</row>
    <row r="98" spans="1:6">
      <c r="A98" s="364">
        <f t="shared" si="22"/>
        <v>34</v>
      </c>
      <c r="B98" s="364">
        <f t="shared" si="23"/>
        <v>0</v>
      </c>
      <c r="C98" s="364" t="str">
        <f t="shared" si="24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</row>
    <row r="99" spans="1:6">
      <c r="A99" s="364">
        <f t="shared" si="22"/>
        <v>35</v>
      </c>
      <c r="B99" s="364">
        <f t="shared" si="23"/>
        <v>0</v>
      </c>
      <c r="C99" s="364" t="str">
        <f t="shared" si="24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</row>
    <row r="100" spans="1:6">
      <c r="D100" s="293"/>
      <c r="E100" s="200"/>
    </row>
    <row r="101" spans="1:6">
      <c r="D101" s="293"/>
      <c r="E101" s="200"/>
    </row>
    <row r="102" spans="1:6">
      <c r="D102" s="293"/>
      <c r="E102" s="200"/>
    </row>
    <row r="103" spans="1:6">
      <c r="D103" s="293"/>
      <c r="E103" s="200"/>
    </row>
    <row r="104" spans="1:6">
      <c r="D104" s="293"/>
      <c r="E104" s="200"/>
    </row>
    <row r="105" spans="1:6">
      <c r="D105" s="293"/>
      <c r="E105" s="200"/>
    </row>
    <row r="106" spans="1:6">
      <c r="D106" s="293"/>
      <c r="E106" s="200"/>
    </row>
    <row r="107" spans="1:6">
      <c r="D107" s="293"/>
      <c r="E107" s="200"/>
    </row>
    <row r="108" spans="1:6">
      <c r="D108" s="293"/>
      <c r="E108" s="200"/>
    </row>
    <row r="109" spans="1:6">
      <c r="D109" s="293"/>
      <c r="E109" s="200"/>
    </row>
    <row r="110" spans="1:6">
      <c r="D110" s="293"/>
      <c r="E110" s="200"/>
    </row>
    <row r="111" spans="1:6">
      <c r="D111" s="293"/>
      <c r="E111" s="200"/>
    </row>
    <row r="112" spans="1:6">
      <c r="D112" s="293"/>
      <c r="E112" s="200"/>
    </row>
    <row r="113" spans="4:5">
      <c r="D113" s="293"/>
      <c r="E113" s="200"/>
    </row>
    <row r="114" spans="4:5">
      <c r="D114" s="293"/>
      <c r="E114" s="200"/>
    </row>
    <row r="115" spans="4:5">
      <c r="D115" s="293"/>
      <c r="E115" s="200"/>
    </row>
    <row r="116" spans="4:5">
      <c r="D116" s="293"/>
      <c r="E116" s="200"/>
    </row>
    <row r="117" spans="4:5">
      <c r="D117" s="293"/>
      <c r="E117" s="200"/>
    </row>
    <row r="118" spans="4:5">
      <c r="D118" s="293"/>
      <c r="E118" s="200"/>
    </row>
    <row r="119" spans="4:5">
      <c r="D119" s="293"/>
      <c r="E119" s="200"/>
    </row>
    <row r="120" spans="4:5">
      <c r="D120" s="293"/>
      <c r="E120" s="200"/>
    </row>
    <row r="121" spans="4:5">
      <c r="D121" s="293"/>
      <c r="E121" s="200"/>
    </row>
    <row r="122" spans="4:5">
      <c r="D122" s="293"/>
      <c r="E122" s="200"/>
    </row>
    <row r="123" spans="4:5">
      <c r="D123" s="293"/>
      <c r="E123" s="200"/>
    </row>
    <row r="124" spans="4:5">
      <c r="D124" s="293"/>
      <c r="E124" s="200"/>
    </row>
    <row r="125" spans="4:5">
      <c r="D125" s="293"/>
      <c r="E125" s="200"/>
    </row>
    <row r="126" spans="4:5">
      <c r="D126" s="293"/>
      <c r="E126" s="200"/>
    </row>
    <row r="127" spans="4:5">
      <c r="D127" s="293"/>
      <c r="E127" s="200"/>
    </row>
    <row r="128" spans="4:5">
      <c r="D128" s="293"/>
      <c r="E128" s="200"/>
    </row>
    <row r="129" spans="4:5">
      <c r="D129" s="293"/>
      <c r="E129" s="200"/>
    </row>
    <row r="130" spans="4:5">
      <c r="D130" s="293"/>
      <c r="E130" s="200"/>
    </row>
    <row r="131" spans="4:5">
      <c r="D131" s="293"/>
      <c r="E131" s="200"/>
    </row>
    <row r="132" spans="4:5">
      <c r="D132" s="293"/>
      <c r="E132" s="200"/>
    </row>
    <row r="133" spans="4:5">
      <c r="D133" s="293"/>
      <c r="E133" s="200"/>
    </row>
    <row r="134" spans="4:5">
      <c r="D134" s="293"/>
      <c r="E134" s="200"/>
    </row>
    <row r="135" spans="4:5">
      <c r="D135" s="293"/>
      <c r="E135" s="200"/>
    </row>
    <row r="136" spans="4:5">
      <c r="D136" s="293"/>
      <c r="E136" s="200"/>
    </row>
    <row r="137" spans="4:5">
      <c r="D137" s="293"/>
      <c r="E137" s="200"/>
    </row>
    <row r="138" spans="4:5">
      <c r="D138" s="293"/>
      <c r="E138" s="200"/>
    </row>
    <row r="139" spans="4:5">
      <c r="D139" s="293"/>
      <c r="E139" s="200"/>
    </row>
    <row r="140" spans="4:5">
      <c r="D140" s="293"/>
      <c r="E140" s="200"/>
    </row>
    <row r="141" spans="4:5">
      <c r="D141" s="293"/>
      <c r="E141" s="200"/>
    </row>
    <row r="142" spans="4:5">
      <c r="D142" s="293"/>
      <c r="E142" s="200"/>
    </row>
    <row r="143" spans="4:5">
      <c r="D143" s="293"/>
      <c r="E143" s="200"/>
    </row>
    <row r="144" spans="4:5">
      <c r="D144" s="293"/>
      <c r="E144" s="200"/>
    </row>
    <row r="145" spans="4:5">
      <c r="D145" s="293"/>
      <c r="E145" s="200"/>
    </row>
    <row r="146" spans="4:5">
      <c r="D146" s="293"/>
      <c r="E146" s="200"/>
    </row>
    <row r="147" spans="4:5">
      <c r="D147" s="293"/>
      <c r="E147" s="200"/>
    </row>
    <row r="148" spans="4:5">
      <c r="D148" s="293"/>
      <c r="E148" s="200"/>
    </row>
    <row r="149" spans="4:5">
      <c r="D149" s="293"/>
      <c r="E149" s="200"/>
    </row>
    <row r="150" spans="4:5">
      <c r="D150" s="293"/>
      <c r="E150" s="200"/>
    </row>
    <row r="151" spans="4:5">
      <c r="D151" s="293"/>
      <c r="E151" s="200"/>
    </row>
    <row r="152" spans="4:5">
      <c r="D152" s="293"/>
      <c r="E152" s="200"/>
    </row>
    <row r="153" spans="4:5">
      <c r="D153" s="293"/>
      <c r="E153" s="200"/>
    </row>
    <row r="154" spans="4:5">
      <c r="D154" s="293"/>
      <c r="E154" s="200"/>
    </row>
    <row r="155" spans="4:5">
      <c r="D155" s="293"/>
      <c r="E155" s="200"/>
    </row>
    <row r="156" spans="4:5">
      <c r="D156" s="293"/>
      <c r="E156" s="200"/>
    </row>
    <row r="157" spans="4:5">
      <c r="D157" s="293"/>
      <c r="E157" s="200"/>
    </row>
    <row r="158" spans="4:5">
      <c r="D158" s="293"/>
      <c r="E158" s="200"/>
    </row>
    <row r="159" spans="4:5">
      <c r="D159" s="293"/>
      <c r="E159" s="200"/>
    </row>
    <row r="160" spans="4:5">
      <c r="D160" s="293"/>
      <c r="E160" s="200"/>
    </row>
    <row r="161" spans="4:5">
      <c r="D161" s="293"/>
      <c r="E161" s="200"/>
    </row>
    <row r="162" spans="4:5">
      <c r="D162" s="293"/>
      <c r="E162" s="200"/>
    </row>
    <row r="163" spans="4:5">
      <c r="D163" s="293"/>
      <c r="E163" s="200"/>
    </row>
    <row r="164" spans="4:5">
      <c r="D164" s="293"/>
      <c r="E164" s="200"/>
    </row>
    <row r="165" spans="4:5">
      <c r="D165" s="293"/>
      <c r="E165" s="200"/>
    </row>
    <row r="166" spans="4:5">
      <c r="D166" s="293"/>
      <c r="E166" s="200"/>
    </row>
    <row r="167" spans="4:5">
      <c r="D167" s="293"/>
      <c r="E167" s="200"/>
    </row>
    <row r="168" spans="4:5">
      <c r="D168" s="293"/>
      <c r="E168" s="200"/>
    </row>
    <row r="169" spans="4:5">
      <c r="D169" s="293"/>
      <c r="E169" s="200"/>
    </row>
    <row r="170" spans="4:5">
      <c r="D170" s="293"/>
      <c r="E170" s="200"/>
    </row>
    <row r="171" spans="4:5">
      <c r="D171" s="293"/>
      <c r="E171" s="200"/>
    </row>
    <row r="172" spans="4:5">
      <c r="D172" s="293"/>
      <c r="E172" s="200"/>
    </row>
    <row r="173" spans="4:5">
      <c r="D173" s="293"/>
      <c r="E173" s="200"/>
    </row>
    <row r="174" spans="4:5">
      <c r="D174" s="293"/>
      <c r="E174" s="200"/>
    </row>
    <row r="175" spans="4:5">
      <c r="D175" s="293"/>
      <c r="E175" s="200"/>
    </row>
    <row r="176" spans="4:5">
      <c r="D176" s="293"/>
      <c r="E176" s="200"/>
    </row>
    <row r="177" spans="4:5">
      <c r="D177" s="293"/>
      <c r="E177" s="200"/>
    </row>
    <row r="178" spans="4:5">
      <c r="D178" s="293"/>
      <c r="E178" s="200"/>
    </row>
    <row r="179" spans="4:5">
      <c r="D179" s="293"/>
      <c r="E179" s="200"/>
    </row>
    <row r="180" spans="4:5">
      <c r="D180" s="293"/>
      <c r="E180" s="200"/>
    </row>
    <row r="181" spans="4:5">
      <c r="D181" s="293"/>
      <c r="E181" s="200"/>
    </row>
    <row r="182" spans="4:5">
      <c r="D182" s="293"/>
      <c r="E182" s="200"/>
    </row>
    <row r="183" spans="4:5">
      <c r="D183" s="293"/>
      <c r="E183" s="200"/>
    </row>
    <row r="184" spans="4:5">
      <c r="D184" s="293"/>
      <c r="E184" s="200"/>
    </row>
    <row r="185" spans="4:5">
      <c r="D185" s="293"/>
      <c r="E185" s="200"/>
    </row>
    <row r="186" spans="4:5">
      <c r="D186" s="293"/>
      <c r="E186" s="200"/>
    </row>
    <row r="187" spans="4:5">
      <c r="D187" s="293"/>
      <c r="E187" s="200"/>
    </row>
    <row r="188" spans="4:5">
      <c r="D188" s="293"/>
      <c r="E188" s="200"/>
    </row>
    <row r="189" spans="4:5">
      <c r="D189" s="293"/>
      <c r="E189" s="200"/>
    </row>
    <row r="190" spans="4:5">
      <c r="D190" s="293"/>
      <c r="E190" s="200"/>
    </row>
    <row r="191" spans="4:5">
      <c r="D191" s="293"/>
      <c r="E191" s="200"/>
    </row>
    <row r="192" spans="4:5">
      <c r="D192" s="293"/>
      <c r="E192" s="200"/>
    </row>
    <row r="193" spans="4:5">
      <c r="D193" s="293"/>
      <c r="E193" s="200"/>
    </row>
    <row r="194" spans="4:5">
      <c r="D194" s="293"/>
      <c r="E194" s="200"/>
    </row>
    <row r="195" spans="4:5">
      <c r="D195" s="293"/>
      <c r="E195" s="200"/>
    </row>
  </sheetData>
  <mergeCells count="5">
    <mergeCell ref="B2:D3"/>
    <mergeCell ref="C22:D22"/>
    <mergeCell ref="E22:F22"/>
    <mergeCell ref="G22:H22"/>
    <mergeCell ref="I22:J22"/>
  </mergeCells>
  <phoneticPr fontId="27" type="noConversion"/>
  <pageMargins left="0.7" right="0.7" top="0.75" bottom="0.75" header="0.3" footer="0.3"/>
  <pageSetup paperSize="9" orientation="portrait" horizontalDpi="0" verticalDpi="0"/>
  <ignoredErrors>
    <ignoredError sqref="L32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6BA413-ABBE-2A43-8D3C-CA2EEDCE33AA}">
          <x14:formula1>
            <xm:f>CLIENTES!$A$2:$A$1048576</xm:f>
          </x14:formula1>
          <xm:sqref>B27:B61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1DD8-D8D2-DC49-9762-EA404B6AF4B9}">
  <sheetPr>
    <tabColor rgb="FFFF0000"/>
  </sheetPr>
  <dimension ref="C2:DP90"/>
  <sheetViews>
    <sheetView topLeftCell="W1" zoomScale="61" workbookViewId="0">
      <selection activeCell="AJ52" sqref="AJ52"/>
    </sheetView>
  </sheetViews>
  <sheetFormatPr defaultColWidth="10.875" defaultRowHeight="15.95" customHeight="1"/>
  <cols>
    <col min="8" max="8" width="10.875" customWidth="1"/>
    <col min="12" max="13" width="10.875" customWidth="1"/>
    <col min="23" max="24" width="10.875" customWidth="1"/>
    <col min="31" max="35" width="10.875" customWidth="1"/>
    <col min="42" max="45" width="10.875" customWidth="1"/>
    <col min="46" max="46" width="12.375" bestFit="1" customWidth="1"/>
    <col min="54" max="57" width="10.875" customWidth="1"/>
    <col min="58" max="58" width="14.625" bestFit="1" customWidth="1"/>
    <col min="74" max="82" width="10.875" customWidth="1"/>
    <col min="83" max="83" width="12.875" customWidth="1"/>
    <col min="87" max="87" width="12.25" customWidth="1"/>
    <col min="88" max="88" width="14.25" bestFit="1" customWidth="1"/>
    <col min="89" max="89" width="10.875" customWidth="1"/>
    <col min="91" max="92" width="10.875" customWidth="1"/>
    <col min="95" max="95" width="10.875" customWidth="1"/>
  </cols>
  <sheetData>
    <row r="2" spans="3:120" ht="15.95" customHeight="1" thickBot="1"/>
    <row r="3" spans="3:120" ht="15.95" customHeight="1">
      <c r="C3" s="573"/>
      <c r="D3" s="574"/>
      <c r="E3" s="574"/>
      <c r="F3" s="575"/>
      <c r="G3" s="523" t="s">
        <v>265</v>
      </c>
      <c r="H3" s="524"/>
      <c r="I3" s="524"/>
      <c r="J3" s="524"/>
      <c r="K3" s="524"/>
      <c r="L3" s="524"/>
      <c r="M3" s="525"/>
      <c r="R3" s="523" t="s">
        <v>266</v>
      </c>
      <c r="S3" s="524"/>
      <c r="T3" s="524"/>
      <c r="U3" s="524"/>
      <c r="V3" s="524"/>
      <c r="W3" s="524"/>
      <c r="X3" s="525"/>
      <c r="AC3" s="523" t="s">
        <v>267</v>
      </c>
      <c r="AD3" s="524"/>
      <c r="AE3" s="524"/>
      <c r="AF3" s="524"/>
      <c r="AG3" s="524"/>
      <c r="AH3" s="524"/>
      <c r="AI3" s="525"/>
      <c r="AL3" s="435" t="s">
        <v>268</v>
      </c>
      <c r="AM3" s="436"/>
      <c r="AN3" s="436"/>
      <c r="AO3" s="435" t="s">
        <v>269</v>
      </c>
      <c r="AP3" s="436"/>
      <c r="AQ3" s="437"/>
      <c r="AR3" s="435" t="s">
        <v>270</v>
      </c>
      <c r="AS3" s="436"/>
      <c r="AT3" s="437"/>
      <c r="AU3" s="435" t="s">
        <v>113</v>
      </c>
      <c r="AV3" s="436"/>
      <c r="AW3" s="437"/>
      <c r="AX3" s="435" t="s">
        <v>271</v>
      </c>
      <c r="AY3" s="436"/>
      <c r="AZ3" s="437"/>
      <c r="BA3" s="435" t="s">
        <v>139</v>
      </c>
      <c r="BB3" s="436"/>
      <c r="BC3" s="437"/>
      <c r="BD3" s="435" t="s">
        <v>272</v>
      </c>
      <c r="BE3" s="436"/>
      <c r="BF3" s="437"/>
      <c r="BI3" s="533" t="s">
        <v>98</v>
      </c>
      <c r="BJ3" s="534"/>
      <c r="BK3" s="534"/>
      <c r="BL3" s="534"/>
      <c r="BM3" s="535"/>
      <c r="BN3" s="488">
        <f>BF56</f>
        <v>1130</v>
      </c>
      <c r="BO3" s="489"/>
      <c r="BR3" s="492"/>
      <c r="BS3" s="493"/>
      <c r="BT3" s="493"/>
      <c r="BU3" s="494"/>
      <c r="BV3" s="501"/>
      <c r="BW3" s="502"/>
      <c r="BX3" s="505"/>
      <c r="BY3" s="506"/>
      <c r="BZ3" s="509"/>
      <c r="CA3" s="510"/>
      <c r="CB3" s="513"/>
      <c r="CC3" s="514"/>
      <c r="CP3" s="7"/>
      <c r="CQ3" s="7"/>
      <c r="CR3" s="7"/>
      <c r="DA3" s="22"/>
      <c r="DB3" s="22"/>
    </row>
    <row r="4" spans="3:120" ht="15.95" customHeight="1" thickBot="1">
      <c r="C4" s="576"/>
      <c r="D4" s="577"/>
      <c r="E4" s="577"/>
      <c r="F4" s="578"/>
      <c r="G4" s="526"/>
      <c r="H4" s="527"/>
      <c r="I4" s="527"/>
      <c r="J4" s="527"/>
      <c r="K4" s="527"/>
      <c r="L4" s="527"/>
      <c r="M4" s="528"/>
      <c r="R4" s="526"/>
      <c r="S4" s="527"/>
      <c r="T4" s="527"/>
      <c r="U4" s="527"/>
      <c r="V4" s="527"/>
      <c r="W4" s="527"/>
      <c r="X4" s="528"/>
      <c r="AC4" s="526"/>
      <c r="AD4" s="527"/>
      <c r="AE4" s="527"/>
      <c r="AF4" s="527"/>
      <c r="AG4" s="527"/>
      <c r="AH4" s="527"/>
      <c r="AI4" s="528"/>
      <c r="AL4" s="438"/>
      <c r="AM4" s="439"/>
      <c r="AN4" s="439"/>
      <c r="AO4" s="438"/>
      <c r="AP4" s="439"/>
      <c r="AQ4" s="440"/>
      <c r="AR4" s="438"/>
      <c r="AS4" s="439"/>
      <c r="AT4" s="440"/>
      <c r="AU4" s="438"/>
      <c r="AV4" s="439"/>
      <c r="AW4" s="440"/>
      <c r="AX4" s="438"/>
      <c r="AY4" s="439"/>
      <c r="AZ4" s="440"/>
      <c r="BA4" s="438"/>
      <c r="BB4" s="439"/>
      <c r="BC4" s="440"/>
      <c r="BD4" s="438"/>
      <c r="BE4" s="439"/>
      <c r="BF4" s="440"/>
      <c r="BI4" s="536"/>
      <c r="BJ4" s="537"/>
      <c r="BK4" s="537"/>
      <c r="BL4" s="537"/>
      <c r="BM4" s="538"/>
      <c r="BN4" s="490"/>
      <c r="BO4" s="491"/>
      <c r="BR4" s="495"/>
      <c r="BS4" s="496"/>
      <c r="BT4" s="496"/>
      <c r="BU4" s="497"/>
      <c r="BV4" s="503"/>
      <c r="BW4" s="504"/>
      <c r="BX4" s="507"/>
      <c r="BY4" s="508"/>
      <c r="BZ4" s="511"/>
      <c r="CA4" s="512"/>
      <c r="CB4" s="515"/>
      <c r="CC4" s="516"/>
      <c r="CP4" s="7"/>
      <c r="CQ4" s="7"/>
      <c r="CR4" s="7"/>
      <c r="DA4" s="22"/>
      <c r="DB4" s="22"/>
    </row>
    <row r="5" spans="3:120" ht="15.95" customHeight="1" thickBot="1">
      <c r="C5" s="576"/>
      <c r="D5" s="577"/>
      <c r="E5" s="577"/>
      <c r="F5" s="578"/>
      <c r="G5" s="486" t="s">
        <v>273</v>
      </c>
      <c r="H5" s="484" t="s">
        <v>274</v>
      </c>
      <c r="I5" s="484" t="s">
        <v>16</v>
      </c>
      <c r="J5" s="484" t="s">
        <v>13</v>
      </c>
      <c r="K5" s="484" t="s">
        <v>275</v>
      </c>
      <c r="L5" s="484" t="s">
        <v>276</v>
      </c>
      <c r="M5" s="484" t="s">
        <v>277</v>
      </c>
      <c r="R5" s="486" t="s">
        <v>273</v>
      </c>
      <c r="S5" s="484" t="s">
        <v>274</v>
      </c>
      <c r="T5" s="484" t="s">
        <v>16</v>
      </c>
      <c r="U5" s="484" t="s">
        <v>13</v>
      </c>
      <c r="V5" s="484" t="s">
        <v>275</v>
      </c>
      <c r="W5" s="484" t="s">
        <v>276</v>
      </c>
      <c r="X5" s="484" t="s">
        <v>277</v>
      </c>
      <c r="AC5" s="486" t="s">
        <v>273</v>
      </c>
      <c r="AD5" s="484" t="s">
        <v>274</v>
      </c>
      <c r="AE5" s="484" t="s">
        <v>16</v>
      </c>
      <c r="AF5" s="484" t="s">
        <v>13</v>
      </c>
      <c r="AG5" s="484" t="s">
        <v>275</v>
      </c>
      <c r="AH5" s="484" t="s">
        <v>276</v>
      </c>
      <c r="AI5" s="484" t="s">
        <v>277</v>
      </c>
      <c r="AL5" s="441"/>
      <c r="AM5" s="442"/>
      <c r="AN5" s="442"/>
      <c r="AO5" s="441"/>
      <c r="AP5" s="442"/>
      <c r="AQ5" s="443"/>
      <c r="AR5" s="441"/>
      <c r="AS5" s="442"/>
      <c r="AT5" s="443"/>
      <c r="AU5" s="441"/>
      <c r="AV5" s="442"/>
      <c r="AW5" s="443"/>
      <c r="AX5" s="441"/>
      <c r="AY5" s="442"/>
      <c r="AZ5" s="443"/>
      <c r="BA5" s="441"/>
      <c r="BB5" s="442"/>
      <c r="BC5" s="443"/>
      <c r="BD5" s="441"/>
      <c r="BE5" s="442"/>
      <c r="BF5" s="443"/>
      <c r="BN5" s="1"/>
      <c r="BO5" s="1"/>
      <c r="BR5" s="495"/>
      <c r="BS5" s="496"/>
      <c r="BT5" s="496"/>
      <c r="BU5" s="497"/>
      <c r="BV5" s="433">
        <f>BC48</f>
        <v>7</v>
      </c>
      <c r="BW5" s="433">
        <f>BD48</f>
        <v>2</v>
      </c>
      <c r="BX5" s="433">
        <f>BC50</f>
        <v>5</v>
      </c>
      <c r="BY5" s="433">
        <f>BD50</f>
        <v>0</v>
      </c>
      <c r="BZ5" s="433">
        <f>BC52</f>
        <v>6</v>
      </c>
      <c r="CA5" s="433">
        <f>BD52</f>
        <v>0</v>
      </c>
      <c r="CB5" s="433">
        <f>BC54</f>
        <v>6</v>
      </c>
      <c r="CC5" s="433">
        <f>BD54</f>
        <v>0</v>
      </c>
      <c r="CD5" s="444">
        <f>SUM(BV5:CC6)</f>
        <v>26</v>
      </c>
    </row>
    <row r="6" spans="3:120" ht="15.95" customHeight="1" thickBot="1">
      <c r="C6" s="579"/>
      <c r="D6" s="580"/>
      <c r="E6" s="580"/>
      <c r="F6" s="581"/>
      <c r="G6" s="487"/>
      <c r="H6" s="485"/>
      <c r="I6" s="485"/>
      <c r="J6" s="485"/>
      <c r="K6" s="485"/>
      <c r="L6" s="485"/>
      <c r="M6" s="485"/>
      <c r="R6" s="487"/>
      <c r="S6" s="485"/>
      <c r="T6" s="485"/>
      <c r="U6" s="485"/>
      <c r="V6" s="485"/>
      <c r="W6" s="485"/>
      <c r="X6" s="485"/>
      <c r="AC6" s="487"/>
      <c r="AD6" s="485"/>
      <c r="AE6" s="485"/>
      <c r="AF6" s="485"/>
      <c r="AG6" s="485"/>
      <c r="AH6" s="485"/>
      <c r="AI6" s="485"/>
      <c r="AL6" s="455">
        <f>L37+W37+AH37+L75+W75+AH75</f>
        <v>659.2</v>
      </c>
      <c r="AM6" s="456"/>
      <c r="AN6" s="457"/>
      <c r="AO6" s="560">
        <f>M37+X37+AI37+M75+X75+AI75</f>
        <v>557.96</v>
      </c>
      <c r="AP6" s="456"/>
      <c r="AQ6" s="457"/>
      <c r="AR6" s="446">
        <v>90</v>
      </c>
      <c r="AS6" s="447"/>
      <c r="AT6" s="448"/>
      <c r="AU6" s="455">
        <f>AL6+AR6</f>
        <v>749.2</v>
      </c>
      <c r="AV6" s="456"/>
      <c r="AW6" s="457"/>
      <c r="AX6" s="582">
        <f>K37+V37+AG37+K75+V75+AG75</f>
        <v>32</v>
      </c>
      <c r="AY6" s="456"/>
      <c r="AZ6" s="457"/>
      <c r="BA6" s="559">
        <v>44281</v>
      </c>
      <c r="BB6" s="456"/>
      <c r="BC6" s="457"/>
      <c r="BD6" s="560">
        <v>655.48</v>
      </c>
      <c r="BE6" s="561"/>
      <c r="BF6" s="562"/>
      <c r="BI6" s="583" t="s">
        <v>278</v>
      </c>
      <c r="BJ6" s="594"/>
      <c r="BK6" s="594"/>
      <c r="BL6" s="594"/>
      <c r="BM6" s="584"/>
      <c r="BN6" s="427">
        <f>BD6</f>
        <v>655.48</v>
      </c>
      <c r="BO6" s="428"/>
      <c r="BR6" s="495"/>
      <c r="BS6" s="496"/>
      <c r="BT6" s="496"/>
      <c r="BU6" s="497"/>
      <c r="BV6" s="434"/>
      <c r="BW6" s="434"/>
      <c r="BX6" s="434"/>
      <c r="BY6" s="434"/>
      <c r="BZ6" s="434"/>
      <c r="CA6" s="434"/>
      <c r="CB6" s="434"/>
      <c r="CC6" s="434"/>
      <c r="CD6" s="445"/>
      <c r="CP6" s="20"/>
      <c r="CQ6" s="20"/>
      <c r="CR6" s="20"/>
      <c r="CS6" s="20"/>
      <c r="CT6" s="20"/>
      <c r="CU6" s="20"/>
      <c r="CV6" s="20"/>
      <c r="CW6" s="20"/>
      <c r="CX6" s="20"/>
      <c r="CY6" s="20"/>
      <c r="DD6" s="20"/>
      <c r="DE6" s="20"/>
      <c r="DF6" s="20"/>
      <c r="DG6" s="20"/>
      <c r="DH6" s="20"/>
      <c r="DI6" s="20"/>
      <c r="DJ6" s="20"/>
      <c r="DK6" s="20"/>
      <c r="DL6" s="20"/>
      <c r="DM6" s="20"/>
    </row>
    <row r="7" spans="3:120" ht="15.95" customHeight="1">
      <c r="C7" s="545"/>
      <c r="D7" s="547" t="s">
        <v>279</v>
      </c>
      <c r="E7" s="548"/>
      <c r="F7" s="549"/>
      <c r="G7" s="553">
        <v>30.5</v>
      </c>
      <c r="H7" s="555">
        <v>25.8</v>
      </c>
      <c r="I7" s="557"/>
      <c r="J7" s="557"/>
      <c r="K7" s="557">
        <f>I7+J7</f>
        <v>0</v>
      </c>
      <c r="L7" s="593">
        <f>G7*K7</f>
        <v>0</v>
      </c>
      <c r="M7" s="519">
        <f>H7*K7</f>
        <v>0</v>
      </c>
      <c r="N7" s="545"/>
      <c r="O7" s="547" t="s">
        <v>279</v>
      </c>
      <c r="P7" s="548"/>
      <c r="Q7" s="549"/>
      <c r="R7" s="553">
        <v>9.4499999999999993</v>
      </c>
      <c r="S7" s="517">
        <v>8.01</v>
      </c>
      <c r="T7" s="557"/>
      <c r="U7" s="557"/>
      <c r="V7" s="557">
        <f>T7+U7</f>
        <v>0</v>
      </c>
      <c r="W7" s="589">
        <f>R7*V7</f>
        <v>0</v>
      </c>
      <c r="X7" s="591">
        <f>S7*V7</f>
        <v>0</v>
      </c>
      <c r="Y7" s="545"/>
      <c r="Z7" s="547" t="s">
        <v>279</v>
      </c>
      <c r="AA7" s="548"/>
      <c r="AB7" s="549"/>
      <c r="AC7" s="569"/>
      <c r="AD7" s="571"/>
      <c r="AE7" s="557"/>
      <c r="AF7" s="557"/>
      <c r="AG7" s="557">
        <f>AE7+AF7</f>
        <v>0</v>
      </c>
      <c r="AH7" s="431">
        <f>AC7*AG7</f>
        <v>0</v>
      </c>
      <c r="AI7" s="519">
        <f>AD7*AG7</f>
        <v>0</v>
      </c>
      <c r="AL7" s="458"/>
      <c r="AM7" s="459"/>
      <c r="AN7" s="460"/>
      <c r="AO7" s="458"/>
      <c r="AP7" s="459"/>
      <c r="AQ7" s="460"/>
      <c r="AR7" s="449"/>
      <c r="AS7" s="450"/>
      <c r="AT7" s="451"/>
      <c r="AU7" s="458"/>
      <c r="AV7" s="459"/>
      <c r="AW7" s="460"/>
      <c r="AX7" s="458"/>
      <c r="AY7" s="459"/>
      <c r="AZ7" s="460"/>
      <c r="BA7" s="458"/>
      <c r="BB7" s="459"/>
      <c r="BC7" s="460"/>
      <c r="BD7" s="563"/>
      <c r="BE7" s="564"/>
      <c r="BF7" s="565"/>
      <c r="BI7" s="529"/>
      <c r="BJ7" s="530"/>
      <c r="BK7" s="530"/>
      <c r="BL7" s="530"/>
      <c r="BM7" s="531"/>
      <c r="BN7" s="429"/>
      <c r="BO7" s="430"/>
      <c r="BR7" s="495"/>
      <c r="BS7" s="496"/>
      <c r="BT7" s="496"/>
      <c r="BU7" s="497"/>
      <c r="BV7" s="521" t="s">
        <v>16</v>
      </c>
      <c r="BW7" s="521" t="s">
        <v>13</v>
      </c>
      <c r="BX7" s="521" t="s">
        <v>16</v>
      </c>
      <c r="BY7" s="521" t="s">
        <v>13</v>
      </c>
      <c r="BZ7" s="521" t="s">
        <v>16</v>
      </c>
      <c r="CA7" s="521" t="s">
        <v>13</v>
      </c>
      <c r="CB7" s="521" t="s">
        <v>16</v>
      </c>
      <c r="CC7" s="521" t="s">
        <v>13</v>
      </c>
      <c r="CD7" s="484" t="s">
        <v>275</v>
      </c>
      <c r="CE7" s="484" t="s">
        <v>277</v>
      </c>
      <c r="CF7" s="583" t="s">
        <v>280</v>
      </c>
      <c r="CG7" s="594"/>
      <c r="CH7" s="584"/>
      <c r="CI7" s="596" t="s">
        <v>281</v>
      </c>
      <c r="CJ7" s="596" t="s">
        <v>282</v>
      </c>
      <c r="CK7" s="583" t="s">
        <v>272</v>
      </c>
      <c r="CL7" s="584"/>
      <c r="CM7" s="587" t="s">
        <v>139</v>
      </c>
      <c r="CQ7" s="8"/>
      <c r="CV7" s="21"/>
      <c r="CW7" s="21"/>
      <c r="DA7" s="22"/>
      <c r="DB7" s="22"/>
      <c r="DE7" s="8"/>
      <c r="DJ7" s="21"/>
      <c r="DK7" s="21"/>
      <c r="DO7" s="22"/>
      <c r="DP7" s="22"/>
    </row>
    <row r="8" spans="3:120" ht="15.95" customHeight="1" thickBot="1">
      <c r="C8" s="546"/>
      <c r="D8" s="550"/>
      <c r="E8" s="551"/>
      <c r="F8" s="552"/>
      <c r="G8" s="554"/>
      <c r="H8" s="556"/>
      <c r="I8" s="558"/>
      <c r="J8" s="558"/>
      <c r="K8" s="558"/>
      <c r="L8" s="558"/>
      <c r="M8" s="520"/>
      <c r="N8" s="546"/>
      <c r="O8" s="550"/>
      <c r="P8" s="551"/>
      <c r="Q8" s="552"/>
      <c r="R8" s="554"/>
      <c r="S8" s="518"/>
      <c r="T8" s="558"/>
      <c r="U8" s="558"/>
      <c r="V8" s="558"/>
      <c r="W8" s="590"/>
      <c r="X8" s="592"/>
      <c r="Y8" s="546"/>
      <c r="Z8" s="550"/>
      <c r="AA8" s="551"/>
      <c r="AB8" s="552"/>
      <c r="AC8" s="570"/>
      <c r="AD8" s="572"/>
      <c r="AE8" s="558"/>
      <c r="AF8" s="558"/>
      <c r="AG8" s="558"/>
      <c r="AH8" s="432"/>
      <c r="AI8" s="520"/>
      <c r="AL8" s="461"/>
      <c r="AM8" s="462"/>
      <c r="AN8" s="463"/>
      <c r="AO8" s="461"/>
      <c r="AP8" s="462"/>
      <c r="AQ8" s="463"/>
      <c r="AR8" s="452"/>
      <c r="AS8" s="453"/>
      <c r="AT8" s="454"/>
      <c r="AU8" s="461"/>
      <c r="AV8" s="462"/>
      <c r="AW8" s="463"/>
      <c r="AX8" s="461"/>
      <c r="AY8" s="462"/>
      <c r="AZ8" s="463"/>
      <c r="BA8" s="461"/>
      <c r="BB8" s="462"/>
      <c r="BC8" s="463"/>
      <c r="BD8" s="566"/>
      <c r="BE8" s="567"/>
      <c r="BF8" s="568"/>
      <c r="BI8" s="529" t="s">
        <v>141</v>
      </c>
      <c r="BJ8" s="530"/>
      <c r="BK8" s="530"/>
      <c r="BL8" s="530"/>
      <c r="BM8" s="531"/>
      <c r="BN8" s="532">
        <f>AT24</f>
        <v>116.16000000000001</v>
      </c>
      <c r="BO8" s="430"/>
      <c r="BR8" s="498"/>
      <c r="BS8" s="499"/>
      <c r="BT8" s="499"/>
      <c r="BU8" s="500"/>
      <c r="BV8" s="522"/>
      <c r="BW8" s="522"/>
      <c r="BX8" s="522"/>
      <c r="BY8" s="522"/>
      <c r="BZ8" s="522"/>
      <c r="CA8" s="522"/>
      <c r="CB8" s="522"/>
      <c r="CC8" s="522"/>
      <c r="CD8" s="485"/>
      <c r="CE8" s="485"/>
      <c r="CF8" s="585"/>
      <c r="CG8" s="595"/>
      <c r="CH8" s="586"/>
      <c r="CI8" s="597"/>
      <c r="CJ8" s="597"/>
      <c r="CK8" s="585"/>
      <c r="CL8" s="586"/>
      <c r="CM8" s="588"/>
      <c r="CX8" s="21"/>
      <c r="CY8" s="21"/>
      <c r="DA8" s="22"/>
      <c r="DB8" s="22"/>
      <c r="DL8" s="21"/>
      <c r="DM8" s="21"/>
      <c r="DO8" s="22"/>
      <c r="DP8" s="22"/>
    </row>
    <row r="9" spans="3:120" ht="15.95" customHeight="1">
      <c r="C9" s="598"/>
      <c r="D9" s="547" t="s">
        <v>283</v>
      </c>
      <c r="E9" s="548"/>
      <c r="F9" s="549"/>
      <c r="G9" s="553">
        <v>32.5</v>
      </c>
      <c r="H9" s="555">
        <v>27.5</v>
      </c>
      <c r="I9" s="557">
        <v>8</v>
      </c>
      <c r="J9" s="557">
        <v>2</v>
      </c>
      <c r="K9" s="557">
        <f>I9+J9</f>
        <v>10</v>
      </c>
      <c r="L9" s="593">
        <f>G9*K9</f>
        <v>325</v>
      </c>
      <c r="M9" s="519">
        <f>H9*K9</f>
        <v>275</v>
      </c>
      <c r="N9" s="598"/>
      <c r="O9" s="547" t="s">
        <v>283</v>
      </c>
      <c r="P9" s="548"/>
      <c r="Q9" s="549"/>
      <c r="R9" s="553">
        <v>10.85</v>
      </c>
      <c r="S9" s="517">
        <v>9.1999999999999993</v>
      </c>
      <c r="T9" s="557"/>
      <c r="U9" s="557"/>
      <c r="V9" s="557">
        <f>T9+U9</f>
        <v>0</v>
      </c>
      <c r="W9" s="593">
        <f>R9*V9</f>
        <v>0</v>
      </c>
      <c r="X9" s="519">
        <f>S9*V9</f>
        <v>0</v>
      </c>
      <c r="Y9" s="598"/>
      <c r="Z9" s="547" t="s">
        <v>283</v>
      </c>
      <c r="AA9" s="548"/>
      <c r="AB9" s="549"/>
      <c r="AC9" s="569"/>
      <c r="AD9" s="571"/>
      <c r="AE9" s="557"/>
      <c r="AF9" s="557"/>
      <c r="AG9" s="557">
        <f>AE9+AF9</f>
        <v>0</v>
      </c>
      <c r="AH9" s="593">
        <f>AC9*AG9</f>
        <v>0</v>
      </c>
      <c r="AI9" s="519">
        <f>AD9*AG9</f>
        <v>0</v>
      </c>
      <c r="BI9" s="529"/>
      <c r="BJ9" s="530"/>
      <c r="BK9" s="530"/>
      <c r="BL9" s="530"/>
      <c r="BM9" s="531"/>
      <c r="BN9" s="429"/>
      <c r="BO9" s="430"/>
      <c r="BR9" s="539" t="s">
        <v>284</v>
      </c>
      <c r="BS9" s="540"/>
      <c r="BT9" s="540"/>
      <c r="BU9" s="541"/>
      <c r="BV9" s="466">
        <v>1</v>
      </c>
      <c r="BW9" s="480">
        <v>0</v>
      </c>
      <c r="BX9" s="466">
        <v>0</v>
      </c>
      <c r="BY9" s="478">
        <v>0</v>
      </c>
      <c r="BZ9" s="480">
        <v>1</v>
      </c>
      <c r="CA9" s="480">
        <v>0</v>
      </c>
      <c r="CB9" s="466">
        <v>1</v>
      </c>
      <c r="CC9" s="478">
        <v>0</v>
      </c>
      <c r="CD9" s="482">
        <f>SUM(BV9:CC10)</f>
        <v>3</v>
      </c>
      <c r="CE9" s="603">
        <f>BV9*55+BW9*55+BX9*55+BY9*55+BZ9*30+CA9*30+CB9*30+CC9*30</f>
        <v>115</v>
      </c>
      <c r="CF9" s="468" t="s">
        <v>285</v>
      </c>
      <c r="CG9" s="469"/>
      <c r="CH9" s="470"/>
      <c r="CI9" s="474">
        <v>120</v>
      </c>
      <c r="CJ9" s="474">
        <v>0</v>
      </c>
      <c r="CK9" s="468" t="s">
        <v>286</v>
      </c>
      <c r="CL9" s="470"/>
      <c r="CM9" s="476"/>
    </row>
    <row r="10" spans="3:120" ht="15.95" customHeight="1" thickBot="1">
      <c r="C10" s="598"/>
      <c r="D10" s="550"/>
      <c r="E10" s="551"/>
      <c r="F10" s="552"/>
      <c r="G10" s="554"/>
      <c r="H10" s="556"/>
      <c r="I10" s="558"/>
      <c r="J10" s="558"/>
      <c r="K10" s="558"/>
      <c r="L10" s="599"/>
      <c r="M10" s="520"/>
      <c r="N10" s="598"/>
      <c r="O10" s="550"/>
      <c r="P10" s="551"/>
      <c r="Q10" s="552"/>
      <c r="R10" s="554"/>
      <c r="S10" s="518"/>
      <c r="T10" s="558"/>
      <c r="U10" s="558"/>
      <c r="V10" s="558"/>
      <c r="W10" s="558"/>
      <c r="X10" s="520"/>
      <c r="Y10" s="598"/>
      <c r="Z10" s="550"/>
      <c r="AA10" s="551"/>
      <c r="AB10" s="552"/>
      <c r="AC10" s="570"/>
      <c r="AD10" s="572"/>
      <c r="AE10" s="558"/>
      <c r="AF10" s="558"/>
      <c r="AG10" s="558"/>
      <c r="AH10" s="558"/>
      <c r="AI10" s="520"/>
      <c r="BD10" s="6"/>
      <c r="BI10" s="529" t="s">
        <v>287</v>
      </c>
      <c r="BJ10" s="530"/>
      <c r="BK10" s="530"/>
      <c r="BL10" s="530"/>
      <c r="BM10" s="531"/>
      <c r="BN10" s="532">
        <v>66.459999999999994</v>
      </c>
      <c r="BO10" s="600"/>
      <c r="BR10" s="542"/>
      <c r="BS10" s="543"/>
      <c r="BT10" s="543"/>
      <c r="BU10" s="544"/>
      <c r="BV10" s="467"/>
      <c r="BW10" s="481"/>
      <c r="BX10" s="467"/>
      <c r="BY10" s="479"/>
      <c r="BZ10" s="481"/>
      <c r="CA10" s="481"/>
      <c r="CB10" s="467"/>
      <c r="CC10" s="479"/>
      <c r="CD10" s="483"/>
      <c r="CE10" s="604"/>
      <c r="CF10" s="471"/>
      <c r="CG10" s="472"/>
      <c r="CH10" s="473"/>
      <c r="CI10" s="475"/>
      <c r="CJ10" s="475"/>
      <c r="CK10" s="471"/>
      <c r="CL10" s="473"/>
      <c r="CM10" s="477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</row>
    <row r="11" spans="3:120" ht="15.95" customHeight="1" thickBot="1">
      <c r="C11" s="627"/>
      <c r="D11" s="547" t="s">
        <v>288</v>
      </c>
      <c r="E11" s="548"/>
      <c r="F11" s="549"/>
      <c r="G11" s="553"/>
      <c r="H11" s="555"/>
      <c r="I11" s="557"/>
      <c r="J11" s="557"/>
      <c r="K11" s="557">
        <f>I11+J11</f>
        <v>0</v>
      </c>
      <c r="L11" s="593">
        <f>G11*K11</f>
        <v>0</v>
      </c>
      <c r="M11" s="519">
        <f>H11*K11</f>
        <v>0</v>
      </c>
      <c r="N11" s="627"/>
      <c r="O11" s="547" t="s">
        <v>288</v>
      </c>
      <c r="P11" s="548"/>
      <c r="Q11" s="549"/>
      <c r="R11" s="553"/>
      <c r="S11" s="571"/>
      <c r="T11" s="557"/>
      <c r="U11" s="557"/>
      <c r="V11" s="557">
        <f>T11+U11</f>
        <v>0</v>
      </c>
      <c r="W11" s="593">
        <f>R11*V11</f>
        <v>0</v>
      </c>
      <c r="X11" s="519">
        <f>S11*V11</f>
        <v>0</v>
      </c>
      <c r="Y11" s="627"/>
      <c r="Z11" s="547" t="s">
        <v>288</v>
      </c>
      <c r="AA11" s="548"/>
      <c r="AB11" s="549"/>
      <c r="AC11" s="569"/>
      <c r="AD11" s="571"/>
      <c r="AE11" s="557"/>
      <c r="AF11" s="557"/>
      <c r="AG11" s="557">
        <f>AE11+AF11</f>
        <v>0</v>
      </c>
      <c r="AH11" s="593">
        <f>AC11*AG11</f>
        <v>0</v>
      </c>
      <c r="AI11" s="519">
        <f>AD11*AG11</f>
        <v>0</v>
      </c>
      <c r="BI11" s="585"/>
      <c r="BJ11" s="595"/>
      <c r="BK11" s="595"/>
      <c r="BL11" s="595"/>
      <c r="BM11" s="586"/>
      <c r="BN11" s="601"/>
      <c r="BO11" s="602"/>
      <c r="BR11" s="539" t="s">
        <v>12</v>
      </c>
      <c r="BS11" s="540"/>
      <c r="BT11" s="540"/>
      <c r="BU11" s="541"/>
      <c r="BV11" s="466">
        <v>1</v>
      </c>
      <c r="BW11" s="480">
        <v>0</v>
      </c>
      <c r="BX11" s="466">
        <v>1</v>
      </c>
      <c r="BY11" s="478">
        <v>0</v>
      </c>
      <c r="BZ11" s="480">
        <v>0</v>
      </c>
      <c r="CA11" s="480">
        <v>0</v>
      </c>
      <c r="CB11" s="466">
        <v>0</v>
      </c>
      <c r="CC11" s="478">
        <v>0</v>
      </c>
      <c r="CD11" s="482">
        <f>SUM(BV11:CC12)</f>
        <v>2</v>
      </c>
      <c r="CE11" s="603">
        <f>BV11*55+BW11*55+BX11*55+BY11*55+BZ11*30+CA11*30+CB11*30+CC11*30</f>
        <v>110</v>
      </c>
      <c r="CF11" s="468" t="s">
        <v>289</v>
      </c>
      <c r="CG11" s="469"/>
      <c r="CH11" s="470"/>
      <c r="CI11" s="474">
        <v>0</v>
      </c>
      <c r="CJ11" s="474">
        <v>105</v>
      </c>
      <c r="CK11" s="468" t="s">
        <v>286</v>
      </c>
      <c r="CL11" s="470"/>
      <c r="CM11" s="476"/>
      <c r="CN11" s="464">
        <v>44472</v>
      </c>
      <c r="CQ11" s="8"/>
      <c r="CV11" s="21"/>
      <c r="CW11" s="21"/>
      <c r="DA11" s="22"/>
      <c r="DB11" s="22"/>
      <c r="DE11" s="8"/>
      <c r="DJ11" s="21"/>
      <c r="DK11" s="21"/>
      <c r="DO11" s="22"/>
      <c r="DP11" s="22"/>
    </row>
    <row r="12" spans="3:120" ht="15.95" customHeight="1" thickBot="1">
      <c r="C12" s="627"/>
      <c r="D12" s="550"/>
      <c r="E12" s="551"/>
      <c r="F12" s="552"/>
      <c r="G12" s="554"/>
      <c r="H12" s="556"/>
      <c r="I12" s="558"/>
      <c r="J12" s="558"/>
      <c r="K12" s="558"/>
      <c r="L12" s="558"/>
      <c r="M12" s="520"/>
      <c r="N12" s="627"/>
      <c r="O12" s="550"/>
      <c r="P12" s="551"/>
      <c r="Q12" s="552"/>
      <c r="R12" s="554"/>
      <c r="S12" s="572"/>
      <c r="T12" s="558"/>
      <c r="U12" s="558"/>
      <c r="V12" s="558"/>
      <c r="W12" s="558"/>
      <c r="X12" s="520"/>
      <c r="Y12" s="627"/>
      <c r="Z12" s="550"/>
      <c r="AA12" s="551"/>
      <c r="AB12" s="552"/>
      <c r="AC12" s="570"/>
      <c r="AD12" s="572"/>
      <c r="AE12" s="558"/>
      <c r="AF12" s="558"/>
      <c r="AG12" s="558"/>
      <c r="AH12" s="558"/>
      <c r="AI12" s="520"/>
      <c r="AL12" s="608" t="s">
        <v>141</v>
      </c>
      <c r="AM12" s="609"/>
      <c r="AN12" s="609"/>
      <c r="AO12" s="610"/>
      <c r="AX12" s="492"/>
      <c r="AY12" s="493"/>
      <c r="AZ12" s="493"/>
      <c r="BA12" s="494"/>
      <c r="BI12" s="617" t="s">
        <v>145</v>
      </c>
      <c r="BJ12" s="618"/>
      <c r="BK12" s="618"/>
      <c r="BL12" s="618"/>
      <c r="BM12" s="619"/>
      <c r="BN12" s="623">
        <f>SUM(BN6:BO11)</f>
        <v>838.1</v>
      </c>
      <c r="BO12" s="624"/>
      <c r="BR12" s="542"/>
      <c r="BS12" s="543"/>
      <c r="BT12" s="543"/>
      <c r="BU12" s="544"/>
      <c r="BV12" s="467"/>
      <c r="BW12" s="481"/>
      <c r="BX12" s="467"/>
      <c r="BY12" s="479"/>
      <c r="BZ12" s="481"/>
      <c r="CA12" s="481"/>
      <c r="CB12" s="467"/>
      <c r="CC12" s="479"/>
      <c r="CD12" s="483"/>
      <c r="CE12" s="604"/>
      <c r="CF12" s="471"/>
      <c r="CG12" s="472"/>
      <c r="CH12" s="473"/>
      <c r="CI12" s="475"/>
      <c r="CJ12" s="475"/>
      <c r="CK12" s="471"/>
      <c r="CL12" s="473"/>
      <c r="CM12" s="477"/>
      <c r="CN12" s="465"/>
      <c r="CX12" s="21"/>
      <c r="CY12" s="21"/>
      <c r="DA12" s="22"/>
      <c r="DB12" s="22"/>
      <c r="DL12" s="21"/>
      <c r="DM12" s="21"/>
      <c r="DO12" s="22"/>
      <c r="DP12" s="22"/>
    </row>
    <row r="13" spans="3:120" ht="15.95" customHeight="1" thickBot="1">
      <c r="C13" s="607"/>
      <c r="D13" s="547" t="s">
        <v>290</v>
      </c>
      <c r="E13" s="548"/>
      <c r="F13" s="549"/>
      <c r="G13" s="553">
        <v>30.5</v>
      </c>
      <c r="H13" s="555">
        <v>25.8</v>
      </c>
      <c r="I13" s="557">
        <v>6</v>
      </c>
      <c r="J13" s="557"/>
      <c r="K13" s="557">
        <f>I13+J13</f>
        <v>6</v>
      </c>
      <c r="L13" s="593">
        <f>G13*K13</f>
        <v>183</v>
      </c>
      <c r="M13" s="519">
        <f>H13*K13</f>
        <v>154.80000000000001</v>
      </c>
      <c r="N13" s="607"/>
      <c r="O13" s="547" t="s">
        <v>290</v>
      </c>
      <c r="P13" s="548"/>
      <c r="Q13" s="549"/>
      <c r="R13" s="553">
        <v>9.4499999999999993</v>
      </c>
      <c r="S13" s="517">
        <v>8.01</v>
      </c>
      <c r="T13" s="557"/>
      <c r="U13" s="557"/>
      <c r="V13" s="557">
        <f>T13+U13</f>
        <v>0</v>
      </c>
      <c r="W13" s="593">
        <f>R13*V13</f>
        <v>0</v>
      </c>
      <c r="X13" s="519">
        <f>S13*V13</f>
        <v>0</v>
      </c>
      <c r="Y13" s="607"/>
      <c r="Z13" s="547" t="s">
        <v>290</v>
      </c>
      <c r="AA13" s="548"/>
      <c r="AB13" s="549"/>
      <c r="AC13" s="569"/>
      <c r="AD13" s="571"/>
      <c r="AE13" s="557"/>
      <c r="AF13" s="557"/>
      <c r="AG13" s="557">
        <f>AE13+AF13</f>
        <v>0</v>
      </c>
      <c r="AH13" s="593">
        <f>AC13*AG13</f>
        <v>0</v>
      </c>
      <c r="AI13" s="519">
        <f>AD13*AG13</f>
        <v>0</v>
      </c>
      <c r="AL13" s="611"/>
      <c r="AM13" s="612"/>
      <c r="AN13" s="612"/>
      <c r="AO13" s="613"/>
      <c r="AX13" s="495"/>
      <c r="AY13" s="496"/>
      <c r="AZ13" s="496"/>
      <c r="BA13" s="497"/>
      <c r="BI13" s="620"/>
      <c r="BJ13" s="621"/>
      <c r="BK13" s="621"/>
      <c r="BL13" s="621"/>
      <c r="BM13" s="622"/>
      <c r="BN13" s="625"/>
      <c r="BO13" s="626"/>
      <c r="BR13" s="539" t="s">
        <v>57</v>
      </c>
      <c r="BS13" s="540"/>
      <c r="BT13" s="540"/>
      <c r="BU13" s="541"/>
      <c r="BV13" s="466">
        <v>1</v>
      </c>
      <c r="BW13" s="480">
        <v>0</v>
      </c>
      <c r="BX13" s="466">
        <v>0</v>
      </c>
      <c r="BY13" s="478">
        <v>0</v>
      </c>
      <c r="BZ13" s="480">
        <v>0</v>
      </c>
      <c r="CA13" s="480">
        <v>0</v>
      </c>
      <c r="CB13" s="466">
        <v>1</v>
      </c>
      <c r="CC13" s="478">
        <v>0</v>
      </c>
      <c r="CD13" s="482">
        <f>SUM(BV13:CC14)</f>
        <v>2</v>
      </c>
      <c r="CE13" s="603">
        <f>BV13*55+BW13*55+BX13*55+BY13*55+BZ13*30+CA13*30+CB13*30+CC13*30</f>
        <v>85</v>
      </c>
      <c r="CF13" s="468" t="s">
        <v>291</v>
      </c>
      <c r="CG13" s="469"/>
      <c r="CH13" s="470"/>
      <c r="CI13" s="474">
        <v>50</v>
      </c>
      <c r="CJ13" s="474">
        <v>30</v>
      </c>
      <c r="CK13" s="468" t="s">
        <v>286</v>
      </c>
      <c r="CL13" s="470"/>
      <c r="CM13" s="476"/>
    </row>
    <row r="14" spans="3:120" ht="15.95" customHeight="1" thickBot="1">
      <c r="C14" s="607"/>
      <c r="D14" s="550"/>
      <c r="E14" s="551"/>
      <c r="F14" s="552"/>
      <c r="G14" s="554"/>
      <c r="H14" s="556"/>
      <c r="I14" s="558"/>
      <c r="J14" s="558"/>
      <c r="K14" s="558"/>
      <c r="L14" s="558"/>
      <c r="M14" s="520"/>
      <c r="N14" s="607"/>
      <c r="O14" s="550"/>
      <c r="P14" s="551"/>
      <c r="Q14" s="552"/>
      <c r="R14" s="554"/>
      <c r="S14" s="518"/>
      <c r="T14" s="558"/>
      <c r="U14" s="558"/>
      <c r="V14" s="558"/>
      <c r="W14" s="558"/>
      <c r="X14" s="520"/>
      <c r="Y14" s="607"/>
      <c r="Z14" s="550"/>
      <c r="AA14" s="551"/>
      <c r="AB14" s="552"/>
      <c r="AC14" s="570"/>
      <c r="AD14" s="572"/>
      <c r="AE14" s="558"/>
      <c r="AF14" s="558"/>
      <c r="AG14" s="558"/>
      <c r="AH14" s="558"/>
      <c r="AI14" s="520"/>
      <c r="AL14" s="611"/>
      <c r="AM14" s="612"/>
      <c r="AN14" s="612"/>
      <c r="AO14" s="613"/>
      <c r="AP14" s="484" t="s">
        <v>274</v>
      </c>
      <c r="AQ14" s="484" t="s">
        <v>275</v>
      </c>
      <c r="AR14" s="484" t="s">
        <v>102</v>
      </c>
      <c r="AS14" s="605" t="s">
        <v>292</v>
      </c>
      <c r="AT14" s="484" t="s">
        <v>277</v>
      </c>
      <c r="AX14" s="495"/>
      <c r="AY14" s="496"/>
      <c r="AZ14" s="496"/>
      <c r="BA14" s="497"/>
      <c r="BB14" s="484" t="s">
        <v>293</v>
      </c>
      <c r="BC14" s="484" t="s">
        <v>16</v>
      </c>
      <c r="BD14" s="484" t="s">
        <v>13</v>
      </c>
      <c r="BE14" s="484" t="s">
        <v>275</v>
      </c>
      <c r="BF14" s="484" t="s">
        <v>277</v>
      </c>
      <c r="BN14" s="1"/>
      <c r="BO14" s="1"/>
      <c r="BR14" s="542"/>
      <c r="BS14" s="543"/>
      <c r="BT14" s="543"/>
      <c r="BU14" s="544"/>
      <c r="BV14" s="467"/>
      <c r="BW14" s="481"/>
      <c r="BX14" s="467"/>
      <c r="BY14" s="479"/>
      <c r="BZ14" s="481"/>
      <c r="CA14" s="481"/>
      <c r="CB14" s="467"/>
      <c r="CC14" s="479"/>
      <c r="CD14" s="483"/>
      <c r="CE14" s="604"/>
      <c r="CF14" s="471"/>
      <c r="CG14" s="472"/>
      <c r="CH14" s="473"/>
      <c r="CI14" s="475"/>
      <c r="CJ14" s="475"/>
      <c r="CK14" s="471"/>
      <c r="CL14" s="473"/>
      <c r="CM14" s="477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</row>
    <row r="15" spans="3:120" ht="15.95" customHeight="1" thickBot="1">
      <c r="C15" s="638"/>
      <c r="D15" s="547" t="s">
        <v>294</v>
      </c>
      <c r="E15" s="548"/>
      <c r="F15" s="549"/>
      <c r="G15" s="553">
        <v>30.5</v>
      </c>
      <c r="H15" s="555">
        <v>25.8</v>
      </c>
      <c r="I15" s="557"/>
      <c r="J15" s="557"/>
      <c r="K15" s="557">
        <f>I15+J15</f>
        <v>0</v>
      </c>
      <c r="L15" s="593">
        <f>G15*K15</f>
        <v>0</v>
      </c>
      <c r="M15" s="519">
        <f>H15*K15</f>
        <v>0</v>
      </c>
      <c r="N15" s="638"/>
      <c r="O15" s="547" t="s">
        <v>294</v>
      </c>
      <c r="P15" s="548"/>
      <c r="Q15" s="549"/>
      <c r="R15" s="553">
        <v>9.4499999999999993</v>
      </c>
      <c r="S15" s="517">
        <v>8.01</v>
      </c>
      <c r="T15" s="557">
        <v>8</v>
      </c>
      <c r="U15" s="557"/>
      <c r="V15" s="557">
        <f>T15+U15</f>
        <v>8</v>
      </c>
      <c r="W15" s="593">
        <f>R15*V15</f>
        <v>75.599999999999994</v>
      </c>
      <c r="X15" s="519">
        <f>S15*V15</f>
        <v>64.08</v>
      </c>
      <c r="Y15" s="638"/>
      <c r="Z15" s="547" t="s">
        <v>294</v>
      </c>
      <c r="AA15" s="548"/>
      <c r="AB15" s="549"/>
      <c r="AC15" s="569"/>
      <c r="AD15" s="571"/>
      <c r="AE15" s="557"/>
      <c r="AF15" s="557"/>
      <c r="AG15" s="557">
        <f>AE15+AF15</f>
        <v>0</v>
      </c>
      <c r="AH15" s="593">
        <f>AC15*AG15</f>
        <v>0</v>
      </c>
      <c r="AI15" s="519">
        <f>AD15*AG15</f>
        <v>0</v>
      </c>
      <c r="AL15" s="614"/>
      <c r="AM15" s="615"/>
      <c r="AN15" s="615"/>
      <c r="AO15" s="616"/>
      <c r="AP15" s="485"/>
      <c r="AQ15" s="485"/>
      <c r="AR15" s="485"/>
      <c r="AS15" s="606"/>
      <c r="AT15" s="485"/>
      <c r="AX15" s="498"/>
      <c r="AY15" s="499"/>
      <c r="AZ15" s="499"/>
      <c r="BA15" s="500"/>
      <c r="BB15" s="485"/>
      <c r="BC15" s="485"/>
      <c r="BD15" s="485"/>
      <c r="BE15" s="485"/>
      <c r="BF15" s="485"/>
      <c r="BI15" s="628" t="s">
        <v>295</v>
      </c>
      <c r="BJ15" s="629"/>
      <c r="BK15" s="629"/>
      <c r="BL15" s="629"/>
      <c r="BM15" s="630"/>
      <c r="BN15" s="634">
        <f>BN3-BN12</f>
        <v>291.89999999999998</v>
      </c>
      <c r="BO15" s="635"/>
      <c r="BR15" s="539" t="s">
        <v>296</v>
      </c>
      <c r="BS15" s="540"/>
      <c r="BT15" s="540"/>
      <c r="BU15" s="541"/>
      <c r="BV15" s="466">
        <v>1</v>
      </c>
      <c r="BW15" s="480">
        <v>0</v>
      </c>
      <c r="BX15" s="466">
        <v>0</v>
      </c>
      <c r="BY15" s="478">
        <v>0</v>
      </c>
      <c r="BZ15" s="480">
        <v>1</v>
      </c>
      <c r="CA15" s="480">
        <v>0</v>
      </c>
      <c r="CB15" s="466">
        <v>0</v>
      </c>
      <c r="CC15" s="478">
        <v>0</v>
      </c>
      <c r="CD15" s="482">
        <f>SUM(BV15:CC16)</f>
        <v>2</v>
      </c>
      <c r="CE15" s="603">
        <f>BV15*55+BW15*55+BX15*55+BY15*55+BZ15*30+CA15*30+CB15*30+CC15*30</f>
        <v>85</v>
      </c>
      <c r="CF15" s="468" t="s">
        <v>297</v>
      </c>
      <c r="CG15" s="469"/>
      <c r="CH15" s="470"/>
      <c r="CI15" s="474">
        <v>0</v>
      </c>
      <c r="CJ15" s="474">
        <v>80</v>
      </c>
      <c r="CK15" s="468" t="s">
        <v>286</v>
      </c>
      <c r="CL15" s="470"/>
      <c r="CM15" s="476"/>
      <c r="CQ15" s="8"/>
      <c r="CV15" s="21"/>
      <c r="CW15" s="21"/>
      <c r="DA15" s="22"/>
      <c r="DB15" s="22"/>
      <c r="DE15" s="8"/>
      <c r="DJ15" s="21"/>
      <c r="DK15" s="21"/>
      <c r="DO15" s="22"/>
      <c r="DP15" s="22"/>
    </row>
    <row r="16" spans="3:120" ht="15.95" customHeight="1" thickBot="1">
      <c r="C16" s="638"/>
      <c r="D16" s="550"/>
      <c r="E16" s="551"/>
      <c r="F16" s="552"/>
      <c r="G16" s="554"/>
      <c r="H16" s="556"/>
      <c r="I16" s="558"/>
      <c r="J16" s="558"/>
      <c r="K16" s="558"/>
      <c r="L16" s="558"/>
      <c r="M16" s="520"/>
      <c r="N16" s="638"/>
      <c r="O16" s="550"/>
      <c r="P16" s="551"/>
      <c r="Q16" s="552"/>
      <c r="R16" s="554"/>
      <c r="S16" s="518"/>
      <c r="T16" s="558"/>
      <c r="U16" s="558"/>
      <c r="V16" s="558"/>
      <c r="W16" s="558"/>
      <c r="X16" s="520"/>
      <c r="Y16" s="638"/>
      <c r="Z16" s="550"/>
      <c r="AA16" s="551"/>
      <c r="AB16" s="552"/>
      <c r="AC16" s="570"/>
      <c r="AD16" s="572"/>
      <c r="AE16" s="558"/>
      <c r="AF16" s="558"/>
      <c r="AG16" s="558"/>
      <c r="AH16" s="558"/>
      <c r="AI16" s="520"/>
      <c r="AL16" s="598"/>
      <c r="AM16" s="547" t="s">
        <v>261</v>
      </c>
      <c r="AN16" s="548"/>
      <c r="AO16" s="549"/>
      <c r="AP16" s="645">
        <v>3.5</v>
      </c>
      <c r="AQ16" s="557">
        <f>K9</f>
        <v>10</v>
      </c>
      <c r="AR16" s="647">
        <f>((AP16*AQ16)*0.21)/AQ16</f>
        <v>0.73499999999999999</v>
      </c>
      <c r="AS16" s="647">
        <f>AP16+AR16</f>
        <v>4.2350000000000003</v>
      </c>
      <c r="AT16" s="519">
        <f>AQ16*AS16</f>
        <v>42.35</v>
      </c>
      <c r="AX16" s="598"/>
      <c r="AY16" s="547" t="s">
        <v>261</v>
      </c>
      <c r="AZ16" s="548"/>
      <c r="BA16" s="549"/>
      <c r="BB16" s="641">
        <f>AP48</f>
        <v>55</v>
      </c>
      <c r="BC16" s="643">
        <f>I9</f>
        <v>8</v>
      </c>
      <c r="BD16" s="643">
        <f>J9</f>
        <v>2</v>
      </c>
      <c r="BE16" s="643">
        <f>BC16+BD16</f>
        <v>10</v>
      </c>
      <c r="BF16" s="650">
        <f>BB16*BE16</f>
        <v>550</v>
      </c>
      <c r="BI16" s="631"/>
      <c r="BJ16" s="632"/>
      <c r="BK16" s="632"/>
      <c r="BL16" s="632"/>
      <c r="BM16" s="633"/>
      <c r="BN16" s="636"/>
      <c r="BO16" s="637"/>
      <c r="BR16" s="542"/>
      <c r="BS16" s="543"/>
      <c r="BT16" s="543"/>
      <c r="BU16" s="544"/>
      <c r="BV16" s="467"/>
      <c r="BW16" s="481"/>
      <c r="BX16" s="467"/>
      <c r="BY16" s="479"/>
      <c r="BZ16" s="481"/>
      <c r="CA16" s="481"/>
      <c r="CB16" s="467"/>
      <c r="CC16" s="479"/>
      <c r="CD16" s="483"/>
      <c r="CE16" s="604"/>
      <c r="CF16" s="471"/>
      <c r="CG16" s="472"/>
      <c r="CH16" s="473"/>
      <c r="CI16" s="475"/>
      <c r="CJ16" s="475"/>
      <c r="CK16" s="471"/>
      <c r="CL16" s="473"/>
      <c r="CM16" s="477"/>
      <c r="CX16" s="21"/>
      <c r="CY16" s="21"/>
      <c r="DA16" s="22"/>
      <c r="DB16" s="22"/>
      <c r="DL16" s="21"/>
      <c r="DM16" s="21"/>
      <c r="DO16" s="22"/>
      <c r="DP16" s="22"/>
    </row>
    <row r="17" spans="3:120" ht="15.95" customHeight="1" thickBot="1">
      <c r="C17" s="639"/>
      <c r="D17" s="547" t="s">
        <v>298</v>
      </c>
      <c r="E17" s="548"/>
      <c r="F17" s="549"/>
      <c r="G17" s="553">
        <v>32.5</v>
      </c>
      <c r="H17" s="555">
        <v>27.5</v>
      </c>
      <c r="I17" s="557"/>
      <c r="J17" s="557"/>
      <c r="K17" s="557">
        <f>I17+J17</f>
        <v>0</v>
      </c>
      <c r="L17" s="593">
        <f>G17*K17</f>
        <v>0</v>
      </c>
      <c r="M17" s="519">
        <f>H17*K17</f>
        <v>0</v>
      </c>
      <c r="N17" s="639"/>
      <c r="O17" s="547" t="s">
        <v>298</v>
      </c>
      <c r="P17" s="548"/>
      <c r="Q17" s="549"/>
      <c r="R17" s="553">
        <v>10.85</v>
      </c>
      <c r="S17" s="517">
        <v>9.1999999999999993</v>
      </c>
      <c r="T17" s="557"/>
      <c r="U17" s="557"/>
      <c r="V17" s="557">
        <f>T17+U17</f>
        <v>0</v>
      </c>
      <c r="W17" s="593">
        <f>R17*V17</f>
        <v>0</v>
      </c>
      <c r="X17" s="519">
        <f>S17*V17</f>
        <v>0</v>
      </c>
      <c r="Y17" s="639"/>
      <c r="Z17" s="547" t="s">
        <v>298</v>
      </c>
      <c r="AA17" s="548"/>
      <c r="AB17" s="549"/>
      <c r="AC17" s="569"/>
      <c r="AD17" s="571"/>
      <c r="AE17" s="557"/>
      <c r="AF17" s="557"/>
      <c r="AG17" s="557">
        <f>AE17+AF17</f>
        <v>0</v>
      </c>
      <c r="AH17" s="593">
        <f>AC17*AG17</f>
        <v>0</v>
      </c>
      <c r="AI17" s="519">
        <f>AD17*AG17</f>
        <v>0</v>
      </c>
      <c r="AL17" s="598"/>
      <c r="AM17" s="550"/>
      <c r="AN17" s="551"/>
      <c r="AO17" s="552"/>
      <c r="AP17" s="646"/>
      <c r="AQ17" s="558"/>
      <c r="AR17" s="648"/>
      <c r="AS17" s="648"/>
      <c r="AT17" s="640"/>
      <c r="AX17" s="598"/>
      <c r="AY17" s="550"/>
      <c r="AZ17" s="551"/>
      <c r="BA17" s="552"/>
      <c r="BB17" s="642"/>
      <c r="BC17" s="644"/>
      <c r="BD17" s="644"/>
      <c r="BE17" s="644"/>
      <c r="BF17" s="651"/>
      <c r="BR17" s="539" t="s">
        <v>50</v>
      </c>
      <c r="BS17" s="540"/>
      <c r="BT17" s="540"/>
      <c r="BU17" s="541"/>
      <c r="BV17" s="466">
        <v>0</v>
      </c>
      <c r="BW17" s="480">
        <v>1</v>
      </c>
      <c r="BX17" s="466">
        <v>0</v>
      </c>
      <c r="BY17" s="478">
        <v>0</v>
      </c>
      <c r="BZ17" s="480">
        <v>0</v>
      </c>
      <c r="CA17" s="480">
        <v>0</v>
      </c>
      <c r="CB17" s="466">
        <v>0</v>
      </c>
      <c r="CC17" s="478">
        <v>0</v>
      </c>
      <c r="CD17" s="482">
        <f>SUM(BV17:CC18)</f>
        <v>1</v>
      </c>
      <c r="CE17" s="603">
        <f>BV17*55+BW17*55+BX17*55+BY17*55+BZ17*30+CA17*30+CB17*30+CC17*30</f>
        <v>55</v>
      </c>
      <c r="CF17" s="468" t="s">
        <v>299</v>
      </c>
      <c r="CG17" s="469"/>
      <c r="CH17" s="470"/>
      <c r="CI17" s="474">
        <v>0</v>
      </c>
      <c r="CJ17" s="474">
        <v>55</v>
      </c>
      <c r="CK17" s="468" t="s">
        <v>286</v>
      </c>
      <c r="CL17" s="470"/>
      <c r="CM17" s="476"/>
    </row>
    <row r="18" spans="3:120" ht="15.95" customHeight="1" thickBot="1">
      <c r="C18" s="639"/>
      <c r="D18" s="550"/>
      <c r="E18" s="551"/>
      <c r="F18" s="552"/>
      <c r="G18" s="554"/>
      <c r="H18" s="556"/>
      <c r="I18" s="558"/>
      <c r="J18" s="558"/>
      <c r="K18" s="558"/>
      <c r="L18" s="558"/>
      <c r="M18" s="520"/>
      <c r="N18" s="639"/>
      <c r="O18" s="550"/>
      <c r="P18" s="551"/>
      <c r="Q18" s="552"/>
      <c r="R18" s="554"/>
      <c r="S18" s="518"/>
      <c r="T18" s="558"/>
      <c r="U18" s="558"/>
      <c r="V18" s="558"/>
      <c r="W18" s="558"/>
      <c r="X18" s="520"/>
      <c r="Y18" s="639"/>
      <c r="Z18" s="550"/>
      <c r="AA18" s="551"/>
      <c r="AB18" s="552"/>
      <c r="AC18" s="570"/>
      <c r="AD18" s="572"/>
      <c r="AE18" s="558"/>
      <c r="AF18" s="558"/>
      <c r="AG18" s="558"/>
      <c r="AH18" s="558"/>
      <c r="AI18" s="520"/>
      <c r="AL18" s="607"/>
      <c r="AM18" s="547" t="s">
        <v>262</v>
      </c>
      <c r="AN18" s="548"/>
      <c r="AO18" s="549"/>
      <c r="AP18" s="571">
        <v>3.5</v>
      </c>
      <c r="AQ18" s="557">
        <f>K13</f>
        <v>6</v>
      </c>
      <c r="AR18" s="647">
        <f>((AP18*AQ18)*0.21)/AQ18</f>
        <v>0.73499999999999999</v>
      </c>
      <c r="AS18" s="647">
        <f>AP18+AR18</f>
        <v>4.2350000000000003</v>
      </c>
      <c r="AT18" s="519">
        <f>AQ18*AS18</f>
        <v>25.410000000000004</v>
      </c>
      <c r="AX18" s="607"/>
      <c r="AY18" s="547" t="s">
        <v>262</v>
      </c>
      <c r="AZ18" s="548"/>
      <c r="BA18" s="549"/>
      <c r="BB18" s="641">
        <f>AP50</f>
        <v>55</v>
      </c>
      <c r="BC18" s="649">
        <f>I13</f>
        <v>6</v>
      </c>
      <c r="BD18" s="649">
        <v>0</v>
      </c>
      <c r="BE18" s="643">
        <f>BC18+BD18</f>
        <v>6</v>
      </c>
      <c r="BF18" s="650">
        <f>BB18*BE18</f>
        <v>330</v>
      </c>
      <c r="BR18" s="542"/>
      <c r="BS18" s="543"/>
      <c r="BT18" s="543"/>
      <c r="BU18" s="544"/>
      <c r="BV18" s="467"/>
      <c r="BW18" s="481"/>
      <c r="BX18" s="467"/>
      <c r="BY18" s="479"/>
      <c r="BZ18" s="481"/>
      <c r="CA18" s="481"/>
      <c r="CB18" s="467"/>
      <c r="CC18" s="479"/>
      <c r="CD18" s="483"/>
      <c r="CE18" s="604"/>
      <c r="CF18" s="471"/>
      <c r="CG18" s="472"/>
      <c r="CH18" s="473"/>
      <c r="CI18" s="475"/>
      <c r="CJ18" s="475"/>
      <c r="CK18" s="471"/>
      <c r="CL18" s="473"/>
      <c r="CM18" s="477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</row>
    <row r="19" spans="3:120" ht="15.95" customHeight="1" thickBot="1">
      <c r="C19" s="652"/>
      <c r="D19" s="547" t="s">
        <v>300</v>
      </c>
      <c r="E19" s="548"/>
      <c r="F19" s="549"/>
      <c r="G19" s="553"/>
      <c r="H19" s="555"/>
      <c r="I19" s="557"/>
      <c r="J19" s="557"/>
      <c r="K19" s="557">
        <f>I19+J19</f>
        <v>0</v>
      </c>
      <c r="L19" s="593">
        <f>G19*K19</f>
        <v>0</v>
      </c>
      <c r="M19" s="519">
        <f>H19*K19</f>
        <v>0</v>
      </c>
      <c r="N19" s="652"/>
      <c r="O19" s="547" t="s">
        <v>300</v>
      </c>
      <c r="P19" s="548"/>
      <c r="Q19" s="549"/>
      <c r="R19" s="553"/>
      <c r="S19" s="571"/>
      <c r="T19" s="557"/>
      <c r="U19" s="557"/>
      <c r="V19" s="557">
        <f>T19+U19</f>
        <v>0</v>
      </c>
      <c r="W19" s="593">
        <f>R19*V19</f>
        <v>0</v>
      </c>
      <c r="X19" s="519">
        <f>S19*V19</f>
        <v>0</v>
      </c>
      <c r="Y19" s="652"/>
      <c r="Z19" s="547" t="s">
        <v>300</v>
      </c>
      <c r="AA19" s="548"/>
      <c r="AB19" s="549"/>
      <c r="AC19" s="569"/>
      <c r="AD19" s="571"/>
      <c r="AE19" s="557"/>
      <c r="AF19" s="557"/>
      <c r="AG19" s="557">
        <f>AE19+AF19</f>
        <v>0</v>
      </c>
      <c r="AH19" s="593">
        <f>AC19*AG19</f>
        <v>0</v>
      </c>
      <c r="AI19" s="519">
        <f>AD19*AG19</f>
        <v>0</v>
      </c>
      <c r="AL19" s="607"/>
      <c r="AM19" s="550"/>
      <c r="AN19" s="551"/>
      <c r="AO19" s="552"/>
      <c r="AP19" s="572"/>
      <c r="AQ19" s="558"/>
      <c r="AR19" s="648"/>
      <c r="AS19" s="648"/>
      <c r="AT19" s="640"/>
      <c r="AU19" s="2"/>
      <c r="AX19" s="607"/>
      <c r="AY19" s="550"/>
      <c r="AZ19" s="551"/>
      <c r="BA19" s="552"/>
      <c r="BB19" s="642"/>
      <c r="BC19" s="520"/>
      <c r="BD19" s="520"/>
      <c r="BE19" s="644"/>
      <c r="BF19" s="651"/>
      <c r="BR19" s="539" t="s">
        <v>33</v>
      </c>
      <c r="BS19" s="540"/>
      <c r="BT19" s="540"/>
      <c r="BU19" s="541"/>
      <c r="BV19" s="466">
        <v>2</v>
      </c>
      <c r="BW19" s="480">
        <v>1</v>
      </c>
      <c r="BX19" s="466">
        <v>0</v>
      </c>
      <c r="BY19" s="478">
        <v>0</v>
      </c>
      <c r="BZ19" s="480">
        <v>1</v>
      </c>
      <c r="CA19" s="480">
        <v>0</v>
      </c>
      <c r="CB19" s="466">
        <v>0</v>
      </c>
      <c r="CC19" s="478">
        <v>0</v>
      </c>
      <c r="CD19" s="482">
        <f>SUM(BV19:CC20)</f>
        <v>4</v>
      </c>
      <c r="CE19" s="603">
        <f>BV19*55+BW19*55+BX19*55+BY19*55+BZ19*30+CA19*30+CB19*30+CC19*30</f>
        <v>195</v>
      </c>
      <c r="CF19" s="468" t="s">
        <v>301</v>
      </c>
      <c r="CG19" s="469"/>
      <c r="CH19" s="470"/>
      <c r="CI19" s="474">
        <v>0</v>
      </c>
      <c r="CJ19" s="474">
        <v>232</v>
      </c>
      <c r="CK19" s="468" t="s">
        <v>286</v>
      </c>
      <c r="CL19" s="470"/>
      <c r="CM19" s="476"/>
      <c r="CQ19" s="8"/>
      <c r="CV19" s="21"/>
      <c r="CW19" s="21"/>
      <c r="DA19" s="22"/>
      <c r="DB19" s="22"/>
      <c r="DE19" s="8"/>
      <c r="DJ19" s="21"/>
      <c r="DK19" s="21"/>
      <c r="DO19" s="22"/>
      <c r="DP19" s="22"/>
    </row>
    <row r="20" spans="3:120" ht="15.95" customHeight="1" thickBot="1">
      <c r="C20" s="652"/>
      <c r="D20" s="550"/>
      <c r="E20" s="551"/>
      <c r="F20" s="552"/>
      <c r="G20" s="554"/>
      <c r="H20" s="556"/>
      <c r="I20" s="558"/>
      <c r="J20" s="558"/>
      <c r="K20" s="558"/>
      <c r="L20" s="558"/>
      <c r="M20" s="520"/>
      <c r="N20" s="652"/>
      <c r="O20" s="550"/>
      <c r="P20" s="551"/>
      <c r="Q20" s="552"/>
      <c r="R20" s="554"/>
      <c r="S20" s="572"/>
      <c r="T20" s="558"/>
      <c r="U20" s="558"/>
      <c r="V20" s="558"/>
      <c r="W20" s="558"/>
      <c r="X20" s="520"/>
      <c r="Y20" s="652"/>
      <c r="Z20" s="550"/>
      <c r="AA20" s="551"/>
      <c r="AB20" s="552"/>
      <c r="AC20" s="570"/>
      <c r="AD20" s="572"/>
      <c r="AE20" s="558"/>
      <c r="AF20" s="558"/>
      <c r="AG20" s="558"/>
      <c r="AH20" s="558"/>
      <c r="AI20" s="520"/>
      <c r="AL20" s="638"/>
      <c r="AM20" s="547" t="s">
        <v>263</v>
      </c>
      <c r="AN20" s="548"/>
      <c r="AO20" s="549"/>
      <c r="AP20" s="571">
        <v>2.5</v>
      </c>
      <c r="AQ20" s="557">
        <f>V15</f>
        <v>8</v>
      </c>
      <c r="AR20" s="647">
        <f>((AP20*AQ20)*0.21)/AQ20</f>
        <v>0.52500000000000002</v>
      </c>
      <c r="AS20" s="647">
        <f>AP20+AR20</f>
        <v>3.0249999999999999</v>
      </c>
      <c r="AT20" s="519">
        <f>AQ20*AS20</f>
        <v>24.2</v>
      </c>
      <c r="AU20" s="2"/>
      <c r="AX20" s="638"/>
      <c r="AY20" s="547" t="s">
        <v>263</v>
      </c>
      <c r="AZ20" s="548"/>
      <c r="BA20" s="549"/>
      <c r="BB20" s="641">
        <f>AP52</f>
        <v>30</v>
      </c>
      <c r="BC20" s="649">
        <f>T15</f>
        <v>8</v>
      </c>
      <c r="BD20" s="649">
        <v>0</v>
      </c>
      <c r="BE20" s="643">
        <f>BC20+BD20</f>
        <v>8</v>
      </c>
      <c r="BF20" s="650">
        <f>BB20*BE20</f>
        <v>240</v>
      </c>
      <c r="BR20" s="542"/>
      <c r="BS20" s="543"/>
      <c r="BT20" s="543"/>
      <c r="BU20" s="544"/>
      <c r="BV20" s="467"/>
      <c r="BW20" s="481"/>
      <c r="BX20" s="467"/>
      <c r="BY20" s="479"/>
      <c r="BZ20" s="481"/>
      <c r="CA20" s="481"/>
      <c r="CB20" s="467"/>
      <c r="CC20" s="479"/>
      <c r="CD20" s="483"/>
      <c r="CE20" s="604"/>
      <c r="CF20" s="471"/>
      <c r="CG20" s="472"/>
      <c r="CH20" s="473"/>
      <c r="CI20" s="475"/>
      <c r="CJ20" s="475"/>
      <c r="CK20" s="471"/>
      <c r="CL20" s="473"/>
      <c r="CM20" s="477"/>
      <c r="CR20" s="25"/>
      <c r="CS20" s="25"/>
      <c r="CT20" s="25"/>
      <c r="CU20" s="25"/>
      <c r="CX20" s="21"/>
      <c r="CY20" s="21"/>
      <c r="DA20" s="22"/>
      <c r="DB20" s="22"/>
      <c r="DF20" s="25"/>
      <c r="DG20" s="25"/>
      <c r="DH20" s="25"/>
      <c r="DI20" s="25"/>
      <c r="DL20" s="21"/>
      <c r="DM20" s="21"/>
      <c r="DO20" s="22"/>
      <c r="DP20" s="22"/>
    </row>
    <row r="21" spans="3:120" ht="15.95" customHeight="1" thickBot="1">
      <c r="C21" s="653"/>
      <c r="D21" s="547" t="s">
        <v>302</v>
      </c>
      <c r="E21" s="548"/>
      <c r="F21" s="549"/>
      <c r="G21" s="553"/>
      <c r="H21" s="555"/>
      <c r="I21" s="557"/>
      <c r="J21" s="557"/>
      <c r="K21" s="557">
        <f>I21+J21</f>
        <v>0</v>
      </c>
      <c r="L21" s="593">
        <f>G21*K21</f>
        <v>0</v>
      </c>
      <c r="M21" s="519">
        <f>H21*K21</f>
        <v>0</v>
      </c>
      <c r="N21" s="653"/>
      <c r="O21" s="547" t="s">
        <v>302</v>
      </c>
      <c r="P21" s="548"/>
      <c r="Q21" s="549"/>
      <c r="R21" s="553"/>
      <c r="S21" s="571"/>
      <c r="T21" s="557"/>
      <c r="U21" s="557"/>
      <c r="V21" s="557">
        <f>T21+U21</f>
        <v>0</v>
      </c>
      <c r="W21" s="593">
        <f>R21*V21</f>
        <v>0</v>
      </c>
      <c r="X21" s="519">
        <f>S21*V21</f>
        <v>0</v>
      </c>
      <c r="Y21" s="653"/>
      <c r="Z21" s="547" t="s">
        <v>302</v>
      </c>
      <c r="AA21" s="548"/>
      <c r="AB21" s="549"/>
      <c r="AC21" s="569"/>
      <c r="AD21" s="571"/>
      <c r="AE21" s="557"/>
      <c r="AF21" s="557"/>
      <c r="AG21" s="557">
        <f>AE21+AF21</f>
        <v>0</v>
      </c>
      <c r="AH21" s="593">
        <f>AC21*AG21</f>
        <v>0</v>
      </c>
      <c r="AI21" s="519">
        <f>AD21*AG21</f>
        <v>0</v>
      </c>
      <c r="AL21" s="638"/>
      <c r="AM21" s="550"/>
      <c r="AN21" s="551"/>
      <c r="AO21" s="552"/>
      <c r="AP21" s="572"/>
      <c r="AQ21" s="558"/>
      <c r="AR21" s="648"/>
      <c r="AS21" s="648"/>
      <c r="AT21" s="640"/>
      <c r="AU21" s="2"/>
      <c r="AX21" s="638"/>
      <c r="AY21" s="550"/>
      <c r="AZ21" s="551"/>
      <c r="BA21" s="552"/>
      <c r="BB21" s="642"/>
      <c r="BC21" s="520"/>
      <c r="BD21" s="520"/>
      <c r="BE21" s="644"/>
      <c r="BF21" s="651"/>
      <c r="BR21" s="539" t="s">
        <v>303</v>
      </c>
      <c r="BS21" s="540"/>
      <c r="BT21" s="540"/>
      <c r="BU21" s="541"/>
      <c r="BV21" s="466">
        <v>0</v>
      </c>
      <c r="BW21" s="480">
        <v>0</v>
      </c>
      <c r="BX21" s="466">
        <v>0</v>
      </c>
      <c r="BY21" s="478">
        <v>0</v>
      </c>
      <c r="BZ21" s="480">
        <v>0</v>
      </c>
      <c r="CA21" s="480">
        <v>0</v>
      </c>
      <c r="CB21" s="466">
        <v>1</v>
      </c>
      <c r="CC21" s="478">
        <v>0</v>
      </c>
      <c r="CD21" s="482">
        <f>SUM(BV21:CC22)</f>
        <v>1</v>
      </c>
      <c r="CE21" s="603">
        <f>BV21*55+BW21*55+BX21*55+BY21*55+BZ21*30+CA21*30+CB21*30+CC21*30</f>
        <v>30</v>
      </c>
      <c r="CF21" s="468" t="s">
        <v>304</v>
      </c>
      <c r="CG21" s="469"/>
      <c r="CH21" s="470"/>
      <c r="CI21" s="474">
        <v>30</v>
      </c>
      <c r="CJ21" s="474">
        <v>0</v>
      </c>
      <c r="CK21" s="468" t="s">
        <v>286</v>
      </c>
      <c r="CL21" s="470"/>
      <c r="CM21" s="476"/>
    </row>
    <row r="22" spans="3:120" ht="15.95" customHeight="1" thickBot="1">
      <c r="C22" s="653"/>
      <c r="D22" s="550"/>
      <c r="E22" s="551"/>
      <c r="F22" s="552"/>
      <c r="G22" s="554"/>
      <c r="H22" s="556"/>
      <c r="I22" s="558"/>
      <c r="J22" s="558"/>
      <c r="K22" s="558"/>
      <c r="L22" s="558"/>
      <c r="M22" s="520"/>
      <c r="N22" s="653"/>
      <c r="O22" s="550"/>
      <c r="P22" s="551"/>
      <c r="Q22" s="552"/>
      <c r="R22" s="554"/>
      <c r="S22" s="572"/>
      <c r="T22" s="558"/>
      <c r="U22" s="558"/>
      <c r="V22" s="558"/>
      <c r="W22" s="558"/>
      <c r="X22" s="520"/>
      <c r="Y22" s="653"/>
      <c r="Z22" s="550"/>
      <c r="AA22" s="551"/>
      <c r="AB22" s="552"/>
      <c r="AC22" s="570"/>
      <c r="AD22" s="572"/>
      <c r="AE22" s="558"/>
      <c r="AF22" s="558"/>
      <c r="AG22" s="558"/>
      <c r="AH22" s="558"/>
      <c r="AI22" s="520"/>
      <c r="AL22" s="654"/>
      <c r="AM22" s="547" t="s">
        <v>264</v>
      </c>
      <c r="AN22" s="548"/>
      <c r="AO22" s="549"/>
      <c r="AP22" s="666">
        <v>2.5</v>
      </c>
      <c r="AQ22" s="557">
        <f>V35</f>
        <v>8</v>
      </c>
      <c r="AR22" s="647">
        <f>((AP22*AQ22)*0.21)/AQ22</f>
        <v>0.52500000000000002</v>
      </c>
      <c r="AS22" s="519">
        <f>AP22+AR22</f>
        <v>3.0249999999999999</v>
      </c>
      <c r="AT22" s="519">
        <f>AQ22*AS22</f>
        <v>24.2</v>
      </c>
      <c r="AU22" s="2"/>
      <c r="AX22" s="654"/>
      <c r="AY22" s="547" t="s">
        <v>264</v>
      </c>
      <c r="AZ22" s="548"/>
      <c r="BA22" s="549"/>
      <c r="BB22" s="641">
        <f>AP54</f>
        <v>30</v>
      </c>
      <c r="BC22" s="649">
        <f>T35</f>
        <v>8</v>
      </c>
      <c r="BD22" s="649">
        <v>0</v>
      </c>
      <c r="BE22" s="643">
        <f>BC22+BD22</f>
        <v>8</v>
      </c>
      <c r="BF22" s="650">
        <f>BB22*BE22</f>
        <v>240</v>
      </c>
      <c r="BR22" s="542"/>
      <c r="BS22" s="543"/>
      <c r="BT22" s="543"/>
      <c r="BU22" s="544"/>
      <c r="BV22" s="467"/>
      <c r="BW22" s="481"/>
      <c r="BX22" s="467"/>
      <c r="BY22" s="479"/>
      <c r="BZ22" s="481"/>
      <c r="CA22" s="481"/>
      <c r="CB22" s="467"/>
      <c r="CC22" s="479"/>
      <c r="CD22" s="483"/>
      <c r="CE22" s="604"/>
      <c r="CF22" s="471"/>
      <c r="CG22" s="472"/>
      <c r="CH22" s="473"/>
      <c r="CI22" s="475"/>
      <c r="CJ22" s="475"/>
      <c r="CK22" s="471"/>
      <c r="CL22" s="473"/>
      <c r="CM22" s="477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</row>
    <row r="23" spans="3:120" ht="15.95" customHeight="1" thickBot="1">
      <c r="C23" s="658"/>
      <c r="D23" s="547" t="s">
        <v>305</v>
      </c>
      <c r="E23" s="548"/>
      <c r="F23" s="549"/>
      <c r="G23" s="553">
        <v>30.5</v>
      </c>
      <c r="H23" s="555">
        <v>25.8</v>
      </c>
      <c r="I23" s="557"/>
      <c r="J23" s="557"/>
      <c r="K23" s="557">
        <f>I23+J23</f>
        <v>0</v>
      </c>
      <c r="L23" s="593">
        <f>G23*K23</f>
        <v>0</v>
      </c>
      <c r="M23" s="519">
        <f>H23*K23</f>
        <v>0</v>
      </c>
      <c r="N23" s="658"/>
      <c r="O23" s="547" t="s">
        <v>305</v>
      </c>
      <c r="P23" s="548"/>
      <c r="Q23" s="549"/>
      <c r="R23" s="553">
        <v>9.4499999999999993</v>
      </c>
      <c r="S23" s="517">
        <v>8.01</v>
      </c>
      <c r="T23" s="557"/>
      <c r="U23" s="557"/>
      <c r="V23" s="557">
        <f>T23+U23</f>
        <v>0</v>
      </c>
      <c r="W23" s="593">
        <f>R23*V23</f>
        <v>0</v>
      </c>
      <c r="X23" s="519">
        <f>S23*V23</f>
        <v>0</v>
      </c>
      <c r="Y23" s="658"/>
      <c r="Z23" s="547" t="s">
        <v>305</v>
      </c>
      <c r="AA23" s="548"/>
      <c r="AB23" s="549"/>
      <c r="AC23" s="569"/>
      <c r="AD23" s="571"/>
      <c r="AE23" s="557"/>
      <c r="AF23" s="557"/>
      <c r="AG23" s="557">
        <f>AE23+AF23</f>
        <v>0</v>
      </c>
      <c r="AH23" s="593">
        <f>AC23*AG23</f>
        <v>0</v>
      </c>
      <c r="AI23" s="519">
        <f>AD23*AG23</f>
        <v>0</v>
      </c>
      <c r="AL23" s="655"/>
      <c r="AM23" s="550"/>
      <c r="AN23" s="551"/>
      <c r="AO23" s="552"/>
      <c r="AP23" s="667"/>
      <c r="AQ23" s="668"/>
      <c r="AR23" s="648"/>
      <c r="AS23" s="669"/>
      <c r="AT23" s="640"/>
      <c r="AX23" s="655"/>
      <c r="AY23" s="550"/>
      <c r="AZ23" s="551"/>
      <c r="BA23" s="552"/>
      <c r="BB23" s="656"/>
      <c r="BC23" s="657"/>
      <c r="BD23" s="657"/>
      <c r="BE23" s="644"/>
      <c r="BF23" s="651"/>
      <c r="BR23" s="539" t="s">
        <v>68</v>
      </c>
      <c r="BS23" s="540"/>
      <c r="BT23" s="540"/>
      <c r="BU23" s="541"/>
      <c r="BV23" s="466">
        <v>0</v>
      </c>
      <c r="BW23" s="480">
        <v>0</v>
      </c>
      <c r="BX23" s="466">
        <v>0</v>
      </c>
      <c r="BY23" s="478">
        <v>0</v>
      </c>
      <c r="BZ23" s="480">
        <v>0</v>
      </c>
      <c r="CA23" s="480">
        <v>0</v>
      </c>
      <c r="CB23" s="466">
        <v>1</v>
      </c>
      <c r="CC23" s="478">
        <v>0</v>
      </c>
      <c r="CD23" s="482">
        <f>SUM(BV23:CC24)</f>
        <v>1</v>
      </c>
      <c r="CE23" s="603">
        <f>BV23*55+BW23*55+BX23*55+BY23*55+BZ23*30+CA23*30+CB23*30+CC23*30</f>
        <v>30</v>
      </c>
      <c r="CF23" s="468" t="s">
        <v>304</v>
      </c>
      <c r="CG23" s="469"/>
      <c r="CH23" s="470"/>
      <c r="CI23" s="474">
        <v>30</v>
      </c>
      <c r="CJ23" s="474">
        <v>0</v>
      </c>
      <c r="CK23" s="468" t="s">
        <v>286</v>
      </c>
      <c r="CL23" s="470"/>
      <c r="CM23" s="476"/>
      <c r="CQ23" s="8"/>
      <c r="CV23" s="21"/>
      <c r="CW23" s="21"/>
      <c r="DA23" s="22"/>
      <c r="DB23" s="22"/>
      <c r="DE23" s="8"/>
      <c r="DJ23" s="21"/>
      <c r="DK23" s="21"/>
      <c r="DO23" s="22"/>
      <c r="DP23" s="22"/>
    </row>
    <row r="24" spans="3:120" ht="15.95" customHeight="1" thickBot="1">
      <c r="C24" s="658"/>
      <c r="D24" s="550"/>
      <c r="E24" s="551"/>
      <c r="F24" s="552"/>
      <c r="G24" s="554"/>
      <c r="H24" s="556"/>
      <c r="I24" s="558"/>
      <c r="J24" s="558"/>
      <c r="K24" s="558"/>
      <c r="L24" s="558"/>
      <c r="M24" s="520"/>
      <c r="N24" s="658"/>
      <c r="O24" s="550"/>
      <c r="P24" s="551"/>
      <c r="Q24" s="552"/>
      <c r="R24" s="554"/>
      <c r="S24" s="518"/>
      <c r="T24" s="558"/>
      <c r="U24" s="558"/>
      <c r="V24" s="558"/>
      <c r="W24" s="558"/>
      <c r="X24" s="520"/>
      <c r="Y24" s="658"/>
      <c r="Z24" s="550"/>
      <c r="AA24" s="551"/>
      <c r="AB24" s="552"/>
      <c r="AC24" s="570"/>
      <c r="AD24" s="572"/>
      <c r="AE24" s="558"/>
      <c r="AF24" s="558"/>
      <c r="AG24" s="558"/>
      <c r="AH24" s="558"/>
      <c r="AI24" s="520"/>
      <c r="AP24" s="3"/>
      <c r="AQ24" s="660">
        <f>SUM(AQ16:AQ23)</f>
        <v>32</v>
      </c>
      <c r="AR24" s="662">
        <f>SUM(AR16:AR23)</f>
        <v>2.52</v>
      </c>
      <c r="AS24" s="4"/>
      <c r="AT24" s="662">
        <f>SUM(AT16:AT23)</f>
        <v>116.16000000000001</v>
      </c>
      <c r="BB24" s="3"/>
      <c r="BC24" s="3"/>
      <c r="BD24" s="3"/>
      <c r="BE24" s="643">
        <f>SUM(BE16:BE23)</f>
        <v>32</v>
      </c>
      <c r="BF24" s="650">
        <f>SUM(BF16:BF23)</f>
        <v>1360</v>
      </c>
      <c r="BR24" s="542"/>
      <c r="BS24" s="543"/>
      <c r="BT24" s="543"/>
      <c r="BU24" s="544"/>
      <c r="BV24" s="467"/>
      <c r="BW24" s="481"/>
      <c r="BX24" s="467"/>
      <c r="BY24" s="479"/>
      <c r="BZ24" s="481"/>
      <c r="CA24" s="481"/>
      <c r="CB24" s="467"/>
      <c r="CC24" s="479"/>
      <c r="CD24" s="483"/>
      <c r="CE24" s="604"/>
      <c r="CF24" s="471"/>
      <c r="CG24" s="472"/>
      <c r="CH24" s="473"/>
      <c r="CI24" s="475"/>
      <c r="CJ24" s="475"/>
      <c r="CK24" s="471"/>
      <c r="CL24" s="473"/>
      <c r="CM24" s="477"/>
      <c r="CX24" s="21"/>
      <c r="CY24" s="21"/>
      <c r="DA24" s="22"/>
      <c r="DB24" s="22"/>
      <c r="DL24" s="21"/>
      <c r="DM24" s="21"/>
      <c r="DO24" s="22"/>
      <c r="DP24" s="22"/>
    </row>
    <row r="25" spans="3:120" ht="15.95" customHeight="1" thickBot="1">
      <c r="C25" s="659"/>
      <c r="D25" s="547" t="s">
        <v>306</v>
      </c>
      <c r="E25" s="548"/>
      <c r="F25" s="549"/>
      <c r="G25" s="553">
        <v>30.5</v>
      </c>
      <c r="H25" s="555">
        <v>25.8</v>
      </c>
      <c r="I25" s="557"/>
      <c r="J25" s="557"/>
      <c r="K25" s="557">
        <f>I25+J25</f>
        <v>0</v>
      </c>
      <c r="L25" s="593">
        <f>G25*K25</f>
        <v>0</v>
      </c>
      <c r="M25" s="519">
        <f>H25*K25</f>
        <v>0</v>
      </c>
      <c r="N25" s="659"/>
      <c r="O25" s="547" t="s">
        <v>306</v>
      </c>
      <c r="P25" s="548"/>
      <c r="Q25" s="549"/>
      <c r="R25" s="553">
        <v>9.4499999999999993</v>
      </c>
      <c r="S25" s="517">
        <v>8.01</v>
      </c>
      <c r="T25" s="557"/>
      <c r="U25" s="557"/>
      <c r="V25" s="557">
        <f>T25+U25</f>
        <v>0</v>
      </c>
      <c r="W25" s="593">
        <f>R25*V25</f>
        <v>0</v>
      </c>
      <c r="X25" s="519">
        <f>S25*V25</f>
        <v>0</v>
      </c>
      <c r="Y25" s="659"/>
      <c r="Z25" s="547" t="s">
        <v>306</v>
      </c>
      <c r="AA25" s="548"/>
      <c r="AB25" s="549"/>
      <c r="AC25" s="569"/>
      <c r="AD25" s="571"/>
      <c r="AE25" s="557"/>
      <c r="AF25" s="557"/>
      <c r="AG25" s="557">
        <f>AE25+AF25</f>
        <v>0</v>
      </c>
      <c r="AH25" s="593">
        <f>AC25*AG25</f>
        <v>0</v>
      </c>
      <c r="AI25" s="519">
        <f>AD25*AG25</f>
        <v>0</v>
      </c>
      <c r="AP25" s="3"/>
      <c r="AQ25" s="661"/>
      <c r="AR25" s="663"/>
      <c r="AS25" s="4"/>
      <c r="AT25" s="663"/>
      <c r="BB25" s="3"/>
      <c r="BC25" s="3"/>
      <c r="BD25" s="3"/>
      <c r="BE25" s="664"/>
      <c r="BF25" s="665"/>
      <c r="BR25" s="539" t="s">
        <v>44</v>
      </c>
      <c r="BS25" s="540"/>
      <c r="BT25" s="540"/>
      <c r="BU25" s="541"/>
      <c r="BV25" s="466">
        <v>0</v>
      </c>
      <c r="BW25" s="480">
        <v>0</v>
      </c>
      <c r="BX25" s="466"/>
      <c r="BY25" s="478">
        <v>0</v>
      </c>
      <c r="BZ25" s="480">
        <v>1</v>
      </c>
      <c r="CA25" s="480">
        <v>0</v>
      </c>
      <c r="CB25" s="466">
        <v>0</v>
      </c>
      <c r="CC25" s="478">
        <v>0</v>
      </c>
      <c r="CD25" s="482">
        <f>SUM(BV25:CC26)</f>
        <v>1</v>
      </c>
      <c r="CE25" s="603">
        <f>BV25*55+BW25*55+BX25*55+BY25*55+BZ25*30+CA25*30+CB25*30+CC25*30</f>
        <v>30</v>
      </c>
      <c r="CF25" s="468" t="s">
        <v>304</v>
      </c>
      <c r="CG25" s="469"/>
      <c r="CH25" s="470"/>
      <c r="CI25" s="474">
        <v>30</v>
      </c>
      <c r="CJ25" s="474">
        <v>0</v>
      </c>
      <c r="CK25" s="468" t="s">
        <v>286</v>
      </c>
      <c r="CL25" s="470"/>
      <c r="CM25" s="476"/>
    </row>
    <row r="26" spans="3:120" ht="15.95" customHeight="1" thickBot="1">
      <c r="C26" s="659"/>
      <c r="D26" s="550"/>
      <c r="E26" s="551"/>
      <c r="F26" s="552"/>
      <c r="G26" s="554"/>
      <c r="H26" s="556"/>
      <c r="I26" s="558"/>
      <c r="J26" s="558"/>
      <c r="K26" s="558"/>
      <c r="L26" s="558"/>
      <c r="M26" s="520"/>
      <c r="N26" s="659"/>
      <c r="O26" s="550"/>
      <c r="P26" s="551"/>
      <c r="Q26" s="552"/>
      <c r="R26" s="554"/>
      <c r="S26" s="518"/>
      <c r="T26" s="558"/>
      <c r="U26" s="558"/>
      <c r="V26" s="558"/>
      <c r="W26" s="558"/>
      <c r="X26" s="520"/>
      <c r="Y26" s="659"/>
      <c r="Z26" s="550"/>
      <c r="AA26" s="551"/>
      <c r="AB26" s="552"/>
      <c r="AC26" s="570"/>
      <c r="AD26" s="572"/>
      <c r="AE26" s="558"/>
      <c r="AF26" s="558"/>
      <c r="AG26" s="558"/>
      <c r="AH26" s="558"/>
      <c r="AI26" s="520"/>
      <c r="BB26" s="3"/>
      <c r="BC26" s="3"/>
      <c r="BD26" s="3"/>
      <c r="BE26" s="3"/>
      <c r="BF26" s="3"/>
      <c r="BR26" s="542"/>
      <c r="BS26" s="543"/>
      <c r="BT26" s="543"/>
      <c r="BU26" s="544"/>
      <c r="BV26" s="467"/>
      <c r="BW26" s="481"/>
      <c r="BX26" s="467"/>
      <c r="BY26" s="479"/>
      <c r="BZ26" s="481"/>
      <c r="CA26" s="481"/>
      <c r="CB26" s="467"/>
      <c r="CC26" s="479"/>
      <c r="CD26" s="483"/>
      <c r="CE26" s="604"/>
      <c r="CF26" s="471"/>
      <c r="CG26" s="472"/>
      <c r="CH26" s="473"/>
      <c r="CI26" s="475"/>
      <c r="CJ26" s="475"/>
      <c r="CK26" s="471"/>
      <c r="CL26" s="473"/>
      <c r="CM26" s="477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</row>
    <row r="27" spans="3:120" ht="15.95" customHeight="1" thickBot="1">
      <c r="C27" s="670"/>
      <c r="D27" s="547" t="s">
        <v>307</v>
      </c>
      <c r="E27" s="548"/>
      <c r="F27" s="549"/>
      <c r="G27" s="553">
        <v>30.5</v>
      </c>
      <c r="H27" s="555">
        <v>25.8</v>
      </c>
      <c r="I27" s="557"/>
      <c r="J27" s="557"/>
      <c r="K27" s="557">
        <f>I27+J27</f>
        <v>0</v>
      </c>
      <c r="L27" s="593">
        <f>G27*K27</f>
        <v>0</v>
      </c>
      <c r="M27" s="519">
        <f>H27*K27</f>
        <v>0</v>
      </c>
      <c r="N27" s="670"/>
      <c r="O27" s="547" t="s">
        <v>307</v>
      </c>
      <c r="P27" s="548"/>
      <c r="Q27" s="549"/>
      <c r="R27" s="553">
        <v>9.4499999999999993</v>
      </c>
      <c r="S27" s="517">
        <v>8.01</v>
      </c>
      <c r="T27" s="557"/>
      <c r="U27" s="557"/>
      <c r="V27" s="557">
        <f>T27+U27</f>
        <v>0</v>
      </c>
      <c r="W27" s="593">
        <f>R27*V27</f>
        <v>0</v>
      </c>
      <c r="X27" s="519">
        <f>S27*V27</f>
        <v>0</v>
      </c>
      <c r="Y27" s="670"/>
      <c r="Z27" s="547" t="s">
        <v>307</v>
      </c>
      <c r="AA27" s="548"/>
      <c r="AB27" s="549"/>
      <c r="AC27" s="569"/>
      <c r="AD27" s="571"/>
      <c r="AE27" s="557"/>
      <c r="AF27" s="557"/>
      <c r="AG27" s="557">
        <f>AE27+AF27</f>
        <v>0</v>
      </c>
      <c r="AH27" s="593">
        <f>AC27*AG27</f>
        <v>0</v>
      </c>
      <c r="AI27" s="519">
        <f>AD27*AG27</f>
        <v>0</v>
      </c>
      <c r="BB27" s="3"/>
      <c r="BC27" s="3"/>
      <c r="BD27" s="3"/>
      <c r="BE27" s="3"/>
      <c r="BF27" s="3"/>
      <c r="BR27" s="539" t="s">
        <v>48</v>
      </c>
      <c r="BS27" s="540"/>
      <c r="BT27" s="540"/>
      <c r="BU27" s="541"/>
      <c r="BV27" s="466">
        <v>0</v>
      </c>
      <c r="BW27" s="480">
        <v>0</v>
      </c>
      <c r="BX27" s="466">
        <v>0</v>
      </c>
      <c r="BY27" s="478">
        <v>0</v>
      </c>
      <c r="BZ27" s="480">
        <v>1</v>
      </c>
      <c r="CA27" s="480">
        <v>0</v>
      </c>
      <c r="CB27" s="466">
        <v>0</v>
      </c>
      <c r="CC27" s="478">
        <v>0</v>
      </c>
      <c r="CD27" s="482">
        <f>SUM(BV27:CC28)</f>
        <v>1</v>
      </c>
      <c r="CE27" s="603">
        <f>BV27*55+BW27*55+BX27*55+BY27*55+BZ27*30+CA27*30+CB27*30+CC27*30</f>
        <v>30</v>
      </c>
      <c r="CF27" s="468" t="s">
        <v>304</v>
      </c>
      <c r="CG27" s="469"/>
      <c r="CH27" s="470"/>
      <c r="CI27" s="474">
        <v>30</v>
      </c>
      <c r="CJ27" s="474">
        <v>0</v>
      </c>
      <c r="CK27" s="468" t="s">
        <v>286</v>
      </c>
      <c r="CL27" s="470"/>
      <c r="CM27" s="476"/>
      <c r="CQ27" s="8"/>
      <c r="CV27" s="21"/>
      <c r="CW27" s="21"/>
      <c r="DA27" s="22"/>
      <c r="DB27" s="22"/>
      <c r="DE27" s="8"/>
      <c r="DJ27" s="21"/>
      <c r="DK27" s="21"/>
      <c r="DO27" s="22"/>
      <c r="DP27" s="22"/>
    </row>
    <row r="28" spans="3:120" ht="15.95" customHeight="1" thickBot="1">
      <c r="C28" s="670"/>
      <c r="D28" s="550"/>
      <c r="E28" s="551"/>
      <c r="F28" s="552"/>
      <c r="G28" s="554"/>
      <c r="H28" s="556"/>
      <c r="I28" s="558"/>
      <c r="J28" s="558"/>
      <c r="K28" s="558"/>
      <c r="L28" s="558"/>
      <c r="M28" s="520"/>
      <c r="N28" s="670"/>
      <c r="O28" s="550"/>
      <c r="P28" s="551"/>
      <c r="Q28" s="552"/>
      <c r="R28" s="554"/>
      <c r="S28" s="518"/>
      <c r="T28" s="558"/>
      <c r="U28" s="558"/>
      <c r="V28" s="558"/>
      <c r="W28" s="558"/>
      <c r="X28" s="520"/>
      <c r="Y28" s="670"/>
      <c r="Z28" s="550"/>
      <c r="AA28" s="551"/>
      <c r="AB28" s="552"/>
      <c r="AC28" s="570"/>
      <c r="AD28" s="572"/>
      <c r="AE28" s="558"/>
      <c r="AF28" s="558"/>
      <c r="AG28" s="558"/>
      <c r="AH28" s="558"/>
      <c r="AI28" s="520"/>
      <c r="AL28" s="608" t="s">
        <v>308</v>
      </c>
      <c r="AM28" s="609"/>
      <c r="AN28" s="609"/>
      <c r="AO28" s="610"/>
      <c r="AX28" s="673" t="s">
        <v>309</v>
      </c>
      <c r="AY28" s="674"/>
      <c r="AZ28" s="674"/>
      <c r="BA28" s="675"/>
      <c r="BB28" s="3"/>
      <c r="BC28" s="3"/>
      <c r="BD28" s="3"/>
      <c r="BE28" s="3"/>
      <c r="BF28" s="3"/>
      <c r="BR28" s="542"/>
      <c r="BS28" s="543"/>
      <c r="BT28" s="543"/>
      <c r="BU28" s="544"/>
      <c r="BV28" s="467"/>
      <c r="BW28" s="481"/>
      <c r="BX28" s="467"/>
      <c r="BY28" s="479"/>
      <c r="BZ28" s="481"/>
      <c r="CA28" s="481"/>
      <c r="CB28" s="467"/>
      <c r="CC28" s="479"/>
      <c r="CD28" s="483"/>
      <c r="CE28" s="604"/>
      <c r="CF28" s="471"/>
      <c r="CG28" s="472"/>
      <c r="CH28" s="473"/>
      <c r="CI28" s="475"/>
      <c r="CJ28" s="475"/>
      <c r="CK28" s="471"/>
      <c r="CL28" s="473"/>
      <c r="CM28" s="477"/>
      <c r="CX28" s="21"/>
      <c r="CY28" s="21"/>
      <c r="DA28" s="22"/>
      <c r="DB28" s="22"/>
      <c r="DL28" s="21"/>
      <c r="DM28" s="21"/>
      <c r="DO28" s="22"/>
      <c r="DP28" s="22"/>
    </row>
    <row r="29" spans="3:120" ht="15.95" customHeight="1" thickBot="1">
      <c r="C29" s="683"/>
      <c r="D29" s="547" t="s">
        <v>310</v>
      </c>
      <c r="E29" s="548"/>
      <c r="F29" s="549"/>
      <c r="G29" s="553"/>
      <c r="H29" s="555"/>
      <c r="I29" s="557"/>
      <c r="J29" s="557"/>
      <c r="K29" s="557">
        <f>I29+J29</f>
        <v>0</v>
      </c>
      <c r="L29" s="593">
        <f>G29*K29</f>
        <v>0</v>
      </c>
      <c r="M29" s="519">
        <f>H29*K29</f>
        <v>0</v>
      </c>
      <c r="N29" s="683"/>
      <c r="O29" s="547" t="s">
        <v>310</v>
      </c>
      <c r="P29" s="548"/>
      <c r="Q29" s="549"/>
      <c r="R29" s="553"/>
      <c r="S29" s="571"/>
      <c r="T29" s="557"/>
      <c r="U29" s="557"/>
      <c r="V29" s="557">
        <f>T29+U29</f>
        <v>0</v>
      </c>
      <c r="W29" s="593">
        <f>R29*V29</f>
        <v>0</v>
      </c>
      <c r="X29" s="519">
        <f>S29*V29</f>
        <v>0</v>
      </c>
      <c r="Y29" s="683"/>
      <c r="Z29" s="547" t="s">
        <v>310</v>
      </c>
      <c r="AA29" s="548"/>
      <c r="AB29" s="549"/>
      <c r="AC29" s="569"/>
      <c r="AD29" s="571"/>
      <c r="AE29" s="557"/>
      <c r="AF29" s="557"/>
      <c r="AG29" s="557">
        <f>AE29+AF29</f>
        <v>0</v>
      </c>
      <c r="AH29" s="593">
        <f>AC29*AG29</f>
        <v>0</v>
      </c>
      <c r="AI29" s="519">
        <f>AD29*AG29</f>
        <v>0</v>
      </c>
      <c r="AL29" s="611"/>
      <c r="AM29" s="612"/>
      <c r="AN29" s="612"/>
      <c r="AO29" s="613"/>
      <c r="AX29" s="676"/>
      <c r="AY29" s="677"/>
      <c r="AZ29" s="677"/>
      <c r="BA29" s="678"/>
      <c r="BB29" s="3"/>
      <c r="BC29" s="3"/>
      <c r="BD29" s="3"/>
      <c r="BE29" s="3"/>
      <c r="BF29" s="3"/>
      <c r="BR29" s="539" t="s">
        <v>311</v>
      </c>
      <c r="BS29" s="540"/>
      <c r="BT29" s="540"/>
      <c r="BU29" s="541"/>
      <c r="BV29" s="466">
        <v>1</v>
      </c>
      <c r="BW29" s="480">
        <v>0</v>
      </c>
      <c r="BX29" s="466"/>
      <c r="BY29" s="478">
        <v>0</v>
      </c>
      <c r="BZ29" s="480"/>
      <c r="CA29" s="480">
        <v>0</v>
      </c>
      <c r="CB29" s="466"/>
      <c r="CC29" s="478">
        <v>0</v>
      </c>
      <c r="CD29" s="482">
        <f>SUM(BV29:CC30)</f>
        <v>1</v>
      </c>
      <c r="CE29" s="603">
        <f>BV29*55+BW29*55+BX29*55+BY29*55+BZ29*30+CA29*30+CB29*30+CC29*30</f>
        <v>55</v>
      </c>
      <c r="CF29" s="468" t="s">
        <v>312</v>
      </c>
      <c r="CG29" s="469"/>
      <c r="CH29" s="470"/>
      <c r="CI29" s="474">
        <v>55</v>
      </c>
      <c r="CJ29" s="474">
        <v>0</v>
      </c>
      <c r="CK29" s="468" t="s">
        <v>286</v>
      </c>
      <c r="CL29" s="470"/>
      <c r="CM29" s="476"/>
    </row>
    <row r="30" spans="3:120" ht="15.95" customHeight="1" thickBot="1">
      <c r="C30" s="683"/>
      <c r="D30" s="550"/>
      <c r="E30" s="551"/>
      <c r="F30" s="552"/>
      <c r="G30" s="554"/>
      <c r="H30" s="556"/>
      <c r="I30" s="558"/>
      <c r="J30" s="558"/>
      <c r="K30" s="558"/>
      <c r="L30" s="558"/>
      <c r="M30" s="520"/>
      <c r="N30" s="683"/>
      <c r="O30" s="550"/>
      <c r="P30" s="551"/>
      <c r="Q30" s="552"/>
      <c r="R30" s="554"/>
      <c r="S30" s="572"/>
      <c r="T30" s="558"/>
      <c r="U30" s="558"/>
      <c r="V30" s="558"/>
      <c r="W30" s="558"/>
      <c r="X30" s="520"/>
      <c r="Y30" s="683"/>
      <c r="Z30" s="550"/>
      <c r="AA30" s="551"/>
      <c r="AB30" s="552"/>
      <c r="AC30" s="570"/>
      <c r="AD30" s="572"/>
      <c r="AE30" s="558"/>
      <c r="AF30" s="558"/>
      <c r="AG30" s="558"/>
      <c r="AH30" s="558"/>
      <c r="AI30" s="520"/>
      <c r="AL30" s="611"/>
      <c r="AM30" s="612"/>
      <c r="AN30" s="612"/>
      <c r="AO30" s="613"/>
      <c r="AP30" s="484" t="s">
        <v>313</v>
      </c>
      <c r="AQ30" s="671" t="s">
        <v>141</v>
      </c>
      <c r="AR30" s="484" t="s">
        <v>119</v>
      </c>
      <c r="AS30" s="484" t="s">
        <v>277</v>
      </c>
      <c r="AX30" s="676"/>
      <c r="AY30" s="677"/>
      <c r="AZ30" s="677"/>
      <c r="BA30" s="678"/>
      <c r="BB30" s="484" t="s">
        <v>16</v>
      </c>
      <c r="BC30" s="484" t="s">
        <v>13</v>
      </c>
      <c r="BD30" s="484" t="s">
        <v>275</v>
      </c>
      <c r="BE30" s="484" t="s">
        <v>314</v>
      </c>
      <c r="BF30" s="484" t="s">
        <v>277</v>
      </c>
      <c r="BR30" s="542"/>
      <c r="BS30" s="543"/>
      <c r="BT30" s="543"/>
      <c r="BU30" s="544"/>
      <c r="BV30" s="467"/>
      <c r="BW30" s="481"/>
      <c r="BX30" s="467"/>
      <c r="BY30" s="479"/>
      <c r="BZ30" s="481"/>
      <c r="CA30" s="481"/>
      <c r="CB30" s="467"/>
      <c r="CC30" s="479"/>
      <c r="CD30" s="483"/>
      <c r="CE30" s="604"/>
      <c r="CF30" s="471"/>
      <c r="CG30" s="472"/>
      <c r="CH30" s="473"/>
      <c r="CI30" s="475"/>
      <c r="CJ30" s="475"/>
      <c r="CK30" s="471"/>
      <c r="CL30" s="473"/>
      <c r="CM30" s="477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</row>
    <row r="31" spans="3:120" ht="15.95" customHeight="1" thickBot="1">
      <c r="C31" s="682"/>
      <c r="D31" s="547" t="s">
        <v>315</v>
      </c>
      <c r="E31" s="548"/>
      <c r="F31" s="549"/>
      <c r="G31" s="553">
        <v>30.5</v>
      </c>
      <c r="H31" s="555">
        <v>25.8</v>
      </c>
      <c r="I31" s="557"/>
      <c r="J31" s="557"/>
      <c r="K31" s="557">
        <f>I31+J31</f>
        <v>0</v>
      </c>
      <c r="L31" s="593">
        <f>G31*K31</f>
        <v>0</v>
      </c>
      <c r="M31" s="519">
        <f>H31*K31</f>
        <v>0</v>
      </c>
      <c r="N31" s="682"/>
      <c r="O31" s="547" t="s">
        <v>315</v>
      </c>
      <c r="P31" s="548"/>
      <c r="Q31" s="549"/>
      <c r="R31" s="553">
        <v>9.4499999999999993</v>
      </c>
      <c r="S31" s="517">
        <v>8.01</v>
      </c>
      <c r="T31" s="557"/>
      <c r="U31" s="557"/>
      <c r="V31" s="557">
        <f>T31+U31</f>
        <v>0</v>
      </c>
      <c r="W31" s="593">
        <f>R31*V31</f>
        <v>0</v>
      </c>
      <c r="X31" s="519">
        <f>S31*V31</f>
        <v>0</v>
      </c>
      <c r="Y31" s="682"/>
      <c r="Z31" s="547" t="s">
        <v>315</v>
      </c>
      <c r="AA31" s="548"/>
      <c r="AB31" s="549"/>
      <c r="AC31" s="569"/>
      <c r="AD31" s="571"/>
      <c r="AE31" s="557"/>
      <c r="AF31" s="557"/>
      <c r="AG31" s="557">
        <f>AE31+AF31</f>
        <v>0</v>
      </c>
      <c r="AH31" s="593">
        <f>AC31*AG31</f>
        <v>0</v>
      </c>
      <c r="AI31" s="519">
        <f>AD31*AG31</f>
        <v>0</v>
      </c>
      <c r="AL31" s="614"/>
      <c r="AM31" s="615"/>
      <c r="AN31" s="615"/>
      <c r="AO31" s="616"/>
      <c r="AP31" s="485"/>
      <c r="AQ31" s="672"/>
      <c r="AR31" s="485"/>
      <c r="AS31" s="485"/>
      <c r="AX31" s="679"/>
      <c r="AY31" s="680"/>
      <c r="AZ31" s="680"/>
      <c r="BA31" s="681"/>
      <c r="BB31" s="485"/>
      <c r="BC31" s="485"/>
      <c r="BD31" s="485"/>
      <c r="BE31" s="485"/>
      <c r="BF31" s="485"/>
      <c r="BR31" s="539" t="s">
        <v>316</v>
      </c>
      <c r="BS31" s="540"/>
      <c r="BT31" s="540"/>
      <c r="BU31" s="541"/>
      <c r="BV31" s="466">
        <v>0</v>
      </c>
      <c r="BW31" s="480">
        <v>0</v>
      </c>
      <c r="BX31" s="466"/>
      <c r="BY31" s="478">
        <v>0</v>
      </c>
      <c r="BZ31" s="480">
        <v>1</v>
      </c>
      <c r="CA31" s="480">
        <v>0</v>
      </c>
      <c r="CB31" s="466"/>
      <c r="CC31" s="478">
        <v>0</v>
      </c>
      <c r="CD31" s="482">
        <f>SUM(BV31:CC32)</f>
        <v>1</v>
      </c>
      <c r="CE31" s="603">
        <f>BV31*55+BW31*55+BX31*55+BY31*55+BZ31*30+CA31*30+CB31*30+CC31*30</f>
        <v>30</v>
      </c>
      <c r="CF31" s="468" t="s">
        <v>304</v>
      </c>
      <c r="CG31" s="469"/>
      <c r="CH31" s="470"/>
      <c r="CI31" s="474">
        <v>30</v>
      </c>
      <c r="CJ31" s="474">
        <v>0</v>
      </c>
      <c r="CK31" s="468" t="s">
        <v>286</v>
      </c>
      <c r="CL31" s="470"/>
      <c r="CM31" s="476"/>
      <c r="CQ31" s="8"/>
      <c r="CV31" s="21"/>
      <c r="CW31" s="21"/>
      <c r="DA31" s="22"/>
      <c r="DB31" s="22"/>
      <c r="DE31" s="8"/>
      <c r="DJ31" s="21"/>
      <c r="DK31" s="21"/>
      <c r="DO31" s="22"/>
      <c r="DP31" s="22"/>
    </row>
    <row r="32" spans="3:120" ht="15.95" customHeight="1" thickBot="1">
      <c r="C32" s="682"/>
      <c r="D32" s="550"/>
      <c r="E32" s="551"/>
      <c r="F32" s="552"/>
      <c r="G32" s="554"/>
      <c r="H32" s="556"/>
      <c r="I32" s="558"/>
      <c r="J32" s="558"/>
      <c r="K32" s="558"/>
      <c r="L32" s="558"/>
      <c r="M32" s="520"/>
      <c r="N32" s="682"/>
      <c r="O32" s="550"/>
      <c r="P32" s="551"/>
      <c r="Q32" s="552"/>
      <c r="R32" s="554"/>
      <c r="S32" s="518"/>
      <c r="T32" s="558"/>
      <c r="U32" s="558"/>
      <c r="V32" s="558"/>
      <c r="W32" s="558"/>
      <c r="X32" s="520"/>
      <c r="Y32" s="682"/>
      <c r="Z32" s="550"/>
      <c r="AA32" s="551"/>
      <c r="AB32" s="552"/>
      <c r="AC32" s="570"/>
      <c r="AD32" s="572"/>
      <c r="AE32" s="558"/>
      <c r="AF32" s="558"/>
      <c r="AG32" s="558"/>
      <c r="AH32" s="558"/>
      <c r="AI32" s="520"/>
      <c r="AL32" s="598"/>
      <c r="AM32" s="547" t="s">
        <v>261</v>
      </c>
      <c r="AN32" s="548"/>
      <c r="AO32" s="549"/>
      <c r="AP32" s="650">
        <f>H9</f>
        <v>27.5</v>
      </c>
      <c r="AQ32" s="650">
        <f>AS16</f>
        <v>4.2350000000000003</v>
      </c>
      <c r="AR32" s="650"/>
      <c r="AS32" s="650">
        <f>SUM(AP32:AR33)</f>
        <v>31.734999999999999</v>
      </c>
      <c r="AX32" s="598"/>
      <c r="AY32" s="547" t="s">
        <v>261</v>
      </c>
      <c r="AZ32" s="548"/>
      <c r="BA32" s="549"/>
      <c r="BB32" s="643">
        <v>1</v>
      </c>
      <c r="BC32" s="643">
        <v>0</v>
      </c>
      <c r="BD32" s="643">
        <f>BB32+BC32</f>
        <v>1</v>
      </c>
      <c r="BE32" s="643">
        <f>AS32</f>
        <v>31.734999999999999</v>
      </c>
      <c r="BF32" s="650">
        <f>BE32*BD32</f>
        <v>31.734999999999999</v>
      </c>
      <c r="BR32" s="542"/>
      <c r="BS32" s="543"/>
      <c r="BT32" s="543"/>
      <c r="BU32" s="544"/>
      <c r="BV32" s="467"/>
      <c r="BW32" s="481"/>
      <c r="BX32" s="467"/>
      <c r="BY32" s="479"/>
      <c r="BZ32" s="481"/>
      <c r="CA32" s="481"/>
      <c r="CB32" s="467"/>
      <c r="CC32" s="479"/>
      <c r="CD32" s="483"/>
      <c r="CE32" s="604"/>
      <c r="CF32" s="471"/>
      <c r="CG32" s="472"/>
      <c r="CH32" s="473"/>
      <c r="CI32" s="475"/>
      <c r="CJ32" s="475"/>
      <c r="CK32" s="471"/>
      <c r="CL32" s="473"/>
      <c r="CM32" s="477"/>
      <c r="CR32" s="24"/>
      <c r="CS32" s="24"/>
      <c r="CT32" s="24"/>
      <c r="CU32" s="24"/>
      <c r="CX32" s="21"/>
      <c r="CY32" s="21"/>
      <c r="DA32" s="22"/>
      <c r="DB32" s="22"/>
      <c r="DF32" s="24"/>
      <c r="DG32" s="24"/>
      <c r="DH32" s="24"/>
      <c r="DI32" s="24"/>
      <c r="DL32" s="21"/>
      <c r="DM32" s="21"/>
      <c r="DO32" s="22"/>
      <c r="DP32" s="22"/>
    </row>
    <row r="33" spans="3:120" ht="15.95" customHeight="1" thickBot="1">
      <c r="C33" s="689"/>
      <c r="D33" s="547" t="s">
        <v>317</v>
      </c>
      <c r="E33" s="548"/>
      <c r="F33" s="549"/>
      <c r="G33" s="553"/>
      <c r="H33" s="555"/>
      <c r="I33" s="557"/>
      <c r="J33" s="557"/>
      <c r="K33" s="557">
        <f>I33+J33</f>
        <v>0</v>
      </c>
      <c r="L33" s="593">
        <f>G33*K33</f>
        <v>0</v>
      </c>
      <c r="M33" s="519">
        <f>H33*K33</f>
        <v>0</v>
      </c>
      <c r="N33" s="690"/>
      <c r="O33" s="547" t="s">
        <v>317</v>
      </c>
      <c r="P33" s="548"/>
      <c r="Q33" s="549"/>
      <c r="R33" s="553">
        <v>9.4499999999999993</v>
      </c>
      <c r="S33" s="517">
        <v>8.01</v>
      </c>
      <c r="T33" s="557"/>
      <c r="U33" s="557"/>
      <c r="V33" s="557">
        <f>T33+U33</f>
        <v>0</v>
      </c>
      <c r="W33" s="593">
        <f>R33*V33</f>
        <v>0</v>
      </c>
      <c r="X33" s="519">
        <f>S33*V33</f>
        <v>0</v>
      </c>
      <c r="Y33" s="689"/>
      <c r="Z33" s="547" t="s">
        <v>317</v>
      </c>
      <c r="AA33" s="548"/>
      <c r="AB33" s="549"/>
      <c r="AC33" s="569"/>
      <c r="AD33" s="571"/>
      <c r="AE33" s="557"/>
      <c r="AF33" s="557"/>
      <c r="AG33" s="557">
        <f>AE33+AF33</f>
        <v>0</v>
      </c>
      <c r="AH33" s="593">
        <f>AC33*AG33</f>
        <v>0</v>
      </c>
      <c r="AI33" s="519">
        <f>AD33*AG33</f>
        <v>0</v>
      </c>
      <c r="AL33" s="598"/>
      <c r="AM33" s="550"/>
      <c r="AN33" s="551"/>
      <c r="AO33" s="552"/>
      <c r="AP33" s="644"/>
      <c r="AQ33" s="644"/>
      <c r="AR33" s="651"/>
      <c r="AS33" s="651"/>
      <c r="AX33" s="598"/>
      <c r="AY33" s="550"/>
      <c r="AZ33" s="551"/>
      <c r="BA33" s="552"/>
      <c r="BB33" s="644"/>
      <c r="BC33" s="644"/>
      <c r="BD33" s="644"/>
      <c r="BE33" s="644"/>
      <c r="BF33" s="651"/>
      <c r="BR33" s="539" t="s">
        <v>75</v>
      </c>
      <c r="BS33" s="540"/>
      <c r="BT33" s="540"/>
      <c r="BU33" s="541"/>
      <c r="BV33" s="466">
        <v>0</v>
      </c>
      <c r="BW33" s="480">
        <v>0</v>
      </c>
      <c r="BX33" s="466"/>
      <c r="BY33" s="478">
        <v>0</v>
      </c>
      <c r="BZ33" s="480">
        <v>0</v>
      </c>
      <c r="CA33" s="480">
        <v>0</v>
      </c>
      <c r="CB33" s="466">
        <v>1</v>
      </c>
      <c r="CC33" s="478">
        <v>0</v>
      </c>
      <c r="CD33" s="482">
        <f>SUM(BV33:CC34)</f>
        <v>1</v>
      </c>
      <c r="CE33" s="603">
        <f>BV33*55+BW33*55+BX33*55+BY33*55+BZ33*30+CA33*30+CB33*30+CC33*30</f>
        <v>30</v>
      </c>
      <c r="CF33" s="468" t="s">
        <v>304</v>
      </c>
      <c r="CG33" s="469"/>
      <c r="CH33" s="470"/>
      <c r="CI33" s="474">
        <v>30</v>
      </c>
      <c r="CJ33" s="474">
        <v>0</v>
      </c>
      <c r="CK33" s="468" t="s">
        <v>286</v>
      </c>
      <c r="CL33" s="470"/>
      <c r="CM33" s="476"/>
    </row>
    <row r="34" spans="3:120" ht="15.95" customHeight="1" thickBot="1">
      <c r="C34" s="689"/>
      <c r="D34" s="550"/>
      <c r="E34" s="551"/>
      <c r="F34" s="552"/>
      <c r="G34" s="554"/>
      <c r="H34" s="556"/>
      <c r="I34" s="558"/>
      <c r="J34" s="558"/>
      <c r="K34" s="558"/>
      <c r="L34" s="558"/>
      <c r="M34" s="657"/>
      <c r="N34" s="690"/>
      <c r="O34" s="550"/>
      <c r="P34" s="551"/>
      <c r="Q34" s="552"/>
      <c r="R34" s="554"/>
      <c r="S34" s="518"/>
      <c r="T34" s="558"/>
      <c r="U34" s="558"/>
      <c r="V34" s="558"/>
      <c r="W34" s="558"/>
      <c r="X34" s="520"/>
      <c r="Y34" s="689"/>
      <c r="Z34" s="550"/>
      <c r="AA34" s="551"/>
      <c r="AB34" s="552"/>
      <c r="AC34" s="570"/>
      <c r="AD34" s="572"/>
      <c r="AE34" s="558"/>
      <c r="AF34" s="558"/>
      <c r="AG34" s="558"/>
      <c r="AH34" s="558"/>
      <c r="AI34" s="520"/>
      <c r="AL34" s="607"/>
      <c r="AM34" s="547" t="s">
        <v>262</v>
      </c>
      <c r="AN34" s="548"/>
      <c r="AO34" s="549"/>
      <c r="AP34" s="519">
        <f>H13</f>
        <v>25.8</v>
      </c>
      <c r="AQ34" s="519">
        <f>AS18</f>
        <v>4.2350000000000003</v>
      </c>
      <c r="AR34" s="519"/>
      <c r="AS34" s="650">
        <f>SUM(AP34:AR35)</f>
        <v>30.035</v>
      </c>
      <c r="AX34" s="607"/>
      <c r="AY34" s="547" t="s">
        <v>262</v>
      </c>
      <c r="AZ34" s="548"/>
      <c r="BA34" s="549"/>
      <c r="BB34" s="649">
        <v>1</v>
      </c>
      <c r="BC34" s="649">
        <v>0</v>
      </c>
      <c r="BD34" s="643">
        <f>BB34+BC34</f>
        <v>1</v>
      </c>
      <c r="BE34" s="650">
        <f>AS34</f>
        <v>30.035</v>
      </c>
      <c r="BF34" s="650">
        <f>BE34*BD34</f>
        <v>30.035</v>
      </c>
      <c r="BR34" s="542"/>
      <c r="BS34" s="543"/>
      <c r="BT34" s="543"/>
      <c r="BU34" s="544"/>
      <c r="BV34" s="467"/>
      <c r="BW34" s="481"/>
      <c r="BX34" s="467"/>
      <c r="BY34" s="479"/>
      <c r="BZ34" s="481"/>
      <c r="CA34" s="481"/>
      <c r="CB34" s="467"/>
      <c r="CC34" s="479"/>
      <c r="CD34" s="483"/>
      <c r="CE34" s="604"/>
      <c r="CF34" s="471"/>
      <c r="CG34" s="472"/>
      <c r="CH34" s="473"/>
      <c r="CI34" s="475"/>
      <c r="CJ34" s="475"/>
      <c r="CK34" s="471"/>
      <c r="CL34" s="473"/>
      <c r="CM34" s="477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</row>
    <row r="35" spans="3:120" ht="15.95" customHeight="1" thickBot="1">
      <c r="C35" s="684"/>
      <c r="D35" s="547" t="s">
        <v>318</v>
      </c>
      <c r="E35" s="548"/>
      <c r="F35" s="548"/>
      <c r="G35" s="553">
        <v>30.5</v>
      </c>
      <c r="H35" s="687">
        <v>25.8</v>
      </c>
      <c r="I35" s="557"/>
      <c r="J35" s="557"/>
      <c r="K35" s="649">
        <f>I35+J35</f>
        <v>0</v>
      </c>
      <c r="L35" s="693">
        <f>G35*K35</f>
        <v>0</v>
      </c>
      <c r="M35" s="519">
        <f>H35*K35</f>
        <v>0</v>
      </c>
      <c r="N35" s="654"/>
      <c r="O35" s="547" t="s">
        <v>319</v>
      </c>
      <c r="P35" s="548"/>
      <c r="Q35" s="549"/>
      <c r="R35" s="553">
        <v>9.4499999999999993</v>
      </c>
      <c r="S35" s="691">
        <v>8.01</v>
      </c>
      <c r="T35" s="557">
        <v>8</v>
      </c>
      <c r="U35" s="557"/>
      <c r="V35" s="649">
        <f>T35+U35</f>
        <v>8</v>
      </c>
      <c r="W35" s="693">
        <f>R35*V35</f>
        <v>75.599999999999994</v>
      </c>
      <c r="X35" s="519">
        <f>S35*V35</f>
        <v>64.08</v>
      </c>
      <c r="Y35" s="684"/>
      <c r="Z35" s="547" t="s">
        <v>318</v>
      </c>
      <c r="AA35" s="548"/>
      <c r="AB35" s="549"/>
      <c r="AC35" s="569"/>
      <c r="AD35" s="571"/>
      <c r="AE35" s="557"/>
      <c r="AF35" s="557"/>
      <c r="AG35" s="649">
        <f>AE35+AF35</f>
        <v>0</v>
      </c>
      <c r="AH35" s="693">
        <f>AC35*AG35</f>
        <v>0</v>
      </c>
      <c r="AI35" s="519">
        <f>AD35*AG35</f>
        <v>0</v>
      </c>
      <c r="AL35" s="607"/>
      <c r="AM35" s="550"/>
      <c r="AN35" s="551"/>
      <c r="AO35" s="552"/>
      <c r="AP35" s="640"/>
      <c r="AQ35" s="640"/>
      <c r="AR35" s="640"/>
      <c r="AS35" s="651"/>
      <c r="AX35" s="607"/>
      <c r="AY35" s="550"/>
      <c r="AZ35" s="551"/>
      <c r="BA35" s="552"/>
      <c r="BB35" s="520"/>
      <c r="BC35" s="520"/>
      <c r="BD35" s="644"/>
      <c r="BE35" s="644"/>
      <c r="BF35" s="651"/>
      <c r="BR35" s="539" t="s">
        <v>25</v>
      </c>
      <c r="BS35" s="540"/>
      <c r="BT35" s="540"/>
      <c r="BU35" s="541"/>
      <c r="BV35" s="466">
        <v>0</v>
      </c>
      <c r="BW35" s="480">
        <v>0</v>
      </c>
      <c r="BX35" s="466"/>
      <c r="BY35" s="478">
        <v>0</v>
      </c>
      <c r="BZ35" s="480">
        <v>0</v>
      </c>
      <c r="CA35" s="480">
        <v>0</v>
      </c>
      <c r="CB35" s="466">
        <v>1</v>
      </c>
      <c r="CC35" s="478">
        <v>0</v>
      </c>
      <c r="CD35" s="482">
        <f>SUM(BV35:CC36)</f>
        <v>1</v>
      </c>
      <c r="CE35" s="603">
        <f>BV35*55+BW35*55+BX35*55+BY35*55+BZ35*30+CA35*30+CB35*30+CC35*30</f>
        <v>30</v>
      </c>
      <c r="CF35" s="468" t="s">
        <v>304</v>
      </c>
      <c r="CG35" s="469"/>
      <c r="CH35" s="470"/>
      <c r="CI35" s="474">
        <v>30</v>
      </c>
      <c r="CJ35" s="474">
        <v>0</v>
      </c>
      <c r="CK35" s="468" t="s">
        <v>286</v>
      </c>
      <c r="CL35" s="470"/>
      <c r="CM35" s="476"/>
      <c r="CQ35" s="8"/>
      <c r="CV35" s="21"/>
      <c r="CW35" s="21"/>
      <c r="DA35" s="22"/>
      <c r="DB35" s="22"/>
      <c r="DE35" s="8"/>
      <c r="DJ35" s="21"/>
      <c r="DK35" s="21"/>
      <c r="DO35" s="22"/>
      <c r="DP35" s="22"/>
    </row>
    <row r="36" spans="3:120" ht="15.95" customHeight="1" thickBot="1">
      <c r="C36" s="685"/>
      <c r="D36" s="550"/>
      <c r="E36" s="551"/>
      <c r="F36" s="551"/>
      <c r="G36" s="686"/>
      <c r="H36" s="688"/>
      <c r="I36" s="668"/>
      <c r="J36" s="668"/>
      <c r="K36" s="657"/>
      <c r="L36" s="657"/>
      <c r="M36" s="657"/>
      <c r="N36" s="655"/>
      <c r="O36" s="550"/>
      <c r="P36" s="551"/>
      <c r="Q36" s="552"/>
      <c r="R36" s="686"/>
      <c r="S36" s="692"/>
      <c r="T36" s="668"/>
      <c r="U36" s="668"/>
      <c r="V36" s="657"/>
      <c r="W36" s="657"/>
      <c r="X36" s="657"/>
      <c r="Y36" s="685"/>
      <c r="Z36" s="550"/>
      <c r="AA36" s="551"/>
      <c r="AB36" s="552"/>
      <c r="AC36" s="698"/>
      <c r="AD36" s="699"/>
      <c r="AE36" s="668"/>
      <c r="AF36" s="668"/>
      <c r="AG36" s="657"/>
      <c r="AH36" s="657"/>
      <c r="AI36" s="657"/>
      <c r="AL36" s="638"/>
      <c r="AM36" s="547" t="s">
        <v>263</v>
      </c>
      <c r="AN36" s="548"/>
      <c r="AO36" s="549"/>
      <c r="AP36" s="519">
        <f>S15</f>
        <v>8.01</v>
      </c>
      <c r="AQ36" s="519">
        <f>AS20</f>
        <v>3.0249999999999999</v>
      </c>
      <c r="AR36" s="519"/>
      <c r="AS36" s="650">
        <f>SUM(AP36:AR37)</f>
        <v>11.035</v>
      </c>
      <c r="AX36" s="638"/>
      <c r="AY36" s="547" t="s">
        <v>263</v>
      </c>
      <c r="AZ36" s="548"/>
      <c r="BA36" s="549"/>
      <c r="BB36" s="649">
        <v>2</v>
      </c>
      <c r="BC36" s="649">
        <v>0</v>
      </c>
      <c r="BD36" s="643">
        <f>BB36+BC36</f>
        <v>2</v>
      </c>
      <c r="BE36" s="650">
        <f>AS36</f>
        <v>11.035</v>
      </c>
      <c r="BF36" s="650">
        <f>BE36*BD36</f>
        <v>22.07</v>
      </c>
      <c r="BR36" s="542"/>
      <c r="BS36" s="543"/>
      <c r="BT36" s="543"/>
      <c r="BU36" s="544"/>
      <c r="BV36" s="467"/>
      <c r="BW36" s="481"/>
      <c r="BX36" s="467"/>
      <c r="BY36" s="479"/>
      <c r="BZ36" s="481"/>
      <c r="CA36" s="481"/>
      <c r="CB36" s="467"/>
      <c r="CC36" s="479"/>
      <c r="CD36" s="483"/>
      <c r="CE36" s="604"/>
      <c r="CF36" s="471"/>
      <c r="CG36" s="472"/>
      <c r="CH36" s="473"/>
      <c r="CI36" s="475"/>
      <c r="CJ36" s="475"/>
      <c r="CK36" s="471"/>
      <c r="CL36" s="473"/>
      <c r="CM36" s="477"/>
      <c r="CR36" s="25"/>
      <c r="CS36" s="25"/>
      <c r="CT36" s="25"/>
      <c r="CU36" s="25"/>
      <c r="CX36" s="21"/>
      <c r="CY36" s="21"/>
      <c r="DA36" s="22"/>
      <c r="DB36" s="22"/>
      <c r="DF36" s="25"/>
      <c r="DG36" s="25"/>
      <c r="DH36" s="25"/>
      <c r="DI36" s="25"/>
      <c r="DL36" s="21"/>
      <c r="DM36" s="21"/>
      <c r="DO36" s="22"/>
      <c r="DP36" s="22"/>
    </row>
    <row r="37" spans="3:120" ht="15.95" customHeight="1" thickBot="1">
      <c r="G37" s="3"/>
      <c r="H37" s="3"/>
      <c r="I37" s="660">
        <f>SUM(I7:I36)</f>
        <v>14</v>
      </c>
      <c r="J37" s="660">
        <f>SUM(J7:J36)</f>
        <v>2</v>
      </c>
      <c r="K37" s="660">
        <f>SUM(K7:K36)</f>
        <v>16</v>
      </c>
      <c r="L37" s="696">
        <f>SUM(L7:L36)</f>
        <v>508</v>
      </c>
      <c r="M37" s="662">
        <f>SUM(M7:M36)</f>
        <v>429.8</v>
      </c>
      <c r="R37" s="3"/>
      <c r="S37" s="3"/>
      <c r="T37" s="660">
        <f>SUM(T7:T36)</f>
        <v>16</v>
      </c>
      <c r="U37" s="660">
        <f>SUM(U7:U36)</f>
        <v>0</v>
      </c>
      <c r="V37" s="660">
        <f>SUM(V7:V36)</f>
        <v>16</v>
      </c>
      <c r="W37" s="696">
        <f>SUM(W7:W36)</f>
        <v>151.19999999999999</v>
      </c>
      <c r="X37" s="694">
        <f>SUM(X7:X36)</f>
        <v>128.16</v>
      </c>
      <c r="AC37" s="3"/>
      <c r="AD37" s="3"/>
      <c r="AE37" s="660">
        <f>SUM(AE7:AE36)</f>
        <v>0</v>
      </c>
      <c r="AF37" s="660">
        <f>SUM(AF7:AF36)</f>
        <v>0</v>
      </c>
      <c r="AG37" s="660">
        <f>SUM(AG7:AG36)</f>
        <v>0</v>
      </c>
      <c r="AH37" s="696">
        <f>SUM(AH7:AH36)</f>
        <v>0</v>
      </c>
      <c r="AI37" s="662">
        <f>SUM(AI7:AI36)</f>
        <v>0</v>
      </c>
      <c r="AL37" s="638"/>
      <c r="AM37" s="550"/>
      <c r="AN37" s="551"/>
      <c r="AO37" s="552"/>
      <c r="AP37" s="640"/>
      <c r="AQ37" s="640"/>
      <c r="AR37" s="640"/>
      <c r="AS37" s="651"/>
      <c r="AX37" s="638"/>
      <c r="AY37" s="550"/>
      <c r="AZ37" s="551"/>
      <c r="BA37" s="552"/>
      <c r="BB37" s="520"/>
      <c r="BC37" s="520"/>
      <c r="BD37" s="644"/>
      <c r="BE37" s="644"/>
      <c r="BF37" s="651"/>
      <c r="BR37" s="539" t="s">
        <v>320</v>
      </c>
      <c r="BS37" s="540"/>
      <c r="BT37" s="540"/>
      <c r="BU37" s="541"/>
      <c r="BV37" s="466"/>
      <c r="BW37" s="480">
        <v>0</v>
      </c>
      <c r="BX37" s="466">
        <v>1</v>
      </c>
      <c r="BY37" s="478">
        <v>0</v>
      </c>
      <c r="BZ37" s="480"/>
      <c r="CA37" s="480">
        <v>0</v>
      </c>
      <c r="CB37" s="466"/>
      <c r="CC37" s="478">
        <v>0</v>
      </c>
      <c r="CD37" s="482">
        <f>SUM(BV37:CC38)</f>
        <v>1</v>
      </c>
      <c r="CE37" s="603">
        <f>BV37*55+BW37*55+BX37*55+BY37*55+BZ37*30+CA37*30+CB37*30+CC37*30</f>
        <v>55</v>
      </c>
      <c r="CF37" s="468" t="s">
        <v>321</v>
      </c>
      <c r="CG37" s="469"/>
      <c r="CH37" s="470"/>
      <c r="CI37" s="474">
        <v>20</v>
      </c>
      <c r="CJ37" s="474">
        <v>20</v>
      </c>
      <c r="CK37" s="468" t="s">
        <v>286</v>
      </c>
      <c r="CL37" s="470"/>
      <c r="CM37" s="476"/>
    </row>
    <row r="38" spans="3:120" ht="15.95" customHeight="1" thickBot="1">
      <c r="G38" s="3"/>
      <c r="H38" s="3"/>
      <c r="I38" s="661"/>
      <c r="J38" s="661"/>
      <c r="K38" s="661"/>
      <c r="L38" s="661"/>
      <c r="M38" s="697"/>
      <c r="R38" s="3"/>
      <c r="S38" s="3"/>
      <c r="T38" s="661"/>
      <c r="U38" s="661"/>
      <c r="V38" s="661"/>
      <c r="W38" s="700"/>
      <c r="X38" s="695"/>
      <c r="AC38" s="3"/>
      <c r="AD38" s="3"/>
      <c r="AE38" s="661"/>
      <c r="AF38" s="661"/>
      <c r="AG38" s="661"/>
      <c r="AH38" s="661"/>
      <c r="AI38" s="697"/>
      <c r="AL38" s="654"/>
      <c r="AM38" s="547" t="s">
        <v>264</v>
      </c>
      <c r="AN38" s="548"/>
      <c r="AO38" s="549"/>
      <c r="AP38" s="519">
        <f>S35</f>
        <v>8.01</v>
      </c>
      <c r="AQ38" s="519">
        <f>AS22</f>
        <v>3.0249999999999999</v>
      </c>
      <c r="AR38" s="519"/>
      <c r="AS38" s="650">
        <f>SUM(AP38:AR39)</f>
        <v>11.035</v>
      </c>
      <c r="AX38" s="654"/>
      <c r="AY38" s="547" t="s">
        <v>264</v>
      </c>
      <c r="AZ38" s="548"/>
      <c r="BA38" s="549"/>
      <c r="BB38" s="649">
        <v>2</v>
      </c>
      <c r="BC38" s="649">
        <v>0</v>
      </c>
      <c r="BD38" s="643">
        <f>BB38+BC38</f>
        <v>2</v>
      </c>
      <c r="BE38" s="650">
        <f>AS38</f>
        <v>11.035</v>
      </c>
      <c r="BF38" s="650">
        <f>BE38*BD38</f>
        <v>22.07</v>
      </c>
      <c r="BR38" s="542"/>
      <c r="BS38" s="543"/>
      <c r="BT38" s="543"/>
      <c r="BU38" s="544"/>
      <c r="BV38" s="467"/>
      <c r="BW38" s="481"/>
      <c r="BX38" s="467"/>
      <c r="BY38" s="479"/>
      <c r="BZ38" s="481"/>
      <c r="CA38" s="481"/>
      <c r="CB38" s="467"/>
      <c r="CC38" s="479"/>
      <c r="CD38" s="483"/>
      <c r="CE38" s="604"/>
      <c r="CF38" s="471"/>
      <c r="CG38" s="472"/>
      <c r="CH38" s="473"/>
      <c r="CI38" s="475"/>
      <c r="CJ38" s="475"/>
      <c r="CK38" s="471"/>
      <c r="CL38" s="473"/>
      <c r="CM38" s="477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</row>
    <row r="39" spans="3:120" ht="15.95" customHeight="1" thickBot="1">
      <c r="AL39" s="655"/>
      <c r="AM39" s="550"/>
      <c r="AN39" s="551"/>
      <c r="AO39" s="552"/>
      <c r="AP39" s="669"/>
      <c r="AQ39" s="669"/>
      <c r="AR39" s="669"/>
      <c r="AS39" s="665"/>
      <c r="AX39" s="655"/>
      <c r="AY39" s="550"/>
      <c r="AZ39" s="551"/>
      <c r="BA39" s="552"/>
      <c r="BB39" s="657"/>
      <c r="BC39" s="657"/>
      <c r="BD39" s="644"/>
      <c r="BE39" s="664"/>
      <c r="BF39" s="665"/>
      <c r="BR39" s="539" t="s">
        <v>43</v>
      </c>
      <c r="BS39" s="540"/>
      <c r="BT39" s="540"/>
      <c r="BU39" s="541"/>
      <c r="BV39" s="466"/>
      <c r="BW39" s="480">
        <v>0</v>
      </c>
      <c r="BX39" s="466">
        <v>1</v>
      </c>
      <c r="BY39" s="478">
        <v>0</v>
      </c>
      <c r="BZ39" s="480"/>
      <c r="CA39" s="480">
        <v>0</v>
      </c>
      <c r="CB39" s="466"/>
      <c r="CC39" s="478">
        <v>0</v>
      </c>
      <c r="CD39" s="482">
        <f>SUM(BV39:CC40)</f>
        <v>1</v>
      </c>
      <c r="CE39" s="603">
        <f>BV39*55+BW39*55+BX39*55+BY39*55+BZ39*30+CA39*30+CB39*30+CC39*30</f>
        <v>55</v>
      </c>
      <c r="CF39" s="468" t="s">
        <v>322</v>
      </c>
      <c r="CG39" s="469"/>
      <c r="CH39" s="470"/>
      <c r="CI39" s="474">
        <v>0</v>
      </c>
      <c r="CJ39" s="474">
        <v>40</v>
      </c>
      <c r="CK39" s="468" t="s">
        <v>286</v>
      </c>
      <c r="CL39" s="470"/>
      <c r="CM39" s="476"/>
      <c r="CQ39" s="8"/>
      <c r="CV39" s="21"/>
      <c r="CW39" s="21"/>
      <c r="DA39" s="22"/>
      <c r="DB39" s="22"/>
      <c r="DE39" s="8"/>
      <c r="DJ39" s="21"/>
      <c r="DK39" s="21"/>
      <c r="DO39" s="22"/>
      <c r="DP39" s="22"/>
    </row>
    <row r="40" spans="3:120" ht="15.95" customHeight="1" thickBot="1">
      <c r="BB40" s="3"/>
      <c r="BC40" s="3"/>
      <c r="BD40" s="643">
        <f>SUM(BD32:BD39)</f>
        <v>6</v>
      </c>
      <c r="BE40" s="3"/>
      <c r="BF40" s="650">
        <f>SUM(BF32:BF39)</f>
        <v>105.91</v>
      </c>
      <c r="BR40" s="542"/>
      <c r="BS40" s="543"/>
      <c r="BT40" s="543"/>
      <c r="BU40" s="544"/>
      <c r="BV40" s="467"/>
      <c r="BW40" s="481"/>
      <c r="BX40" s="467"/>
      <c r="BY40" s="479"/>
      <c r="BZ40" s="481"/>
      <c r="CA40" s="481"/>
      <c r="CB40" s="467"/>
      <c r="CC40" s="479"/>
      <c r="CD40" s="483"/>
      <c r="CE40" s="604"/>
      <c r="CF40" s="471"/>
      <c r="CG40" s="472"/>
      <c r="CH40" s="473"/>
      <c r="CI40" s="475"/>
      <c r="CJ40" s="475"/>
      <c r="CK40" s="471"/>
      <c r="CL40" s="473"/>
      <c r="CM40" s="477"/>
      <c r="CX40" s="21"/>
      <c r="CY40" s="21"/>
      <c r="DA40" s="22"/>
      <c r="DB40" s="22"/>
      <c r="DL40" s="21"/>
      <c r="DM40" s="21"/>
      <c r="DO40" s="22"/>
      <c r="DP40" s="22"/>
    </row>
    <row r="41" spans="3:120" ht="15.95" customHeight="1" thickBot="1">
      <c r="G41" s="523" t="s">
        <v>323</v>
      </c>
      <c r="H41" s="524"/>
      <c r="I41" s="524"/>
      <c r="J41" s="524"/>
      <c r="K41" s="524"/>
      <c r="L41" s="524"/>
      <c r="M41" s="525"/>
      <c r="R41" s="523" t="s">
        <v>324</v>
      </c>
      <c r="S41" s="524"/>
      <c r="T41" s="524"/>
      <c r="U41" s="524"/>
      <c r="V41" s="524"/>
      <c r="W41" s="524"/>
      <c r="X41" s="525"/>
      <c r="AC41" s="523" t="s">
        <v>325</v>
      </c>
      <c r="AD41" s="524"/>
      <c r="AE41" s="524"/>
      <c r="AF41" s="524"/>
      <c r="AG41" s="524"/>
      <c r="AH41" s="524"/>
      <c r="AI41" s="525"/>
      <c r="BB41" s="3"/>
      <c r="BC41" s="3"/>
      <c r="BD41" s="664"/>
      <c r="BE41" s="3"/>
      <c r="BF41" s="665"/>
      <c r="BR41" s="539" t="s">
        <v>326</v>
      </c>
      <c r="BS41" s="540"/>
      <c r="BT41" s="540"/>
      <c r="BU41" s="541"/>
      <c r="BV41" s="466"/>
      <c r="BW41" s="480">
        <v>0</v>
      </c>
      <c r="BX41" s="466">
        <v>1</v>
      </c>
      <c r="BY41" s="478">
        <v>0</v>
      </c>
      <c r="BZ41" s="480"/>
      <c r="CA41" s="480">
        <v>0</v>
      </c>
      <c r="CB41" s="466"/>
      <c r="CC41" s="478">
        <v>0</v>
      </c>
      <c r="CD41" s="482">
        <f>SUM(BV41:CC42)</f>
        <v>1</v>
      </c>
      <c r="CE41" s="603">
        <f>BV41*55+BW41*55+BX41*55+BY41*55+BZ41*30+CA41*30+CB41*30+CC41*30</f>
        <v>55</v>
      </c>
      <c r="CF41" s="468" t="s">
        <v>327</v>
      </c>
      <c r="CG41" s="469"/>
      <c r="CH41" s="470"/>
      <c r="CI41" s="474">
        <v>0</v>
      </c>
      <c r="CJ41" s="474">
        <v>32</v>
      </c>
      <c r="CK41" s="468" t="s">
        <v>286</v>
      </c>
      <c r="CL41" s="470"/>
      <c r="CM41" s="476">
        <v>44626</v>
      </c>
    </row>
    <row r="42" spans="3:120" ht="15.95" customHeight="1" thickBot="1">
      <c r="G42" s="526"/>
      <c r="H42" s="527"/>
      <c r="I42" s="527"/>
      <c r="J42" s="527"/>
      <c r="K42" s="527"/>
      <c r="L42" s="527"/>
      <c r="M42" s="528"/>
      <c r="R42" s="526"/>
      <c r="S42" s="527"/>
      <c r="T42" s="527"/>
      <c r="U42" s="527"/>
      <c r="V42" s="527"/>
      <c r="W42" s="527"/>
      <c r="X42" s="528"/>
      <c r="AC42" s="526"/>
      <c r="AD42" s="527"/>
      <c r="AE42" s="527"/>
      <c r="AF42" s="527"/>
      <c r="AG42" s="527"/>
      <c r="AH42" s="527"/>
      <c r="AI42" s="528"/>
      <c r="BB42" s="3"/>
      <c r="BC42" s="3"/>
      <c r="BD42" s="3"/>
      <c r="BE42" s="3"/>
      <c r="BF42" s="3"/>
      <c r="BR42" s="542"/>
      <c r="BS42" s="543"/>
      <c r="BT42" s="543"/>
      <c r="BU42" s="544"/>
      <c r="BV42" s="467"/>
      <c r="BW42" s="481"/>
      <c r="BX42" s="467"/>
      <c r="BY42" s="479"/>
      <c r="BZ42" s="481"/>
      <c r="CA42" s="481"/>
      <c r="CB42" s="467"/>
      <c r="CC42" s="479"/>
      <c r="CD42" s="483"/>
      <c r="CE42" s="604"/>
      <c r="CF42" s="471"/>
      <c r="CG42" s="472"/>
      <c r="CH42" s="473"/>
      <c r="CI42" s="475"/>
      <c r="CJ42" s="475"/>
      <c r="CK42" s="471"/>
      <c r="CL42" s="473"/>
      <c r="CM42" s="477"/>
      <c r="CP42" s="20"/>
      <c r="CQ42" s="20"/>
      <c r="CR42" s="20"/>
      <c r="CS42" s="20"/>
      <c r="CT42" s="20"/>
      <c r="CU42" s="20"/>
      <c r="CV42" s="20"/>
      <c r="CW42" s="20"/>
      <c r="CX42" s="20"/>
      <c r="CY42" s="20"/>
    </row>
    <row r="43" spans="3:120" ht="15.95" customHeight="1" thickBot="1">
      <c r="G43" s="486" t="s">
        <v>273</v>
      </c>
      <c r="H43" s="484" t="s">
        <v>274</v>
      </c>
      <c r="I43" s="484" t="s">
        <v>16</v>
      </c>
      <c r="J43" s="484" t="s">
        <v>13</v>
      </c>
      <c r="K43" s="484" t="s">
        <v>275</v>
      </c>
      <c r="L43" s="484" t="s">
        <v>276</v>
      </c>
      <c r="M43" s="484" t="s">
        <v>277</v>
      </c>
      <c r="R43" s="486" t="s">
        <v>273</v>
      </c>
      <c r="S43" s="484" t="s">
        <v>274</v>
      </c>
      <c r="T43" s="484" t="s">
        <v>16</v>
      </c>
      <c r="U43" s="484" t="s">
        <v>13</v>
      </c>
      <c r="V43" s="484" t="s">
        <v>275</v>
      </c>
      <c r="W43" s="484" t="s">
        <v>276</v>
      </c>
      <c r="X43" s="484" t="s">
        <v>277</v>
      </c>
      <c r="AC43" s="486" t="s">
        <v>273</v>
      </c>
      <c r="AD43" s="484" t="s">
        <v>274</v>
      </c>
      <c r="AE43" s="484" t="s">
        <v>16</v>
      </c>
      <c r="AF43" s="484" t="s">
        <v>13</v>
      </c>
      <c r="AG43" s="484" t="s">
        <v>275</v>
      </c>
      <c r="AH43" s="484" t="s">
        <v>276</v>
      </c>
      <c r="AI43" s="484" t="s">
        <v>277</v>
      </c>
      <c r="BB43" s="3"/>
      <c r="BC43" s="3"/>
      <c r="BD43" s="3"/>
      <c r="BE43" s="3"/>
      <c r="BF43" s="3"/>
      <c r="BR43" s="583"/>
      <c r="BS43" s="594"/>
      <c r="BT43" s="594"/>
      <c r="BU43" s="584"/>
      <c r="BV43" s="728"/>
      <c r="BW43" s="703"/>
      <c r="BX43" s="728"/>
      <c r="BY43" s="701"/>
      <c r="BZ43" s="703"/>
      <c r="CA43" s="703"/>
      <c r="CB43" s="728"/>
      <c r="CC43" s="701"/>
      <c r="CD43" s="730">
        <f>SUM(BV43:CC44)</f>
        <v>0</v>
      </c>
      <c r="CE43" s="732">
        <f>BV43*55+BW43*55+BX43*55+BY43*55+BZ43*30+CA43*30+CB43*30+CC43*30</f>
        <v>0</v>
      </c>
      <c r="CF43" s="722"/>
      <c r="CG43" s="734"/>
      <c r="CH43" s="723"/>
      <c r="CI43" s="720"/>
      <c r="CJ43" s="720"/>
      <c r="CK43" s="722"/>
      <c r="CL43" s="723"/>
      <c r="CM43" s="726"/>
      <c r="CQ43" s="8"/>
      <c r="CV43" s="21"/>
      <c r="CW43" s="21"/>
      <c r="DA43" s="22"/>
      <c r="DB43" s="22"/>
    </row>
    <row r="44" spans="3:120" ht="15.95" customHeight="1" thickBot="1">
      <c r="G44" s="487"/>
      <c r="H44" s="485"/>
      <c r="I44" s="485"/>
      <c r="J44" s="485"/>
      <c r="K44" s="485"/>
      <c r="L44" s="485"/>
      <c r="M44" s="485"/>
      <c r="R44" s="487"/>
      <c r="S44" s="485"/>
      <c r="T44" s="485"/>
      <c r="U44" s="485"/>
      <c r="V44" s="485"/>
      <c r="W44" s="485"/>
      <c r="X44" s="485"/>
      <c r="AC44" s="487"/>
      <c r="AD44" s="485"/>
      <c r="AE44" s="485"/>
      <c r="AF44" s="485"/>
      <c r="AG44" s="485"/>
      <c r="AH44" s="485"/>
      <c r="AI44" s="485"/>
      <c r="AL44" s="705" t="s">
        <v>328</v>
      </c>
      <c r="AM44" s="706"/>
      <c r="AN44" s="706"/>
      <c r="AO44" s="707"/>
      <c r="AX44" s="492"/>
      <c r="AY44" s="493"/>
      <c r="AZ44" s="493"/>
      <c r="BA44" s="494"/>
      <c r="BB44" s="3"/>
      <c r="BC44" s="3"/>
      <c r="BD44" s="3"/>
      <c r="BE44" s="3"/>
      <c r="BF44" s="3"/>
      <c r="BR44" s="529"/>
      <c r="BS44" s="530"/>
      <c r="BT44" s="530"/>
      <c r="BU44" s="531"/>
      <c r="BV44" s="729"/>
      <c r="BW44" s="704"/>
      <c r="BX44" s="729"/>
      <c r="BY44" s="702"/>
      <c r="BZ44" s="704"/>
      <c r="CA44" s="704"/>
      <c r="CB44" s="729"/>
      <c r="CC44" s="702"/>
      <c r="CD44" s="731"/>
      <c r="CE44" s="733"/>
      <c r="CF44" s="724"/>
      <c r="CG44" s="735"/>
      <c r="CH44" s="725"/>
      <c r="CI44" s="721"/>
      <c r="CJ44" s="721"/>
      <c r="CK44" s="724"/>
      <c r="CL44" s="725"/>
      <c r="CM44" s="727"/>
      <c r="CX44" s="21"/>
      <c r="CY44" s="21"/>
      <c r="DA44" s="22"/>
      <c r="DB44" s="22"/>
    </row>
    <row r="45" spans="3:120" ht="15.95" customHeight="1" thickBot="1">
      <c r="C45" s="545"/>
      <c r="D45" s="547" t="s">
        <v>279</v>
      </c>
      <c r="E45" s="548"/>
      <c r="F45" s="549"/>
      <c r="G45" s="569"/>
      <c r="H45" s="571"/>
      <c r="I45" s="557"/>
      <c r="J45" s="557"/>
      <c r="K45" s="557">
        <f>I45+J45</f>
        <v>0</v>
      </c>
      <c r="L45" s="593">
        <f>G45*K45</f>
        <v>0</v>
      </c>
      <c r="M45" s="519">
        <f>H45*K45</f>
        <v>0</v>
      </c>
      <c r="N45" s="545"/>
      <c r="O45" s="547" t="s">
        <v>279</v>
      </c>
      <c r="P45" s="548"/>
      <c r="Q45" s="549"/>
      <c r="R45" s="569"/>
      <c r="S45" s="571"/>
      <c r="T45" s="557"/>
      <c r="U45" s="557"/>
      <c r="V45" s="557">
        <f>T45+U45</f>
        <v>0</v>
      </c>
      <c r="W45" s="593">
        <f>R45*V45</f>
        <v>0</v>
      </c>
      <c r="X45" s="519">
        <f>S45*V45</f>
        <v>0</v>
      </c>
      <c r="Y45" s="545"/>
      <c r="Z45" s="547" t="s">
        <v>279</v>
      </c>
      <c r="AA45" s="548"/>
      <c r="AB45" s="549"/>
      <c r="AC45" s="569"/>
      <c r="AD45" s="571"/>
      <c r="AE45" s="557"/>
      <c r="AF45" s="557"/>
      <c r="AG45" s="557">
        <f>AE45+AF45</f>
        <v>0</v>
      </c>
      <c r="AH45" s="593">
        <f>AC45*AG45</f>
        <v>0</v>
      </c>
      <c r="AI45" s="519">
        <f>AD45*AG45</f>
        <v>0</v>
      </c>
      <c r="AL45" s="708"/>
      <c r="AM45" s="709"/>
      <c r="AN45" s="709"/>
      <c r="AO45" s="710"/>
      <c r="AX45" s="495"/>
      <c r="AY45" s="496"/>
      <c r="AZ45" s="496"/>
      <c r="BA45" s="497"/>
      <c r="BB45" s="3"/>
      <c r="BC45" s="3"/>
      <c r="BD45" s="3"/>
      <c r="BE45" s="3"/>
      <c r="BF45" s="3"/>
      <c r="BR45" s="583"/>
      <c r="BS45" s="594"/>
      <c r="BT45" s="594"/>
      <c r="BU45" s="584"/>
      <c r="BV45" s="714"/>
      <c r="BW45" s="718"/>
      <c r="BX45" s="714"/>
      <c r="BY45" s="716"/>
      <c r="BZ45" s="718"/>
      <c r="CA45" s="718"/>
      <c r="CB45" s="714"/>
      <c r="CC45" s="716"/>
      <c r="CD45" s="744">
        <f>SUM(BV45:CC46)</f>
        <v>0</v>
      </c>
      <c r="CE45" s="746">
        <f>BV45*55+BW45*55+BX45*55+BY45*55+BZ45*30+CA45*30+CB45*30+CC45*30</f>
        <v>0</v>
      </c>
      <c r="CF45" s="738"/>
      <c r="CG45" s="748"/>
      <c r="CH45" s="739"/>
      <c r="CI45" s="736"/>
      <c r="CJ45" s="736"/>
      <c r="CK45" s="738"/>
      <c r="CL45" s="739"/>
      <c r="CM45" s="742"/>
    </row>
    <row r="46" spans="3:120" ht="15.95" customHeight="1" thickBot="1">
      <c r="C46" s="546"/>
      <c r="D46" s="550"/>
      <c r="E46" s="551"/>
      <c r="F46" s="552"/>
      <c r="G46" s="570"/>
      <c r="H46" s="572"/>
      <c r="I46" s="558"/>
      <c r="J46" s="558"/>
      <c r="K46" s="558"/>
      <c r="L46" s="558"/>
      <c r="M46" s="520"/>
      <c r="N46" s="546"/>
      <c r="O46" s="550"/>
      <c r="P46" s="551"/>
      <c r="Q46" s="552"/>
      <c r="R46" s="570"/>
      <c r="S46" s="572"/>
      <c r="T46" s="558"/>
      <c r="U46" s="558"/>
      <c r="V46" s="558"/>
      <c r="W46" s="558"/>
      <c r="X46" s="520"/>
      <c r="Y46" s="546"/>
      <c r="Z46" s="550"/>
      <c r="AA46" s="551"/>
      <c r="AB46" s="552"/>
      <c r="AC46" s="570"/>
      <c r="AD46" s="572"/>
      <c r="AE46" s="558"/>
      <c r="AF46" s="558"/>
      <c r="AG46" s="558"/>
      <c r="AH46" s="558"/>
      <c r="AI46" s="520"/>
      <c r="AL46" s="708"/>
      <c r="AM46" s="709"/>
      <c r="AN46" s="709"/>
      <c r="AO46" s="710"/>
      <c r="AP46" s="484" t="s">
        <v>329</v>
      </c>
      <c r="AQ46" s="484" t="s">
        <v>330</v>
      </c>
      <c r="AR46" s="484" t="s">
        <v>331</v>
      </c>
      <c r="AS46" s="484" t="s">
        <v>332</v>
      </c>
      <c r="AX46" s="495"/>
      <c r="AY46" s="496"/>
      <c r="AZ46" s="496"/>
      <c r="BA46" s="497"/>
      <c r="BB46" s="484" t="s">
        <v>293</v>
      </c>
      <c r="BC46" s="484" t="s">
        <v>16</v>
      </c>
      <c r="BD46" s="484" t="s">
        <v>13</v>
      </c>
      <c r="BE46" s="484" t="s">
        <v>275</v>
      </c>
      <c r="BF46" s="484" t="s">
        <v>277</v>
      </c>
      <c r="BR46" s="529"/>
      <c r="BS46" s="530"/>
      <c r="BT46" s="530"/>
      <c r="BU46" s="531"/>
      <c r="BV46" s="715"/>
      <c r="BW46" s="719"/>
      <c r="BX46" s="715"/>
      <c r="BY46" s="717"/>
      <c r="BZ46" s="719"/>
      <c r="CA46" s="719"/>
      <c r="CB46" s="715"/>
      <c r="CC46" s="717"/>
      <c r="CD46" s="745"/>
      <c r="CE46" s="747"/>
      <c r="CF46" s="740"/>
      <c r="CG46" s="749"/>
      <c r="CH46" s="741"/>
      <c r="CI46" s="737"/>
      <c r="CJ46" s="737"/>
      <c r="CK46" s="740"/>
      <c r="CL46" s="741"/>
      <c r="CM46" s="743"/>
      <c r="DA46" s="5"/>
      <c r="DB46" s="5"/>
    </row>
    <row r="47" spans="3:120" ht="15.95" customHeight="1" thickBot="1">
      <c r="C47" s="598"/>
      <c r="D47" s="547" t="s">
        <v>283</v>
      </c>
      <c r="E47" s="548"/>
      <c r="F47" s="549"/>
      <c r="G47" s="569"/>
      <c r="H47" s="571"/>
      <c r="I47" s="557"/>
      <c r="J47" s="557"/>
      <c r="K47" s="557">
        <f>I47+J47</f>
        <v>0</v>
      </c>
      <c r="L47" s="593">
        <f>G47*K47</f>
        <v>0</v>
      </c>
      <c r="M47" s="519">
        <f>H47*K47</f>
        <v>0</v>
      </c>
      <c r="N47" s="598"/>
      <c r="O47" s="547" t="s">
        <v>283</v>
      </c>
      <c r="P47" s="548"/>
      <c r="Q47" s="549"/>
      <c r="R47" s="569"/>
      <c r="S47" s="571"/>
      <c r="T47" s="557"/>
      <c r="U47" s="557"/>
      <c r="V47" s="557">
        <f>T47+U47</f>
        <v>0</v>
      </c>
      <c r="W47" s="593">
        <f>R47*V47</f>
        <v>0</v>
      </c>
      <c r="X47" s="519">
        <f>S47*V47</f>
        <v>0</v>
      </c>
      <c r="Y47" s="598"/>
      <c r="Z47" s="547" t="s">
        <v>283</v>
      </c>
      <c r="AA47" s="548"/>
      <c r="AB47" s="549"/>
      <c r="AC47" s="569"/>
      <c r="AD47" s="571"/>
      <c r="AE47" s="557"/>
      <c r="AF47" s="557"/>
      <c r="AG47" s="557">
        <f>AE47+AF47</f>
        <v>0</v>
      </c>
      <c r="AH47" s="593">
        <f>AC47*AG47</f>
        <v>0</v>
      </c>
      <c r="AI47" s="519">
        <f>AD47*AG47</f>
        <v>0</v>
      </c>
      <c r="AL47" s="711"/>
      <c r="AM47" s="712"/>
      <c r="AN47" s="712"/>
      <c r="AO47" s="713"/>
      <c r="AP47" s="485"/>
      <c r="AQ47" s="485"/>
      <c r="AR47" s="485"/>
      <c r="AS47" s="485"/>
      <c r="AX47" s="498"/>
      <c r="AY47" s="499"/>
      <c r="AZ47" s="499"/>
      <c r="BA47" s="500"/>
      <c r="BB47" s="485"/>
      <c r="BC47" s="485"/>
      <c r="BD47" s="485"/>
      <c r="BE47" s="485"/>
      <c r="BF47" s="485"/>
      <c r="BR47" s="583"/>
      <c r="BS47" s="594"/>
      <c r="BT47" s="594"/>
      <c r="BU47" s="584"/>
      <c r="BV47" s="728"/>
      <c r="BW47" s="703"/>
      <c r="BX47" s="728"/>
      <c r="BY47" s="701"/>
      <c r="BZ47" s="703"/>
      <c r="CA47" s="703"/>
      <c r="CB47" s="728"/>
      <c r="CC47" s="701"/>
      <c r="CD47" s="730">
        <f>SUM(BV47:CC48)</f>
        <v>0</v>
      </c>
      <c r="CE47" s="732">
        <f>BV47*55+BW47*55+BX47*55+BY47*55+BZ47*30+CA47*30+CB47*30+CC47*30</f>
        <v>0</v>
      </c>
      <c r="CF47" s="722"/>
      <c r="CG47" s="734"/>
      <c r="CH47" s="723"/>
      <c r="CI47" s="720"/>
      <c r="CJ47" s="720"/>
      <c r="CK47" s="750"/>
      <c r="CL47" s="751"/>
      <c r="CM47" s="726"/>
      <c r="DA47" s="5"/>
      <c r="DB47" s="5"/>
    </row>
    <row r="48" spans="3:120" ht="15.95" customHeight="1" thickBot="1">
      <c r="C48" s="598"/>
      <c r="D48" s="550"/>
      <c r="E48" s="551"/>
      <c r="F48" s="552"/>
      <c r="G48" s="570"/>
      <c r="H48" s="572"/>
      <c r="I48" s="558"/>
      <c r="J48" s="558"/>
      <c r="K48" s="558"/>
      <c r="L48" s="558"/>
      <c r="M48" s="520"/>
      <c r="N48" s="598"/>
      <c r="O48" s="550"/>
      <c r="P48" s="551"/>
      <c r="Q48" s="552"/>
      <c r="R48" s="570"/>
      <c r="S48" s="572"/>
      <c r="T48" s="558"/>
      <c r="U48" s="558"/>
      <c r="V48" s="558"/>
      <c r="W48" s="558"/>
      <c r="X48" s="520"/>
      <c r="Y48" s="598"/>
      <c r="Z48" s="550"/>
      <c r="AA48" s="551"/>
      <c r="AB48" s="552"/>
      <c r="AC48" s="570"/>
      <c r="AD48" s="572"/>
      <c r="AE48" s="558"/>
      <c r="AF48" s="558"/>
      <c r="AG48" s="558"/>
      <c r="AH48" s="558"/>
      <c r="AI48" s="520"/>
      <c r="AL48" s="598"/>
      <c r="AM48" s="547" t="s">
        <v>261</v>
      </c>
      <c r="AN48" s="548"/>
      <c r="AO48" s="549"/>
      <c r="AP48" s="641">
        <v>55</v>
      </c>
      <c r="AQ48" s="650">
        <f>AS32</f>
        <v>31.734999999999999</v>
      </c>
      <c r="AR48" s="650">
        <f>AP48-AQ48</f>
        <v>23.265000000000001</v>
      </c>
      <c r="AS48" s="752">
        <f>(AP48-AQ48)/AQ48</f>
        <v>0.73310225303292897</v>
      </c>
      <c r="AX48" s="598"/>
      <c r="AY48" s="547" t="s">
        <v>261</v>
      </c>
      <c r="AZ48" s="548"/>
      <c r="BA48" s="549"/>
      <c r="BB48" s="641">
        <f>AP48</f>
        <v>55</v>
      </c>
      <c r="BC48" s="643">
        <f>BC16-BB32</f>
        <v>7</v>
      </c>
      <c r="BD48" s="643">
        <f>BD16-BC32</f>
        <v>2</v>
      </c>
      <c r="BE48" s="643">
        <f>BC48+BD48</f>
        <v>9</v>
      </c>
      <c r="BF48" s="650">
        <f>BB48*BE48</f>
        <v>495</v>
      </c>
      <c r="BR48" s="529"/>
      <c r="BS48" s="530"/>
      <c r="BT48" s="530"/>
      <c r="BU48" s="531"/>
      <c r="BV48" s="729"/>
      <c r="BW48" s="704"/>
      <c r="BX48" s="729"/>
      <c r="BY48" s="702"/>
      <c r="BZ48" s="704"/>
      <c r="CA48" s="704"/>
      <c r="CB48" s="729"/>
      <c r="CC48" s="702"/>
      <c r="CD48" s="731"/>
      <c r="CE48" s="733"/>
      <c r="CF48" s="724"/>
      <c r="CG48" s="735"/>
      <c r="CH48" s="725"/>
      <c r="CI48" s="721"/>
      <c r="CJ48" s="721"/>
      <c r="CK48" s="750"/>
      <c r="CL48" s="751"/>
      <c r="CM48" s="727"/>
    </row>
    <row r="49" spans="3:91" ht="15.95" customHeight="1" thickBot="1">
      <c r="C49" s="627"/>
      <c r="D49" s="547" t="s">
        <v>288</v>
      </c>
      <c r="E49" s="548"/>
      <c r="F49" s="549"/>
      <c r="G49" s="569"/>
      <c r="H49" s="571"/>
      <c r="I49" s="557"/>
      <c r="J49" s="557"/>
      <c r="K49" s="557">
        <f>I49+J49</f>
        <v>0</v>
      </c>
      <c r="L49" s="593">
        <f>G49*K49</f>
        <v>0</v>
      </c>
      <c r="M49" s="519">
        <f>H49*K49</f>
        <v>0</v>
      </c>
      <c r="N49" s="627"/>
      <c r="O49" s="547" t="s">
        <v>288</v>
      </c>
      <c r="P49" s="548"/>
      <c r="Q49" s="549"/>
      <c r="R49" s="569"/>
      <c r="S49" s="571"/>
      <c r="T49" s="557"/>
      <c r="U49" s="557"/>
      <c r="V49" s="557">
        <f>T49+U49</f>
        <v>0</v>
      </c>
      <c r="W49" s="593">
        <f>R49*V49</f>
        <v>0</v>
      </c>
      <c r="X49" s="519">
        <f>S49*V49</f>
        <v>0</v>
      </c>
      <c r="Y49" s="627"/>
      <c r="Z49" s="547" t="s">
        <v>288</v>
      </c>
      <c r="AA49" s="548"/>
      <c r="AB49" s="549"/>
      <c r="AC49" s="569"/>
      <c r="AD49" s="571"/>
      <c r="AE49" s="557"/>
      <c r="AF49" s="557"/>
      <c r="AG49" s="557">
        <f>AE49+AF49</f>
        <v>0</v>
      </c>
      <c r="AH49" s="593">
        <f>AC49*AG49</f>
        <v>0</v>
      </c>
      <c r="AI49" s="519">
        <f>AD49*AG49</f>
        <v>0</v>
      </c>
      <c r="AL49" s="598"/>
      <c r="AM49" s="550"/>
      <c r="AN49" s="551"/>
      <c r="AO49" s="552"/>
      <c r="AP49" s="642"/>
      <c r="AQ49" s="651"/>
      <c r="AR49" s="651"/>
      <c r="AS49" s="753"/>
      <c r="AX49" s="598"/>
      <c r="AY49" s="550"/>
      <c r="AZ49" s="551"/>
      <c r="BA49" s="552"/>
      <c r="BB49" s="754"/>
      <c r="BC49" s="644"/>
      <c r="BD49" s="644"/>
      <c r="BE49" s="644"/>
      <c r="BF49" s="651"/>
      <c r="BR49" s="583"/>
      <c r="BS49" s="594"/>
      <c r="BT49" s="594"/>
      <c r="BU49" s="584"/>
      <c r="BV49" s="714"/>
      <c r="BW49" s="718"/>
      <c r="BX49" s="714"/>
      <c r="BY49" s="716"/>
      <c r="BZ49" s="718"/>
      <c r="CA49" s="718"/>
      <c r="CB49" s="714"/>
      <c r="CC49" s="716"/>
      <c r="CD49" s="744">
        <f>SUM(BV49:CC50)</f>
        <v>0</v>
      </c>
      <c r="CE49" s="746">
        <f>BV49*55+BW49*55+BX49*55+BY49*55+BZ49*30+CA49*30+CB49*30+CC49*30</f>
        <v>0</v>
      </c>
      <c r="CF49" s="738"/>
      <c r="CG49" s="748"/>
      <c r="CH49" s="739"/>
      <c r="CI49" s="736"/>
      <c r="CJ49" s="736"/>
      <c r="CK49" s="738"/>
      <c r="CL49" s="739"/>
      <c r="CM49" s="742"/>
    </row>
    <row r="50" spans="3:91" ht="15.95" customHeight="1" thickBot="1">
      <c r="C50" s="627"/>
      <c r="D50" s="550"/>
      <c r="E50" s="551"/>
      <c r="F50" s="552"/>
      <c r="G50" s="570"/>
      <c r="H50" s="572"/>
      <c r="I50" s="558"/>
      <c r="J50" s="558"/>
      <c r="K50" s="558"/>
      <c r="L50" s="558"/>
      <c r="M50" s="520"/>
      <c r="N50" s="627"/>
      <c r="O50" s="550"/>
      <c r="P50" s="551"/>
      <c r="Q50" s="552"/>
      <c r="R50" s="570"/>
      <c r="S50" s="572"/>
      <c r="T50" s="558"/>
      <c r="U50" s="558"/>
      <c r="V50" s="558"/>
      <c r="W50" s="558"/>
      <c r="X50" s="520"/>
      <c r="Y50" s="627"/>
      <c r="Z50" s="550"/>
      <c r="AA50" s="551"/>
      <c r="AB50" s="552"/>
      <c r="AC50" s="570"/>
      <c r="AD50" s="572"/>
      <c r="AE50" s="558"/>
      <c r="AF50" s="558"/>
      <c r="AG50" s="558"/>
      <c r="AH50" s="558"/>
      <c r="AI50" s="520"/>
      <c r="AL50" s="607"/>
      <c r="AM50" s="547" t="s">
        <v>262</v>
      </c>
      <c r="AN50" s="548"/>
      <c r="AO50" s="549"/>
      <c r="AP50" s="755">
        <v>55</v>
      </c>
      <c r="AQ50" s="519">
        <f>AS34</f>
        <v>30.035</v>
      </c>
      <c r="AR50" s="650">
        <f>AP50-AQ50</f>
        <v>24.965</v>
      </c>
      <c r="AS50" s="752">
        <f>(AP50-AQ50)/AQ50</f>
        <v>0.83119693690694185</v>
      </c>
      <c r="AX50" s="607"/>
      <c r="AY50" s="547" t="s">
        <v>262</v>
      </c>
      <c r="AZ50" s="548"/>
      <c r="BA50" s="549"/>
      <c r="BB50" s="641">
        <f>AP50</f>
        <v>55</v>
      </c>
      <c r="BC50" s="643">
        <f>BC18-BB34</f>
        <v>5</v>
      </c>
      <c r="BD50" s="643">
        <f>BD18-BC34</f>
        <v>0</v>
      </c>
      <c r="BE50" s="643">
        <f>BC50+BD50</f>
        <v>5</v>
      </c>
      <c r="BF50" s="650">
        <f>BB50*BE50</f>
        <v>275</v>
      </c>
      <c r="BR50" s="529"/>
      <c r="BS50" s="530"/>
      <c r="BT50" s="530"/>
      <c r="BU50" s="531"/>
      <c r="BV50" s="715"/>
      <c r="BW50" s="719"/>
      <c r="BX50" s="715"/>
      <c r="BY50" s="717"/>
      <c r="BZ50" s="719"/>
      <c r="CA50" s="719"/>
      <c r="CB50" s="715"/>
      <c r="CC50" s="717"/>
      <c r="CD50" s="745"/>
      <c r="CE50" s="747"/>
      <c r="CF50" s="740"/>
      <c r="CG50" s="749"/>
      <c r="CH50" s="741"/>
      <c r="CI50" s="737"/>
      <c r="CJ50" s="737"/>
      <c r="CK50" s="740"/>
      <c r="CL50" s="741"/>
      <c r="CM50" s="743"/>
    </row>
    <row r="51" spans="3:91" ht="15.95" customHeight="1" thickBot="1">
      <c r="C51" s="607"/>
      <c r="D51" s="547" t="s">
        <v>290</v>
      </c>
      <c r="E51" s="548"/>
      <c r="F51" s="549"/>
      <c r="G51" s="569"/>
      <c r="H51" s="571"/>
      <c r="I51" s="557"/>
      <c r="J51" s="557"/>
      <c r="K51" s="557">
        <f>I51+J51</f>
        <v>0</v>
      </c>
      <c r="L51" s="593">
        <f>G51*K51</f>
        <v>0</v>
      </c>
      <c r="M51" s="519">
        <f>H51*K51</f>
        <v>0</v>
      </c>
      <c r="N51" s="607"/>
      <c r="O51" s="547" t="s">
        <v>290</v>
      </c>
      <c r="P51" s="548"/>
      <c r="Q51" s="549"/>
      <c r="R51" s="569"/>
      <c r="S51" s="571"/>
      <c r="T51" s="557"/>
      <c r="U51" s="557"/>
      <c r="V51" s="557">
        <f>T51+U51</f>
        <v>0</v>
      </c>
      <c r="W51" s="593">
        <f>R51*V51</f>
        <v>0</v>
      </c>
      <c r="X51" s="519">
        <f>S51*V51</f>
        <v>0</v>
      </c>
      <c r="Y51" s="607"/>
      <c r="Z51" s="547" t="s">
        <v>290</v>
      </c>
      <c r="AA51" s="548"/>
      <c r="AB51" s="549"/>
      <c r="AC51" s="569"/>
      <c r="AD51" s="571"/>
      <c r="AE51" s="557"/>
      <c r="AF51" s="557"/>
      <c r="AG51" s="557">
        <f>AE51+AF51</f>
        <v>0</v>
      </c>
      <c r="AH51" s="593">
        <f>AC51*AG51</f>
        <v>0</v>
      </c>
      <c r="AI51" s="519">
        <f>AD51*AG51</f>
        <v>0</v>
      </c>
      <c r="AL51" s="607"/>
      <c r="AM51" s="550"/>
      <c r="AN51" s="551"/>
      <c r="AO51" s="552"/>
      <c r="AP51" s="756"/>
      <c r="AQ51" s="640"/>
      <c r="AR51" s="651"/>
      <c r="AS51" s="753"/>
      <c r="AX51" s="607"/>
      <c r="AY51" s="550"/>
      <c r="AZ51" s="551"/>
      <c r="BA51" s="552"/>
      <c r="BB51" s="754"/>
      <c r="BC51" s="644"/>
      <c r="BD51" s="644"/>
      <c r="BE51" s="644"/>
      <c r="BF51" s="651"/>
      <c r="BR51" s="583"/>
      <c r="BS51" s="594"/>
      <c r="BT51" s="594"/>
      <c r="BU51" s="584"/>
      <c r="BV51" s="728"/>
      <c r="BW51" s="703"/>
      <c r="BX51" s="728"/>
      <c r="BY51" s="701"/>
      <c r="BZ51" s="703"/>
      <c r="CA51" s="703"/>
      <c r="CB51" s="728"/>
      <c r="CC51" s="701"/>
      <c r="CD51" s="730">
        <f>SUM(BV51:CC52)</f>
        <v>0</v>
      </c>
      <c r="CE51" s="732">
        <f>BV51*55+BW51*55+BX51*55+BY51*55+BZ51*30+CA51*30+CB51*30+CC51*30</f>
        <v>0</v>
      </c>
      <c r="CF51" s="722"/>
      <c r="CG51" s="734"/>
      <c r="CH51" s="723"/>
      <c r="CI51" s="720"/>
      <c r="CJ51" s="720"/>
      <c r="CK51" s="750"/>
      <c r="CL51" s="751"/>
      <c r="CM51" s="726"/>
    </row>
    <row r="52" spans="3:91" ht="15.95" customHeight="1" thickBot="1">
      <c r="C52" s="607"/>
      <c r="D52" s="550"/>
      <c r="E52" s="551"/>
      <c r="F52" s="552"/>
      <c r="G52" s="570"/>
      <c r="H52" s="572"/>
      <c r="I52" s="558"/>
      <c r="J52" s="558"/>
      <c r="K52" s="558"/>
      <c r="L52" s="558"/>
      <c r="M52" s="520"/>
      <c r="N52" s="607"/>
      <c r="O52" s="550"/>
      <c r="P52" s="551"/>
      <c r="Q52" s="552"/>
      <c r="R52" s="570"/>
      <c r="S52" s="572"/>
      <c r="T52" s="558"/>
      <c r="U52" s="558"/>
      <c r="V52" s="558"/>
      <c r="W52" s="558"/>
      <c r="X52" s="520"/>
      <c r="Y52" s="607"/>
      <c r="Z52" s="550"/>
      <c r="AA52" s="551"/>
      <c r="AB52" s="552"/>
      <c r="AC52" s="570"/>
      <c r="AD52" s="572"/>
      <c r="AE52" s="558"/>
      <c r="AF52" s="558"/>
      <c r="AG52" s="558"/>
      <c r="AH52" s="558"/>
      <c r="AI52" s="520"/>
      <c r="AL52" s="638"/>
      <c r="AM52" s="547" t="s">
        <v>263</v>
      </c>
      <c r="AN52" s="548"/>
      <c r="AO52" s="549"/>
      <c r="AP52" s="755">
        <v>30</v>
      </c>
      <c r="AQ52" s="519">
        <f>AS36</f>
        <v>11.035</v>
      </c>
      <c r="AR52" s="650">
        <f>AP52-AQ52</f>
        <v>18.965</v>
      </c>
      <c r="AS52" s="752">
        <f>(AP52-AQ52)/AQ52</f>
        <v>1.7186225645672859</v>
      </c>
      <c r="AX52" s="638"/>
      <c r="AY52" s="547" t="s">
        <v>263</v>
      </c>
      <c r="AZ52" s="548"/>
      <c r="BA52" s="549"/>
      <c r="BB52" s="641">
        <f>AP52</f>
        <v>30</v>
      </c>
      <c r="BC52" s="643">
        <f>BC20-BB36</f>
        <v>6</v>
      </c>
      <c r="BD52" s="643">
        <f>BD20-BC36</f>
        <v>0</v>
      </c>
      <c r="BE52" s="643">
        <f>BC52+BD52</f>
        <v>6</v>
      </c>
      <c r="BF52" s="650">
        <f>BB52*BE52</f>
        <v>180</v>
      </c>
      <c r="BR52" s="529"/>
      <c r="BS52" s="530"/>
      <c r="BT52" s="530"/>
      <c r="BU52" s="531"/>
      <c r="BV52" s="729"/>
      <c r="BW52" s="704"/>
      <c r="BX52" s="729"/>
      <c r="BY52" s="702"/>
      <c r="BZ52" s="704"/>
      <c r="CA52" s="704"/>
      <c r="CB52" s="729"/>
      <c r="CC52" s="702"/>
      <c r="CD52" s="731"/>
      <c r="CE52" s="733"/>
      <c r="CF52" s="724"/>
      <c r="CG52" s="735"/>
      <c r="CH52" s="725"/>
      <c r="CI52" s="721"/>
      <c r="CJ52" s="721"/>
      <c r="CK52" s="750"/>
      <c r="CL52" s="751"/>
      <c r="CM52" s="727"/>
    </row>
    <row r="53" spans="3:91" ht="15.95" customHeight="1" thickBot="1">
      <c r="C53" s="638"/>
      <c r="D53" s="547" t="s">
        <v>294</v>
      </c>
      <c r="E53" s="548"/>
      <c r="F53" s="549"/>
      <c r="G53" s="569"/>
      <c r="H53" s="571"/>
      <c r="I53" s="557"/>
      <c r="J53" s="557"/>
      <c r="K53" s="557">
        <f>I53+J53</f>
        <v>0</v>
      </c>
      <c r="L53" s="593">
        <f>G53*K53</f>
        <v>0</v>
      </c>
      <c r="M53" s="519">
        <f>H53*K53</f>
        <v>0</v>
      </c>
      <c r="N53" s="638"/>
      <c r="O53" s="547" t="s">
        <v>294</v>
      </c>
      <c r="P53" s="548"/>
      <c r="Q53" s="549"/>
      <c r="R53" s="569"/>
      <c r="S53" s="571"/>
      <c r="T53" s="557"/>
      <c r="U53" s="557"/>
      <c r="V53" s="557">
        <f>T53+U53</f>
        <v>0</v>
      </c>
      <c r="W53" s="593">
        <f>R53*V53</f>
        <v>0</v>
      </c>
      <c r="X53" s="519">
        <f>S53*V53</f>
        <v>0</v>
      </c>
      <c r="Y53" s="638"/>
      <c r="Z53" s="547" t="s">
        <v>294</v>
      </c>
      <c r="AA53" s="548"/>
      <c r="AB53" s="549"/>
      <c r="AC53" s="569"/>
      <c r="AD53" s="571"/>
      <c r="AE53" s="557"/>
      <c r="AF53" s="557"/>
      <c r="AG53" s="557">
        <f>AE53+AF53</f>
        <v>0</v>
      </c>
      <c r="AH53" s="593">
        <f>AC53*AG53</f>
        <v>0</v>
      </c>
      <c r="AI53" s="519">
        <f>AD53*AG53</f>
        <v>0</v>
      </c>
      <c r="AL53" s="638"/>
      <c r="AM53" s="550"/>
      <c r="AN53" s="551"/>
      <c r="AO53" s="552"/>
      <c r="AP53" s="756"/>
      <c r="AQ53" s="640"/>
      <c r="AR53" s="651"/>
      <c r="AS53" s="753"/>
      <c r="AX53" s="638"/>
      <c r="AY53" s="550"/>
      <c r="AZ53" s="551"/>
      <c r="BA53" s="552"/>
      <c r="BB53" s="754"/>
      <c r="BC53" s="644"/>
      <c r="BD53" s="644"/>
      <c r="BE53" s="644"/>
      <c r="BF53" s="651"/>
      <c r="BR53" s="583"/>
      <c r="BS53" s="594"/>
      <c r="BT53" s="594"/>
      <c r="BU53" s="584"/>
      <c r="BV53" s="714"/>
      <c r="BW53" s="718"/>
      <c r="BX53" s="714"/>
      <c r="BY53" s="716"/>
      <c r="BZ53" s="718"/>
      <c r="CA53" s="718"/>
      <c r="CB53" s="714"/>
      <c r="CC53" s="716"/>
      <c r="CD53" s="744">
        <f>SUM(BV53:CC54)</f>
        <v>0</v>
      </c>
      <c r="CE53" s="746">
        <f>BV53*55+BW53*55+BX53*55+BY53*55+BZ53*30+CA53*30+CB53*30+CC53*30</f>
        <v>0</v>
      </c>
      <c r="CF53" s="738"/>
      <c r="CG53" s="748"/>
      <c r="CH53" s="739"/>
      <c r="CI53" s="736"/>
      <c r="CJ53" s="736"/>
      <c r="CK53" s="738"/>
      <c r="CL53" s="739"/>
      <c r="CM53" s="742"/>
    </row>
    <row r="54" spans="3:91" ht="15.95" customHeight="1" thickBot="1">
      <c r="C54" s="638"/>
      <c r="D54" s="550"/>
      <c r="E54" s="551"/>
      <c r="F54" s="552"/>
      <c r="G54" s="570"/>
      <c r="H54" s="572"/>
      <c r="I54" s="558"/>
      <c r="J54" s="558"/>
      <c r="K54" s="558"/>
      <c r="L54" s="558"/>
      <c r="M54" s="520"/>
      <c r="N54" s="638"/>
      <c r="O54" s="550"/>
      <c r="P54" s="551"/>
      <c r="Q54" s="552"/>
      <c r="R54" s="570"/>
      <c r="S54" s="572"/>
      <c r="T54" s="558"/>
      <c r="U54" s="558"/>
      <c r="V54" s="558"/>
      <c r="W54" s="558"/>
      <c r="X54" s="520"/>
      <c r="Y54" s="638"/>
      <c r="Z54" s="550"/>
      <c r="AA54" s="551"/>
      <c r="AB54" s="552"/>
      <c r="AC54" s="570"/>
      <c r="AD54" s="572"/>
      <c r="AE54" s="558"/>
      <c r="AF54" s="558"/>
      <c r="AG54" s="558"/>
      <c r="AH54" s="558"/>
      <c r="AI54" s="520"/>
      <c r="AL54" s="654"/>
      <c r="AM54" s="547" t="s">
        <v>264</v>
      </c>
      <c r="AN54" s="548"/>
      <c r="AO54" s="549"/>
      <c r="AP54" s="755">
        <v>30</v>
      </c>
      <c r="AQ54" s="519">
        <f>AS38</f>
        <v>11.035</v>
      </c>
      <c r="AR54" s="650">
        <f>AP54-AQ54</f>
        <v>18.965</v>
      </c>
      <c r="AS54" s="752">
        <f>(AP54-AQ54)/AQ54</f>
        <v>1.7186225645672859</v>
      </c>
      <c r="AX54" s="654"/>
      <c r="AY54" s="547" t="s">
        <v>264</v>
      </c>
      <c r="AZ54" s="548"/>
      <c r="BA54" s="549"/>
      <c r="BB54" s="641">
        <f>AP54</f>
        <v>30</v>
      </c>
      <c r="BC54" s="643">
        <f>BC22-BB38</f>
        <v>6</v>
      </c>
      <c r="BD54" s="643">
        <f>BD22-BC38</f>
        <v>0</v>
      </c>
      <c r="BE54" s="643">
        <f>BC54+BD54</f>
        <v>6</v>
      </c>
      <c r="BF54" s="650">
        <f>BB54*BE54</f>
        <v>180</v>
      </c>
      <c r="BR54" s="529"/>
      <c r="BS54" s="530"/>
      <c r="BT54" s="530"/>
      <c r="BU54" s="531"/>
      <c r="BV54" s="715"/>
      <c r="BW54" s="719"/>
      <c r="BX54" s="715"/>
      <c r="BY54" s="717"/>
      <c r="BZ54" s="719"/>
      <c r="CA54" s="719"/>
      <c r="CB54" s="715"/>
      <c r="CC54" s="717"/>
      <c r="CD54" s="745"/>
      <c r="CE54" s="747"/>
      <c r="CF54" s="740"/>
      <c r="CG54" s="749"/>
      <c r="CH54" s="741"/>
      <c r="CI54" s="737"/>
      <c r="CJ54" s="737"/>
      <c r="CK54" s="740"/>
      <c r="CL54" s="741"/>
      <c r="CM54" s="743"/>
    </row>
    <row r="55" spans="3:91" ht="15.95" customHeight="1" thickBot="1">
      <c r="C55" s="639"/>
      <c r="D55" s="547" t="s">
        <v>298</v>
      </c>
      <c r="E55" s="548"/>
      <c r="F55" s="549"/>
      <c r="G55" s="569"/>
      <c r="H55" s="571"/>
      <c r="I55" s="557"/>
      <c r="J55" s="557"/>
      <c r="K55" s="557">
        <f>I55+J55</f>
        <v>0</v>
      </c>
      <c r="L55" s="593">
        <f>G55*K55</f>
        <v>0</v>
      </c>
      <c r="M55" s="519">
        <f>H55*K55</f>
        <v>0</v>
      </c>
      <c r="N55" s="639"/>
      <c r="O55" s="547" t="s">
        <v>298</v>
      </c>
      <c r="P55" s="548"/>
      <c r="Q55" s="549"/>
      <c r="R55" s="569"/>
      <c r="S55" s="571"/>
      <c r="T55" s="557"/>
      <c r="U55" s="557"/>
      <c r="V55" s="557">
        <f>T55+U55</f>
        <v>0</v>
      </c>
      <c r="W55" s="593">
        <f>R55*V55</f>
        <v>0</v>
      </c>
      <c r="X55" s="519">
        <f>S55*V55</f>
        <v>0</v>
      </c>
      <c r="Y55" s="639"/>
      <c r="Z55" s="547" t="s">
        <v>298</v>
      </c>
      <c r="AA55" s="548"/>
      <c r="AB55" s="549"/>
      <c r="AC55" s="569"/>
      <c r="AD55" s="571"/>
      <c r="AE55" s="557"/>
      <c r="AF55" s="557"/>
      <c r="AG55" s="557">
        <f>AE55+AF55</f>
        <v>0</v>
      </c>
      <c r="AH55" s="593">
        <f>AC55*AG55</f>
        <v>0</v>
      </c>
      <c r="AI55" s="519">
        <f>AD55*AG55</f>
        <v>0</v>
      </c>
      <c r="AL55" s="655"/>
      <c r="AM55" s="550"/>
      <c r="AN55" s="551"/>
      <c r="AO55" s="552"/>
      <c r="AP55" s="757"/>
      <c r="AQ55" s="669"/>
      <c r="AR55" s="665"/>
      <c r="AS55" s="758"/>
      <c r="AX55" s="655"/>
      <c r="AY55" s="550"/>
      <c r="AZ55" s="551"/>
      <c r="BA55" s="552"/>
      <c r="BB55" s="759"/>
      <c r="BC55" s="664"/>
      <c r="BD55" s="664"/>
      <c r="BE55" s="644"/>
      <c r="BF55" s="651"/>
      <c r="BR55" s="583"/>
      <c r="BS55" s="594"/>
      <c r="BT55" s="594"/>
      <c r="BU55" s="584"/>
      <c r="BV55" s="728"/>
      <c r="BW55" s="703"/>
      <c r="BX55" s="728"/>
      <c r="BY55" s="701"/>
      <c r="BZ55" s="703"/>
      <c r="CA55" s="703"/>
      <c r="CB55" s="728"/>
      <c r="CC55" s="701"/>
      <c r="CD55" s="730">
        <f>SUM(BV55:CC56)</f>
        <v>0</v>
      </c>
      <c r="CE55" s="732">
        <f>BV55*55+BW55*55+BX55*55+BY55*55+BZ55*30+CA55*30+CB55*30+CC55*30</f>
        <v>0</v>
      </c>
      <c r="CF55" s="722"/>
      <c r="CG55" s="734"/>
      <c r="CH55" s="723"/>
      <c r="CI55" s="720"/>
      <c r="CJ55" s="720"/>
      <c r="CK55" s="750"/>
      <c r="CL55" s="751"/>
      <c r="CM55" s="726"/>
    </row>
    <row r="56" spans="3:91" ht="15.95" customHeight="1" thickBot="1">
      <c r="C56" s="639"/>
      <c r="D56" s="550"/>
      <c r="E56" s="551"/>
      <c r="F56" s="552"/>
      <c r="G56" s="570"/>
      <c r="H56" s="572"/>
      <c r="I56" s="558"/>
      <c r="J56" s="558"/>
      <c r="K56" s="558"/>
      <c r="L56" s="558"/>
      <c r="M56" s="520"/>
      <c r="N56" s="639"/>
      <c r="O56" s="550"/>
      <c r="P56" s="551"/>
      <c r="Q56" s="552"/>
      <c r="R56" s="570"/>
      <c r="S56" s="572"/>
      <c r="T56" s="558"/>
      <c r="U56" s="558"/>
      <c r="V56" s="558"/>
      <c r="W56" s="558"/>
      <c r="X56" s="520"/>
      <c r="Y56" s="639"/>
      <c r="Z56" s="550"/>
      <c r="AA56" s="551"/>
      <c r="AB56" s="552"/>
      <c r="AC56" s="570"/>
      <c r="AD56" s="572"/>
      <c r="AE56" s="558"/>
      <c r="AF56" s="558"/>
      <c r="AG56" s="558"/>
      <c r="AH56" s="558"/>
      <c r="AI56" s="520"/>
      <c r="BB56" s="3"/>
      <c r="BC56" s="3"/>
      <c r="BD56" s="3"/>
      <c r="BE56" s="643">
        <f>SUM(BE48:BE55)</f>
        <v>26</v>
      </c>
      <c r="BF56" s="650">
        <f>SUM(BF48:BF55)</f>
        <v>1130</v>
      </c>
      <c r="BR56" s="529"/>
      <c r="BS56" s="530"/>
      <c r="BT56" s="530"/>
      <c r="BU56" s="531"/>
      <c r="BV56" s="729"/>
      <c r="BW56" s="704"/>
      <c r="BX56" s="729"/>
      <c r="BY56" s="702"/>
      <c r="BZ56" s="704"/>
      <c r="CA56" s="704"/>
      <c r="CB56" s="729"/>
      <c r="CC56" s="702"/>
      <c r="CD56" s="731"/>
      <c r="CE56" s="733"/>
      <c r="CF56" s="724"/>
      <c r="CG56" s="735"/>
      <c r="CH56" s="725"/>
      <c r="CI56" s="721"/>
      <c r="CJ56" s="721"/>
      <c r="CK56" s="750"/>
      <c r="CL56" s="751"/>
      <c r="CM56" s="727"/>
    </row>
    <row r="57" spans="3:91" ht="15.95" customHeight="1" thickBot="1">
      <c r="C57" s="652"/>
      <c r="D57" s="547" t="s">
        <v>300</v>
      </c>
      <c r="E57" s="548"/>
      <c r="F57" s="549"/>
      <c r="G57" s="569"/>
      <c r="H57" s="571"/>
      <c r="I57" s="557"/>
      <c r="J57" s="557"/>
      <c r="K57" s="557">
        <f>I57+J57</f>
        <v>0</v>
      </c>
      <c r="L57" s="593">
        <f>G57*K57</f>
        <v>0</v>
      </c>
      <c r="M57" s="519">
        <f>H57*K57</f>
        <v>0</v>
      </c>
      <c r="N57" s="652"/>
      <c r="O57" s="547" t="s">
        <v>300</v>
      </c>
      <c r="P57" s="548"/>
      <c r="Q57" s="549"/>
      <c r="R57" s="569"/>
      <c r="S57" s="571"/>
      <c r="T57" s="557"/>
      <c r="U57" s="557"/>
      <c r="V57" s="557">
        <f>T57+U57</f>
        <v>0</v>
      </c>
      <c r="W57" s="593">
        <f>R57*V57</f>
        <v>0</v>
      </c>
      <c r="X57" s="519">
        <f>S57*V57</f>
        <v>0</v>
      </c>
      <c r="Y57" s="652"/>
      <c r="Z57" s="547" t="s">
        <v>300</v>
      </c>
      <c r="AA57" s="548"/>
      <c r="AB57" s="549"/>
      <c r="AC57" s="569"/>
      <c r="AD57" s="571"/>
      <c r="AE57" s="557"/>
      <c r="AF57" s="557"/>
      <c r="AG57" s="557">
        <f>AE57+AF57</f>
        <v>0</v>
      </c>
      <c r="AH57" s="593">
        <f>AC57*AG57</f>
        <v>0</v>
      </c>
      <c r="AI57" s="519">
        <f>AD57*AG57</f>
        <v>0</v>
      </c>
      <c r="BB57" s="3"/>
      <c r="BC57" s="3"/>
      <c r="BD57" s="3"/>
      <c r="BE57" s="664"/>
      <c r="BF57" s="665"/>
      <c r="BR57" s="583"/>
      <c r="BS57" s="594"/>
      <c r="BT57" s="594"/>
      <c r="BU57" s="584"/>
      <c r="BV57" s="714"/>
      <c r="BW57" s="718"/>
      <c r="BX57" s="714"/>
      <c r="BY57" s="716"/>
      <c r="BZ57" s="718"/>
      <c r="CA57" s="718"/>
      <c r="CB57" s="714"/>
      <c r="CC57" s="716"/>
      <c r="CD57" s="744">
        <f>SUM(BV57:CC58)</f>
        <v>0</v>
      </c>
      <c r="CE57" s="746">
        <f>BV57*55+BW57*55+BX57*55+BY57*55+BZ57*30+CA57*30+CB57*30+CC57*30</f>
        <v>0</v>
      </c>
      <c r="CF57" s="738"/>
      <c r="CG57" s="748"/>
      <c r="CH57" s="739"/>
      <c r="CI57" s="736"/>
      <c r="CJ57" s="736"/>
      <c r="CK57" s="738"/>
      <c r="CL57" s="739"/>
      <c r="CM57" s="742"/>
    </row>
    <row r="58" spans="3:91" ht="15.95" customHeight="1" thickBot="1">
      <c r="C58" s="652"/>
      <c r="D58" s="550"/>
      <c r="E58" s="551"/>
      <c r="F58" s="552"/>
      <c r="G58" s="570"/>
      <c r="H58" s="572"/>
      <c r="I58" s="558"/>
      <c r="J58" s="558"/>
      <c r="K58" s="558"/>
      <c r="L58" s="558"/>
      <c r="M58" s="520"/>
      <c r="N58" s="652"/>
      <c r="O58" s="550"/>
      <c r="P58" s="551"/>
      <c r="Q58" s="552"/>
      <c r="R58" s="570"/>
      <c r="S58" s="572"/>
      <c r="T58" s="558"/>
      <c r="U58" s="558"/>
      <c r="V58" s="558"/>
      <c r="W58" s="558"/>
      <c r="X58" s="520"/>
      <c r="Y58" s="652"/>
      <c r="Z58" s="550"/>
      <c r="AA58" s="551"/>
      <c r="AB58" s="552"/>
      <c r="AC58" s="570"/>
      <c r="AD58" s="572"/>
      <c r="AE58" s="558"/>
      <c r="AF58" s="558"/>
      <c r="AG58" s="558"/>
      <c r="AH58" s="558"/>
      <c r="AI58" s="520"/>
      <c r="BB58" s="3"/>
      <c r="BC58" s="3"/>
      <c r="BD58" s="3"/>
      <c r="BE58" s="3"/>
      <c r="BF58" s="3"/>
      <c r="BR58" s="529"/>
      <c r="BS58" s="530"/>
      <c r="BT58" s="530"/>
      <c r="BU58" s="531"/>
      <c r="BV58" s="715"/>
      <c r="BW58" s="719"/>
      <c r="BX58" s="715"/>
      <c r="BY58" s="717"/>
      <c r="BZ58" s="719"/>
      <c r="CA58" s="719"/>
      <c r="CB58" s="715"/>
      <c r="CC58" s="717"/>
      <c r="CD58" s="745"/>
      <c r="CE58" s="747"/>
      <c r="CF58" s="740"/>
      <c r="CG58" s="749"/>
      <c r="CH58" s="741"/>
      <c r="CI58" s="737"/>
      <c r="CJ58" s="737"/>
      <c r="CK58" s="740"/>
      <c r="CL58" s="741"/>
      <c r="CM58" s="743"/>
    </row>
    <row r="59" spans="3:91" ht="15.95" customHeight="1">
      <c r="C59" s="653"/>
      <c r="D59" s="547" t="s">
        <v>302</v>
      </c>
      <c r="E59" s="548"/>
      <c r="F59" s="549"/>
      <c r="G59" s="569"/>
      <c r="H59" s="571"/>
      <c r="I59" s="557"/>
      <c r="J59" s="557"/>
      <c r="K59" s="557">
        <f>I59+J59</f>
        <v>0</v>
      </c>
      <c r="L59" s="593">
        <f>G59*K59</f>
        <v>0</v>
      </c>
      <c r="M59" s="519">
        <f>H59*K59</f>
        <v>0</v>
      </c>
      <c r="N59" s="653"/>
      <c r="O59" s="547" t="s">
        <v>302</v>
      </c>
      <c r="P59" s="548"/>
      <c r="Q59" s="549"/>
      <c r="R59" s="569"/>
      <c r="S59" s="571"/>
      <c r="T59" s="557"/>
      <c r="U59" s="557"/>
      <c r="V59" s="557">
        <f>T59+U59</f>
        <v>0</v>
      </c>
      <c r="W59" s="593">
        <f>R59*V59</f>
        <v>0</v>
      </c>
      <c r="X59" s="519">
        <f>S59*V59</f>
        <v>0</v>
      </c>
      <c r="Y59" s="653"/>
      <c r="Z59" s="547" t="s">
        <v>302</v>
      </c>
      <c r="AA59" s="548"/>
      <c r="AB59" s="549"/>
      <c r="AC59" s="569"/>
      <c r="AD59" s="571"/>
      <c r="AE59" s="557"/>
      <c r="AF59" s="557"/>
      <c r="AG59" s="557">
        <f>AE59+AF59</f>
        <v>0</v>
      </c>
      <c r="AH59" s="593">
        <f>AC59*AG59</f>
        <v>0</v>
      </c>
      <c r="AI59" s="519">
        <f>AD59*AG59</f>
        <v>0</v>
      </c>
      <c r="BR59" s="583"/>
      <c r="BS59" s="594"/>
      <c r="BT59" s="594"/>
      <c r="BU59" s="584"/>
      <c r="BV59" s="728"/>
      <c r="BW59" s="703"/>
      <c r="BX59" s="728"/>
      <c r="BY59" s="701"/>
      <c r="BZ59" s="703"/>
      <c r="CA59" s="703"/>
      <c r="CB59" s="728"/>
      <c r="CC59" s="701"/>
      <c r="CD59" s="730">
        <f>SUM(BV59:CC60)</f>
        <v>0</v>
      </c>
      <c r="CE59" s="732">
        <f>BV59*55+BW59*55+BX59*55+BY59*55+BZ59*30+CA59*30+CB59*30+CC59*30</f>
        <v>0</v>
      </c>
      <c r="CF59" s="722"/>
      <c r="CG59" s="734"/>
      <c r="CH59" s="723"/>
      <c r="CI59" s="720"/>
      <c r="CJ59" s="720"/>
      <c r="CK59" s="750"/>
      <c r="CL59" s="751"/>
      <c r="CM59" s="726"/>
    </row>
    <row r="60" spans="3:91" ht="15.95" customHeight="1" thickBot="1">
      <c r="C60" s="653"/>
      <c r="D60" s="550"/>
      <c r="E60" s="551"/>
      <c r="F60" s="552"/>
      <c r="G60" s="570"/>
      <c r="H60" s="572"/>
      <c r="I60" s="558"/>
      <c r="J60" s="558"/>
      <c r="K60" s="558"/>
      <c r="L60" s="558"/>
      <c r="M60" s="520"/>
      <c r="N60" s="653"/>
      <c r="O60" s="550"/>
      <c r="P60" s="551"/>
      <c r="Q60" s="552"/>
      <c r="R60" s="570"/>
      <c r="S60" s="572"/>
      <c r="T60" s="558"/>
      <c r="U60" s="558"/>
      <c r="V60" s="558"/>
      <c r="W60" s="558"/>
      <c r="X60" s="520"/>
      <c r="Y60" s="653"/>
      <c r="Z60" s="550"/>
      <c r="AA60" s="551"/>
      <c r="AB60" s="552"/>
      <c r="AC60" s="570"/>
      <c r="AD60" s="572"/>
      <c r="AE60" s="558"/>
      <c r="AF60" s="558"/>
      <c r="AG60" s="558"/>
      <c r="AH60" s="558"/>
      <c r="AI60" s="520"/>
      <c r="BR60" s="529"/>
      <c r="BS60" s="530"/>
      <c r="BT60" s="530"/>
      <c r="BU60" s="531"/>
      <c r="BV60" s="729"/>
      <c r="BW60" s="704"/>
      <c r="BX60" s="729"/>
      <c r="BY60" s="702"/>
      <c r="BZ60" s="704"/>
      <c r="CA60" s="704"/>
      <c r="CB60" s="729"/>
      <c r="CC60" s="702"/>
      <c r="CD60" s="731"/>
      <c r="CE60" s="733"/>
      <c r="CF60" s="724"/>
      <c r="CG60" s="735"/>
      <c r="CH60" s="725"/>
      <c r="CI60" s="721"/>
      <c r="CJ60" s="721"/>
      <c r="CK60" s="750"/>
      <c r="CL60" s="751"/>
      <c r="CM60" s="727"/>
    </row>
    <row r="61" spans="3:91" ht="15.95" customHeight="1">
      <c r="C61" s="658"/>
      <c r="D61" s="547" t="s">
        <v>305</v>
      </c>
      <c r="E61" s="548"/>
      <c r="F61" s="549"/>
      <c r="G61" s="569"/>
      <c r="H61" s="571"/>
      <c r="I61" s="557"/>
      <c r="J61" s="557"/>
      <c r="K61" s="557">
        <f>I61+J61</f>
        <v>0</v>
      </c>
      <c r="L61" s="593">
        <f>G61*K61</f>
        <v>0</v>
      </c>
      <c r="M61" s="519">
        <f>H61*K61</f>
        <v>0</v>
      </c>
      <c r="N61" s="658"/>
      <c r="O61" s="547" t="s">
        <v>305</v>
      </c>
      <c r="P61" s="548"/>
      <c r="Q61" s="549"/>
      <c r="R61" s="569"/>
      <c r="S61" s="571"/>
      <c r="T61" s="557"/>
      <c r="U61" s="557"/>
      <c r="V61" s="557">
        <f>T61+U61</f>
        <v>0</v>
      </c>
      <c r="W61" s="593">
        <f>R61*V61</f>
        <v>0</v>
      </c>
      <c r="X61" s="519">
        <f>S61*V61</f>
        <v>0</v>
      </c>
      <c r="Y61" s="658"/>
      <c r="Z61" s="547" t="s">
        <v>305</v>
      </c>
      <c r="AA61" s="548"/>
      <c r="AB61" s="549"/>
      <c r="AC61" s="569"/>
      <c r="AD61" s="571"/>
      <c r="AE61" s="557"/>
      <c r="AF61" s="557"/>
      <c r="AG61" s="557">
        <f>AE61+AF61</f>
        <v>0</v>
      </c>
      <c r="AH61" s="593">
        <f>AC61*AG61</f>
        <v>0</v>
      </c>
      <c r="AI61" s="519">
        <f>AD61*AG61</f>
        <v>0</v>
      </c>
      <c r="BR61" s="583"/>
      <c r="BS61" s="594"/>
      <c r="BT61" s="594"/>
      <c r="BU61" s="584"/>
      <c r="BV61" s="714"/>
      <c r="BW61" s="718"/>
      <c r="BX61" s="714"/>
      <c r="BY61" s="716"/>
      <c r="BZ61" s="718"/>
      <c r="CA61" s="718"/>
      <c r="CB61" s="714"/>
      <c r="CC61" s="716"/>
      <c r="CD61" s="744">
        <f>SUM(BV61:CC62)</f>
        <v>0</v>
      </c>
      <c r="CE61" s="746">
        <f>BV61*55+BW61*55+BX61*55+BY61*55+BZ61*30+CA61*30+CB61*30+CC61*30</f>
        <v>0</v>
      </c>
      <c r="CF61" s="738"/>
      <c r="CG61" s="748"/>
      <c r="CH61" s="739"/>
      <c r="CI61" s="736"/>
      <c r="CJ61" s="736"/>
      <c r="CK61" s="738"/>
      <c r="CL61" s="739"/>
      <c r="CM61" s="742"/>
    </row>
    <row r="62" spans="3:91" ht="15.95" customHeight="1" thickBot="1">
      <c r="C62" s="658"/>
      <c r="D62" s="550"/>
      <c r="E62" s="551"/>
      <c r="F62" s="552"/>
      <c r="G62" s="570"/>
      <c r="H62" s="572"/>
      <c r="I62" s="558"/>
      <c r="J62" s="558"/>
      <c r="K62" s="558"/>
      <c r="L62" s="558"/>
      <c r="M62" s="520"/>
      <c r="N62" s="658"/>
      <c r="O62" s="550"/>
      <c r="P62" s="551"/>
      <c r="Q62" s="552"/>
      <c r="R62" s="570"/>
      <c r="S62" s="572"/>
      <c r="T62" s="558"/>
      <c r="U62" s="558"/>
      <c r="V62" s="558"/>
      <c r="W62" s="558"/>
      <c r="X62" s="520"/>
      <c r="Y62" s="658"/>
      <c r="Z62" s="550"/>
      <c r="AA62" s="551"/>
      <c r="AB62" s="552"/>
      <c r="AC62" s="570"/>
      <c r="AD62" s="572"/>
      <c r="AE62" s="558"/>
      <c r="AF62" s="558"/>
      <c r="AG62" s="558"/>
      <c r="AH62" s="558"/>
      <c r="AI62" s="520"/>
      <c r="BR62" s="529"/>
      <c r="BS62" s="530"/>
      <c r="BT62" s="530"/>
      <c r="BU62" s="531"/>
      <c r="BV62" s="715"/>
      <c r="BW62" s="719"/>
      <c r="BX62" s="715"/>
      <c r="BY62" s="717"/>
      <c r="BZ62" s="719"/>
      <c r="CA62" s="719"/>
      <c r="CB62" s="715"/>
      <c r="CC62" s="717"/>
      <c r="CD62" s="745"/>
      <c r="CE62" s="747"/>
      <c r="CF62" s="740"/>
      <c r="CG62" s="749"/>
      <c r="CH62" s="741"/>
      <c r="CI62" s="737"/>
      <c r="CJ62" s="737"/>
      <c r="CK62" s="740"/>
      <c r="CL62" s="741"/>
      <c r="CM62" s="743"/>
    </row>
    <row r="63" spans="3:91" ht="15.95" customHeight="1">
      <c r="C63" s="659"/>
      <c r="D63" s="547" t="s">
        <v>306</v>
      </c>
      <c r="E63" s="548"/>
      <c r="F63" s="549"/>
      <c r="G63" s="569"/>
      <c r="H63" s="571"/>
      <c r="I63" s="557"/>
      <c r="J63" s="557"/>
      <c r="K63" s="557">
        <f>I63+J63</f>
        <v>0</v>
      </c>
      <c r="L63" s="593">
        <f>G63*K63</f>
        <v>0</v>
      </c>
      <c r="M63" s="519">
        <f>H63*K63</f>
        <v>0</v>
      </c>
      <c r="N63" s="659"/>
      <c r="O63" s="547" t="s">
        <v>306</v>
      </c>
      <c r="P63" s="548"/>
      <c r="Q63" s="549"/>
      <c r="R63" s="569"/>
      <c r="S63" s="571"/>
      <c r="T63" s="557"/>
      <c r="U63" s="557"/>
      <c r="V63" s="557">
        <f>T63+U63</f>
        <v>0</v>
      </c>
      <c r="W63" s="593">
        <f>R63*V63</f>
        <v>0</v>
      </c>
      <c r="X63" s="519">
        <f>S63*V63</f>
        <v>0</v>
      </c>
      <c r="Y63" s="659"/>
      <c r="Z63" s="547" t="s">
        <v>306</v>
      </c>
      <c r="AA63" s="548"/>
      <c r="AB63" s="549"/>
      <c r="AC63" s="569"/>
      <c r="AD63" s="571"/>
      <c r="AE63" s="557"/>
      <c r="AF63" s="557"/>
      <c r="AG63" s="557">
        <f>AE63+AF63</f>
        <v>0</v>
      </c>
      <c r="AH63" s="593">
        <f>AC63*AG63</f>
        <v>0</v>
      </c>
      <c r="AI63" s="519">
        <f>AD63*AG63</f>
        <v>0</v>
      </c>
      <c r="BR63" s="583"/>
      <c r="BS63" s="594"/>
      <c r="BT63" s="594"/>
      <c r="BU63" s="584"/>
      <c r="BV63" s="728"/>
      <c r="BW63" s="703"/>
      <c r="BX63" s="728"/>
      <c r="BY63" s="701"/>
      <c r="BZ63" s="703"/>
      <c r="CA63" s="703"/>
      <c r="CB63" s="728"/>
      <c r="CC63" s="701"/>
      <c r="CD63" s="730">
        <f>SUM(BV63:CC64)</f>
        <v>0</v>
      </c>
      <c r="CE63" s="732">
        <f>BV63*55+BW63*55+BX63*55+BY63*55+BZ63*30+CA63*30+CB63*30+CC63*30</f>
        <v>0</v>
      </c>
      <c r="CF63" s="722"/>
      <c r="CG63" s="734"/>
      <c r="CH63" s="723"/>
      <c r="CI63" s="720"/>
      <c r="CJ63" s="720"/>
      <c r="CK63" s="750"/>
      <c r="CL63" s="751"/>
      <c r="CM63" s="726"/>
    </row>
    <row r="64" spans="3:91" ht="15.95" customHeight="1" thickBot="1">
      <c r="C64" s="659"/>
      <c r="D64" s="550"/>
      <c r="E64" s="551"/>
      <c r="F64" s="552"/>
      <c r="G64" s="570"/>
      <c r="H64" s="572"/>
      <c r="I64" s="558"/>
      <c r="J64" s="558"/>
      <c r="K64" s="558"/>
      <c r="L64" s="558"/>
      <c r="M64" s="520"/>
      <c r="N64" s="659"/>
      <c r="O64" s="550"/>
      <c r="P64" s="551"/>
      <c r="Q64" s="552"/>
      <c r="R64" s="570"/>
      <c r="S64" s="572"/>
      <c r="T64" s="558"/>
      <c r="U64" s="558"/>
      <c r="V64" s="558"/>
      <c r="W64" s="558"/>
      <c r="X64" s="520"/>
      <c r="Y64" s="659"/>
      <c r="Z64" s="550"/>
      <c r="AA64" s="551"/>
      <c r="AB64" s="552"/>
      <c r="AC64" s="570"/>
      <c r="AD64" s="572"/>
      <c r="AE64" s="558"/>
      <c r="AF64" s="558"/>
      <c r="AG64" s="558"/>
      <c r="AH64" s="558"/>
      <c r="AI64" s="520"/>
      <c r="BR64" s="529"/>
      <c r="BS64" s="530"/>
      <c r="BT64" s="530"/>
      <c r="BU64" s="531"/>
      <c r="BV64" s="729"/>
      <c r="BW64" s="704"/>
      <c r="BX64" s="729"/>
      <c r="BY64" s="702"/>
      <c r="BZ64" s="704"/>
      <c r="CA64" s="704"/>
      <c r="CB64" s="729"/>
      <c r="CC64" s="702"/>
      <c r="CD64" s="731"/>
      <c r="CE64" s="733"/>
      <c r="CF64" s="724"/>
      <c r="CG64" s="735"/>
      <c r="CH64" s="725"/>
      <c r="CI64" s="721"/>
      <c r="CJ64" s="721"/>
      <c r="CK64" s="750"/>
      <c r="CL64" s="751"/>
      <c r="CM64" s="727"/>
    </row>
    <row r="65" spans="3:91" ht="15.95" customHeight="1">
      <c r="C65" s="670"/>
      <c r="D65" s="547" t="s">
        <v>307</v>
      </c>
      <c r="E65" s="548"/>
      <c r="F65" s="549"/>
      <c r="G65" s="569"/>
      <c r="H65" s="571"/>
      <c r="I65" s="557"/>
      <c r="J65" s="557"/>
      <c r="K65" s="557">
        <f>I65+J65</f>
        <v>0</v>
      </c>
      <c r="L65" s="593">
        <f>G65*K65</f>
        <v>0</v>
      </c>
      <c r="M65" s="519">
        <f>H65*K65</f>
        <v>0</v>
      </c>
      <c r="N65" s="670"/>
      <c r="O65" s="547" t="s">
        <v>307</v>
      </c>
      <c r="P65" s="548"/>
      <c r="Q65" s="549"/>
      <c r="R65" s="569"/>
      <c r="S65" s="571"/>
      <c r="T65" s="557"/>
      <c r="U65" s="557"/>
      <c r="V65" s="557">
        <f>T65+U65</f>
        <v>0</v>
      </c>
      <c r="W65" s="593">
        <f>R65*V65</f>
        <v>0</v>
      </c>
      <c r="X65" s="519">
        <f>S65*V65</f>
        <v>0</v>
      </c>
      <c r="Y65" s="670"/>
      <c r="Z65" s="547" t="s">
        <v>307</v>
      </c>
      <c r="AA65" s="548"/>
      <c r="AB65" s="549"/>
      <c r="AC65" s="569"/>
      <c r="AD65" s="571"/>
      <c r="AE65" s="557"/>
      <c r="AF65" s="557"/>
      <c r="AG65" s="557">
        <f>AE65+AF65</f>
        <v>0</v>
      </c>
      <c r="AH65" s="593">
        <f>AC65*AG65</f>
        <v>0</v>
      </c>
      <c r="AI65" s="519">
        <f>AD65*AG65</f>
        <v>0</v>
      </c>
      <c r="BR65" s="583"/>
      <c r="BS65" s="594"/>
      <c r="BT65" s="594"/>
      <c r="BU65" s="584"/>
      <c r="BV65" s="714"/>
      <c r="BW65" s="718"/>
      <c r="BX65" s="714"/>
      <c r="BY65" s="716"/>
      <c r="BZ65" s="718"/>
      <c r="CA65" s="718"/>
      <c r="CB65" s="714"/>
      <c r="CC65" s="716"/>
      <c r="CD65" s="744">
        <f>SUM(BV65:CC66)</f>
        <v>0</v>
      </c>
      <c r="CE65" s="746">
        <f>BV65*55+BW65*55+BX65*55+BY65*55+BZ65*30+CA65*30+CB65*30+CC65*30</f>
        <v>0</v>
      </c>
      <c r="CF65" s="738"/>
      <c r="CG65" s="748"/>
      <c r="CH65" s="739"/>
      <c r="CI65" s="736"/>
      <c r="CJ65" s="736"/>
      <c r="CK65" s="738"/>
      <c r="CL65" s="739"/>
      <c r="CM65" s="742"/>
    </row>
    <row r="66" spans="3:91" ht="15.95" customHeight="1" thickBot="1">
      <c r="C66" s="670"/>
      <c r="D66" s="550"/>
      <c r="E66" s="551"/>
      <c r="F66" s="552"/>
      <c r="G66" s="570"/>
      <c r="H66" s="572"/>
      <c r="I66" s="558"/>
      <c r="J66" s="558"/>
      <c r="K66" s="558"/>
      <c r="L66" s="558"/>
      <c r="M66" s="520"/>
      <c r="N66" s="670"/>
      <c r="O66" s="550"/>
      <c r="P66" s="551"/>
      <c r="Q66" s="552"/>
      <c r="R66" s="570"/>
      <c r="S66" s="572"/>
      <c r="T66" s="558"/>
      <c r="U66" s="558"/>
      <c r="V66" s="558"/>
      <c r="W66" s="558"/>
      <c r="X66" s="520"/>
      <c r="Y66" s="670"/>
      <c r="Z66" s="550"/>
      <c r="AA66" s="551"/>
      <c r="AB66" s="552"/>
      <c r="AC66" s="570"/>
      <c r="AD66" s="572"/>
      <c r="AE66" s="558"/>
      <c r="AF66" s="558"/>
      <c r="AG66" s="558"/>
      <c r="AH66" s="558"/>
      <c r="AI66" s="520"/>
      <c r="BR66" s="529"/>
      <c r="BS66" s="530"/>
      <c r="BT66" s="530"/>
      <c r="BU66" s="531"/>
      <c r="BV66" s="715"/>
      <c r="BW66" s="719"/>
      <c r="BX66" s="715"/>
      <c r="BY66" s="717"/>
      <c r="BZ66" s="719"/>
      <c r="CA66" s="719"/>
      <c r="CB66" s="715"/>
      <c r="CC66" s="717"/>
      <c r="CD66" s="745"/>
      <c r="CE66" s="747"/>
      <c r="CF66" s="740"/>
      <c r="CG66" s="749"/>
      <c r="CH66" s="741"/>
      <c r="CI66" s="737"/>
      <c r="CJ66" s="737"/>
      <c r="CK66" s="740"/>
      <c r="CL66" s="741"/>
      <c r="CM66" s="743"/>
    </row>
    <row r="67" spans="3:91" ht="15.95" customHeight="1">
      <c r="C67" s="683"/>
      <c r="D67" s="547" t="s">
        <v>310</v>
      </c>
      <c r="E67" s="548"/>
      <c r="F67" s="549"/>
      <c r="G67" s="569"/>
      <c r="H67" s="571"/>
      <c r="I67" s="557"/>
      <c r="J67" s="557"/>
      <c r="K67" s="557">
        <f>I67+J67</f>
        <v>0</v>
      </c>
      <c r="L67" s="593">
        <f>G67*K67</f>
        <v>0</v>
      </c>
      <c r="M67" s="519">
        <f>H67*K67</f>
        <v>0</v>
      </c>
      <c r="N67" s="683"/>
      <c r="O67" s="547" t="s">
        <v>310</v>
      </c>
      <c r="P67" s="548"/>
      <c r="Q67" s="549"/>
      <c r="R67" s="569"/>
      <c r="S67" s="571"/>
      <c r="T67" s="557"/>
      <c r="U67" s="557"/>
      <c r="V67" s="557">
        <f>T67+U67</f>
        <v>0</v>
      </c>
      <c r="W67" s="593">
        <f>R67*V67</f>
        <v>0</v>
      </c>
      <c r="X67" s="519">
        <f>S67*V67</f>
        <v>0</v>
      </c>
      <c r="Y67" s="683"/>
      <c r="Z67" s="547" t="s">
        <v>310</v>
      </c>
      <c r="AA67" s="548"/>
      <c r="AB67" s="549"/>
      <c r="AC67" s="569"/>
      <c r="AD67" s="571"/>
      <c r="AE67" s="557"/>
      <c r="AF67" s="557"/>
      <c r="AG67" s="557">
        <f>AE67+AF67</f>
        <v>0</v>
      </c>
      <c r="AH67" s="593">
        <f>AC67*AG67</f>
        <v>0</v>
      </c>
      <c r="AI67" s="519">
        <f>AD67*AG67</f>
        <v>0</v>
      </c>
      <c r="BR67" s="583"/>
      <c r="BS67" s="594"/>
      <c r="BT67" s="594"/>
      <c r="BU67" s="584"/>
      <c r="BV67" s="728"/>
      <c r="BW67" s="703"/>
      <c r="BX67" s="728"/>
      <c r="BY67" s="701"/>
      <c r="BZ67" s="703"/>
      <c r="CA67" s="703"/>
      <c r="CB67" s="728"/>
      <c r="CC67" s="701"/>
      <c r="CD67" s="730">
        <f>SUM(BV67:CC68)</f>
        <v>0</v>
      </c>
      <c r="CE67" s="732">
        <f>BV67*55+BW67*55+BX67*55+BY67*55+BZ67*30+CA67*30+CB67*30+CC67*30</f>
        <v>0</v>
      </c>
      <c r="CF67" s="722"/>
      <c r="CG67" s="734"/>
      <c r="CH67" s="723"/>
      <c r="CI67" s="720"/>
      <c r="CJ67" s="720"/>
      <c r="CK67" s="750"/>
      <c r="CL67" s="751"/>
      <c r="CM67" s="726"/>
    </row>
    <row r="68" spans="3:91" ht="15.95" customHeight="1" thickBot="1">
      <c r="C68" s="683"/>
      <c r="D68" s="550"/>
      <c r="E68" s="551"/>
      <c r="F68" s="552"/>
      <c r="G68" s="570"/>
      <c r="H68" s="572"/>
      <c r="I68" s="558"/>
      <c r="J68" s="558"/>
      <c r="K68" s="558"/>
      <c r="L68" s="558"/>
      <c r="M68" s="520"/>
      <c r="N68" s="683"/>
      <c r="O68" s="550"/>
      <c r="P68" s="551"/>
      <c r="Q68" s="552"/>
      <c r="R68" s="570"/>
      <c r="S68" s="572"/>
      <c r="T68" s="558"/>
      <c r="U68" s="558"/>
      <c r="V68" s="558"/>
      <c r="W68" s="558"/>
      <c r="X68" s="520"/>
      <c r="Y68" s="683"/>
      <c r="Z68" s="550"/>
      <c r="AA68" s="551"/>
      <c r="AB68" s="552"/>
      <c r="AC68" s="570"/>
      <c r="AD68" s="572"/>
      <c r="AE68" s="558"/>
      <c r="AF68" s="558"/>
      <c r="AG68" s="558"/>
      <c r="AH68" s="558"/>
      <c r="AI68" s="520"/>
      <c r="BR68" s="529"/>
      <c r="BS68" s="530"/>
      <c r="BT68" s="530"/>
      <c r="BU68" s="531"/>
      <c r="BV68" s="729"/>
      <c r="BW68" s="704"/>
      <c r="BX68" s="729"/>
      <c r="BY68" s="702"/>
      <c r="BZ68" s="704"/>
      <c r="CA68" s="704"/>
      <c r="CB68" s="729"/>
      <c r="CC68" s="702"/>
      <c r="CD68" s="731"/>
      <c r="CE68" s="733"/>
      <c r="CF68" s="724"/>
      <c r="CG68" s="735"/>
      <c r="CH68" s="725"/>
      <c r="CI68" s="721"/>
      <c r="CJ68" s="721"/>
      <c r="CK68" s="750"/>
      <c r="CL68" s="751"/>
      <c r="CM68" s="727"/>
    </row>
    <row r="69" spans="3:91" ht="15.95" customHeight="1">
      <c r="C69" s="682"/>
      <c r="D69" s="547" t="s">
        <v>315</v>
      </c>
      <c r="E69" s="548"/>
      <c r="F69" s="549"/>
      <c r="G69" s="569"/>
      <c r="H69" s="571"/>
      <c r="I69" s="557"/>
      <c r="J69" s="557"/>
      <c r="K69" s="557">
        <f>I69+J69</f>
        <v>0</v>
      </c>
      <c r="L69" s="593">
        <f>G69*K69</f>
        <v>0</v>
      </c>
      <c r="M69" s="519">
        <f>H69*K69</f>
        <v>0</v>
      </c>
      <c r="N69" s="682"/>
      <c r="O69" s="547" t="s">
        <v>315</v>
      </c>
      <c r="P69" s="548"/>
      <c r="Q69" s="549"/>
      <c r="R69" s="569"/>
      <c r="S69" s="571"/>
      <c r="T69" s="557"/>
      <c r="U69" s="557"/>
      <c r="V69" s="557">
        <f>T69+U69</f>
        <v>0</v>
      </c>
      <c r="W69" s="593">
        <f>R69*V69</f>
        <v>0</v>
      </c>
      <c r="X69" s="519">
        <f>S69*V69</f>
        <v>0</v>
      </c>
      <c r="Y69" s="682"/>
      <c r="Z69" s="547" t="s">
        <v>315</v>
      </c>
      <c r="AA69" s="548"/>
      <c r="AB69" s="549"/>
      <c r="AC69" s="569"/>
      <c r="AD69" s="571"/>
      <c r="AE69" s="557"/>
      <c r="AF69" s="557"/>
      <c r="AG69" s="557">
        <f>AE69+AF69</f>
        <v>0</v>
      </c>
      <c r="AH69" s="593">
        <f>AC69*AG69</f>
        <v>0</v>
      </c>
      <c r="AI69" s="519">
        <f>AD69*AG69</f>
        <v>0</v>
      </c>
      <c r="BR69" s="583"/>
      <c r="BS69" s="594"/>
      <c r="BT69" s="594"/>
      <c r="BU69" s="584"/>
      <c r="BV69" s="714"/>
      <c r="BW69" s="718"/>
      <c r="BX69" s="714"/>
      <c r="BY69" s="716"/>
      <c r="BZ69" s="718"/>
      <c r="CA69" s="718"/>
      <c r="CB69" s="714"/>
      <c r="CC69" s="716"/>
      <c r="CD69" s="744">
        <f>SUM(BV69:CC70)</f>
        <v>0</v>
      </c>
      <c r="CE69" s="746">
        <f>BV69*55+BW69*55+BX69*55+BY69*55+BZ69*30+CA69*30+CB69*30+CC69*30</f>
        <v>0</v>
      </c>
      <c r="CF69" s="738"/>
      <c r="CG69" s="748"/>
      <c r="CH69" s="739"/>
      <c r="CI69" s="736"/>
      <c r="CJ69" s="736"/>
      <c r="CK69" s="738"/>
      <c r="CL69" s="739"/>
      <c r="CM69" s="742"/>
    </row>
    <row r="70" spans="3:91" ht="15.95" customHeight="1" thickBot="1">
      <c r="C70" s="682"/>
      <c r="D70" s="550"/>
      <c r="E70" s="551"/>
      <c r="F70" s="552"/>
      <c r="G70" s="570"/>
      <c r="H70" s="572"/>
      <c r="I70" s="558"/>
      <c r="J70" s="558"/>
      <c r="K70" s="558"/>
      <c r="L70" s="558"/>
      <c r="M70" s="520"/>
      <c r="N70" s="682"/>
      <c r="O70" s="550"/>
      <c r="P70" s="551"/>
      <c r="Q70" s="552"/>
      <c r="R70" s="570"/>
      <c r="S70" s="572"/>
      <c r="T70" s="558"/>
      <c r="U70" s="558"/>
      <c r="V70" s="558"/>
      <c r="W70" s="558"/>
      <c r="X70" s="520"/>
      <c r="Y70" s="682"/>
      <c r="Z70" s="550"/>
      <c r="AA70" s="551"/>
      <c r="AB70" s="552"/>
      <c r="AC70" s="570"/>
      <c r="AD70" s="572"/>
      <c r="AE70" s="558"/>
      <c r="AF70" s="558"/>
      <c r="AG70" s="558"/>
      <c r="AH70" s="558"/>
      <c r="AI70" s="520"/>
      <c r="BR70" s="585"/>
      <c r="BS70" s="595"/>
      <c r="BT70" s="595"/>
      <c r="BU70" s="586"/>
      <c r="BV70" s="715"/>
      <c r="BW70" s="719"/>
      <c r="BX70" s="715"/>
      <c r="BY70" s="717"/>
      <c r="BZ70" s="719"/>
      <c r="CA70" s="719"/>
      <c r="CB70" s="715"/>
      <c r="CC70" s="717"/>
      <c r="CD70" s="745"/>
      <c r="CE70" s="747"/>
      <c r="CF70" s="740"/>
      <c r="CG70" s="749"/>
      <c r="CH70" s="741"/>
      <c r="CI70" s="737"/>
      <c r="CJ70" s="737"/>
      <c r="CK70" s="740"/>
      <c r="CL70" s="741"/>
      <c r="CM70" s="743"/>
    </row>
    <row r="71" spans="3:91" ht="15.95" customHeight="1" thickBot="1">
      <c r="C71" s="689"/>
      <c r="D71" s="547" t="s">
        <v>317</v>
      </c>
      <c r="E71" s="548"/>
      <c r="F71" s="549"/>
      <c r="G71" s="569"/>
      <c r="H71" s="571"/>
      <c r="I71" s="557"/>
      <c r="J71" s="557"/>
      <c r="K71" s="557">
        <f>I71+J71</f>
        <v>0</v>
      </c>
      <c r="L71" s="593">
        <f>G71*K71</f>
        <v>0</v>
      </c>
      <c r="M71" s="519">
        <f>H71*K71</f>
        <v>0</v>
      </c>
      <c r="N71" s="689"/>
      <c r="O71" s="547" t="s">
        <v>317</v>
      </c>
      <c r="P71" s="548"/>
      <c r="Q71" s="549"/>
      <c r="R71" s="569"/>
      <c r="S71" s="571"/>
      <c r="T71" s="557"/>
      <c r="U71" s="557"/>
      <c r="V71" s="557">
        <f>T71+U71</f>
        <v>0</v>
      </c>
      <c r="W71" s="593">
        <f>R71*V71</f>
        <v>0</v>
      </c>
      <c r="X71" s="519">
        <f>S71*V71</f>
        <v>0</v>
      </c>
      <c r="Y71" s="689"/>
      <c r="Z71" s="547" t="s">
        <v>317</v>
      </c>
      <c r="AA71" s="548"/>
      <c r="AB71" s="549"/>
      <c r="AC71" s="569"/>
      <c r="AD71" s="571"/>
      <c r="AE71" s="557"/>
      <c r="AF71" s="557"/>
      <c r="AG71" s="557">
        <f>AE71+AF71</f>
        <v>0</v>
      </c>
      <c r="AH71" s="593">
        <f>AC71*AG71</f>
        <v>0</v>
      </c>
      <c r="AI71" s="519">
        <f>AD71*AG71</f>
        <v>0</v>
      </c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</row>
    <row r="72" spans="3:91" ht="15.95" customHeight="1" thickBot="1">
      <c r="C72" s="689"/>
      <c r="D72" s="550"/>
      <c r="E72" s="551"/>
      <c r="F72" s="552"/>
      <c r="G72" s="570"/>
      <c r="H72" s="572"/>
      <c r="I72" s="558"/>
      <c r="J72" s="558"/>
      <c r="K72" s="558"/>
      <c r="L72" s="558"/>
      <c r="M72" s="520"/>
      <c r="N72" s="689"/>
      <c r="O72" s="550"/>
      <c r="P72" s="551"/>
      <c r="Q72" s="552"/>
      <c r="R72" s="570"/>
      <c r="S72" s="572"/>
      <c r="T72" s="558"/>
      <c r="U72" s="558"/>
      <c r="V72" s="558"/>
      <c r="W72" s="558"/>
      <c r="X72" s="520"/>
      <c r="Y72" s="689"/>
      <c r="Z72" s="550"/>
      <c r="AA72" s="551"/>
      <c r="AB72" s="552"/>
      <c r="AC72" s="570"/>
      <c r="AD72" s="572"/>
      <c r="AE72" s="558"/>
      <c r="AF72" s="558"/>
      <c r="AG72" s="558"/>
      <c r="AH72" s="558"/>
      <c r="AI72" s="520"/>
      <c r="BT72" s="523" t="s">
        <v>136</v>
      </c>
      <c r="BU72" s="525"/>
      <c r="BV72" s="649">
        <f t="shared" ref="BV72:CC72" si="0">SUM(BV9:BV70)</f>
        <v>7</v>
      </c>
      <c r="BW72" s="649">
        <f t="shared" si="0"/>
        <v>2</v>
      </c>
      <c r="BX72" s="649">
        <f t="shared" si="0"/>
        <v>4</v>
      </c>
      <c r="BY72" s="649">
        <f t="shared" si="0"/>
        <v>0</v>
      </c>
      <c r="BZ72" s="649">
        <f t="shared" si="0"/>
        <v>6</v>
      </c>
      <c r="CA72" s="649">
        <f t="shared" si="0"/>
        <v>0</v>
      </c>
      <c r="CB72" s="649">
        <f t="shared" si="0"/>
        <v>6</v>
      </c>
      <c r="CC72" s="649">
        <f t="shared" si="0"/>
        <v>0</v>
      </c>
      <c r="CD72" s="760">
        <f>SUM(CD9:CD70)</f>
        <v>25</v>
      </c>
      <c r="CE72" s="762">
        <f>SUM(CE9:CE70)</f>
        <v>1075</v>
      </c>
      <c r="CF72" s="3"/>
      <c r="CG72" s="3"/>
      <c r="CH72" s="3"/>
      <c r="CI72" s="762">
        <f>SUM(CI9:CI70)</f>
        <v>455</v>
      </c>
      <c r="CJ72" s="762">
        <f>SUM(CJ9:CJ70)</f>
        <v>594</v>
      </c>
      <c r="CK72" s="762">
        <f>SUM(CK9:CL70)</f>
        <v>0</v>
      </c>
      <c r="CL72" s="3"/>
      <c r="CM72" s="3"/>
    </row>
    <row r="73" spans="3:91" ht="15.95" customHeight="1" thickBot="1">
      <c r="C73" s="684"/>
      <c r="D73" s="547" t="s">
        <v>318</v>
      </c>
      <c r="E73" s="548"/>
      <c r="F73" s="549"/>
      <c r="G73" s="569"/>
      <c r="H73" s="571"/>
      <c r="I73" s="557"/>
      <c r="J73" s="557"/>
      <c r="K73" s="649">
        <f>I73+J73</f>
        <v>0</v>
      </c>
      <c r="L73" s="693">
        <f>G73*K73</f>
        <v>0</v>
      </c>
      <c r="M73" s="519">
        <f>H73*K73</f>
        <v>0</v>
      </c>
      <c r="N73" s="684"/>
      <c r="O73" s="547" t="s">
        <v>318</v>
      </c>
      <c r="P73" s="548"/>
      <c r="Q73" s="549"/>
      <c r="R73" s="569"/>
      <c r="S73" s="571"/>
      <c r="T73" s="557"/>
      <c r="U73" s="557"/>
      <c r="V73" s="649">
        <f>T73+U73</f>
        <v>0</v>
      </c>
      <c r="W73" s="693">
        <f>R73*V73</f>
        <v>0</v>
      </c>
      <c r="X73" s="519">
        <f>S73*V73</f>
        <v>0</v>
      </c>
      <c r="Y73" s="684"/>
      <c r="Z73" s="547" t="s">
        <v>318</v>
      </c>
      <c r="AA73" s="548"/>
      <c r="AB73" s="549"/>
      <c r="AC73" s="569"/>
      <c r="AD73" s="571"/>
      <c r="AE73" s="557"/>
      <c r="AF73" s="557"/>
      <c r="AG73" s="649">
        <f>AE73+AF73</f>
        <v>0</v>
      </c>
      <c r="AH73" s="693">
        <f>AC73*AG73</f>
        <v>0</v>
      </c>
      <c r="AI73" s="519">
        <f>AD73*AG73</f>
        <v>0</v>
      </c>
      <c r="BT73" s="526"/>
      <c r="BU73" s="528"/>
      <c r="BV73" s="657"/>
      <c r="BW73" s="657"/>
      <c r="BX73" s="657"/>
      <c r="BY73" s="657"/>
      <c r="BZ73" s="657"/>
      <c r="CA73" s="657"/>
      <c r="CB73" s="657"/>
      <c r="CC73" s="657"/>
      <c r="CD73" s="761"/>
      <c r="CE73" s="761"/>
      <c r="CF73" s="3"/>
      <c r="CG73" s="3"/>
      <c r="CH73" s="3"/>
      <c r="CI73" s="761"/>
      <c r="CJ73" s="761"/>
      <c r="CK73" s="761"/>
      <c r="CL73" s="3"/>
      <c r="CM73" s="3"/>
    </row>
    <row r="74" spans="3:91" ht="15.95" customHeight="1" thickBot="1">
      <c r="C74" s="685"/>
      <c r="D74" s="550"/>
      <c r="E74" s="551"/>
      <c r="F74" s="552"/>
      <c r="G74" s="698"/>
      <c r="H74" s="699"/>
      <c r="I74" s="668"/>
      <c r="J74" s="668"/>
      <c r="K74" s="657"/>
      <c r="L74" s="657"/>
      <c r="M74" s="657"/>
      <c r="N74" s="685"/>
      <c r="O74" s="550"/>
      <c r="P74" s="551"/>
      <c r="Q74" s="552"/>
      <c r="R74" s="698"/>
      <c r="S74" s="699"/>
      <c r="T74" s="668"/>
      <c r="U74" s="668"/>
      <c r="V74" s="657"/>
      <c r="W74" s="657"/>
      <c r="X74" s="657"/>
      <c r="Y74" s="685"/>
      <c r="Z74" s="550"/>
      <c r="AA74" s="551"/>
      <c r="AB74" s="552"/>
      <c r="AC74" s="698"/>
      <c r="AD74" s="699"/>
      <c r="AE74" s="668"/>
      <c r="AF74" s="668"/>
      <c r="AG74" s="657"/>
      <c r="AH74" s="657"/>
      <c r="AI74" s="657"/>
      <c r="BT74" s="523" t="s">
        <v>137</v>
      </c>
      <c r="BU74" s="525"/>
      <c r="BV74" s="649">
        <f t="shared" ref="BV74:CD74" si="1">BV5-BV72</f>
        <v>0</v>
      </c>
      <c r="BW74" s="649">
        <f t="shared" si="1"/>
        <v>0</v>
      </c>
      <c r="BX74" s="649">
        <f t="shared" si="1"/>
        <v>1</v>
      </c>
      <c r="BY74" s="649">
        <f t="shared" si="1"/>
        <v>0</v>
      </c>
      <c r="BZ74" s="649">
        <f t="shared" si="1"/>
        <v>0</v>
      </c>
      <c r="CA74" s="649">
        <f t="shared" si="1"/>
        <v>0</v>
      </c>
      <c r="CB74" s="649">
        <f t="shared" si="1"/>
        <v>0</v>
      </c>
      <c r="CC74" s="649">
        <f t="shared" si="1"/>
        <v>0</v>
      </c>
      <c r="CD74" s="763">
        <f t="shared" si="1"/>
        <v>1</v>
      </c>
      <c r="CE74" s="5"/>
      <c r="CF74" s="3"/>
      <c r="CG74" s="3"/>
      <c r="CH74" s="3"/>
      <c r="CI74" s="3"/>
      <c r="CJ74" s="474">
        <f>CI72+CJ72+CK72</f>
        <v>1049</v>
      </c>
      <c r="CK74" s="3"/>
      <c r="CL74" s="3"/>
      <c r="CM74" s="3"/>
    </row>
    <row r="75" spans="3:91" ht="15.95" customHeight="1" thickBot="1">
      <c r="G75" s="3"/>
      <c r="H75" s="3"/>
      <c r="I75" s="660">
        <f>SUM(I45:I74)</f>
        <v>0</v>
      </c>
      <c r="J75" s="660">
        <f>SUM(J45:J74)</f>
        <v>0</v>
      </c>
      <c r="K75" s="660">
        <f>SUM(K45:K74)</f>
        <v>0</v>
      </c>
      <c r="L75" s="696">
        <f>SUM(L45:L74)</f>
        <v>0</v>
      </c>
      <c r="M75" s="662">
        <f>SUM(M45:M74)</f>
        <v>0</v>
      </c>
      <c r="R75" s="3"/>
      <c r="S75" s="3"/>
      <c r="T75" s="660">
        <f>SUM(T45:T74)</f>
        <v>0</v>
      </c>
      <c r="U75" s="660">
        <f>SUM(U45:U74)</f>
        <v>0</v>
      </c>
      <c r="V75" s="660">
        <f>SUM(V45:V74)</f>
        <v>0</v>
      </c>
      <c r="W75" s="696">
        <f>SUM(W45:W74)</f>
        <v>0</v>
      </c>
      <c r="X75" s="662">
        <f>SUM(X45:X74)</f>
        <v>0</v>
      </c>
      <c r="AC75" s="3"/>
      <c r="AD75" s="3"/>
      <c r="AE75" s="660">
        <f>SUM(AE45:AE74)</f>
        <v>0</v>
      </c>
      <c r="AF75" s="660">
        <f>SUM(AF45:AF74)</f>
        <v>0</v>
      </c>
      <c r="AG75" s="660">
        <f>SUM(AG45:AG74)</f>
        <v>0</v>
      </c>
      <c r="AH75" s="696">
        <f>SUM(AH45:AH74)</f>
        <v>0</v>
      </c>
      <c r="AI75" s="662">
        <f>SUM(AI45:AI74)</f>
        <v>0</v>
      </c>
      <c r="BT75" s="526"/>
      <c r="BU75" s="528"/>
      <c r="BV75" s="657"/>
      <c r="BW75" s="657"/>
      <c r="BX75" s="657"/>
      <c r="BY75" s="657"/>
      <c r="BZ75" s="657"/>
      <c r="CA75" s="657"/>
      <c r="CB75" s="657"/>
      <c r="CC75" s="657"/>
      <c r="CD75" s="761"/>
      <c r="CE75" s="5"/>
      <c r="CF75" s="3"/>
      <c r="CG75" s="3"/>
      <c r="CH75" s="3"/>
      <c r="CI75" s="3"/>
      <c r="CJ75" s="764"/>
      <c r="CK75" s="3"/>
      <c r="CL75" s="3"/>
      <c r="CM75" s="3"/>
    </row>
    <row r="76" spans="3:91" ht="15.95" customHeight="1" thickBot="1">
      <c r="G76" s="3"/>
      <c r="H76" s="3"/>
      <c r="I76" s="661"/>
      <c r="J76" s="661"/>
      <c r="K76" s="661"/>
      <c r="L76" s="661"/>
      <c r="M76" s="697"/>
      <c r="R76" s="3"/>
      <c r="S76" s="3"/>
      <c r="T76" s="661"/>
      <c r="U76" s="661"/>
      <c r="V76" s="661"/>
      <c r="W76" s="661"/>
      <c r="X76" s="697"/>
      <c r="AC76" s="3"/>
      <c r="AD76" s="3"/>
      <c r="AE76" s="661"/>
      <c r="AF76" s="661"/>
      <c r="AG76" s="661"/>
      <c r="AH76" s="661"/>
      <c r="AI76" s="697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</row>
    <row r="77" spans="3:91" ht="15.95" customHeight="1" thickBot="1"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533" t="s">
        <v>98</v>
      </c>
      <c r="CH77" s="534"/>
      <c r="CI77" s="534"/>
      <c r="CJ77" s="534"/>
      <c r="CK77" s="535"/>
      <c r="CL77" s="488">
        <f>CJ74</f>
        <v>1049</v>
      </c>
      <c r="CM77" s="489"/>
    </row>
    <row r="78" spans="3:91" ht="15.95" customHeight="1" thickBot="1">
      <c r="BT78" s="523" t="s">
        <v>136</v>
      </c>
      <c r="BU78" s="525"/>
      <c r="BV78" s="763">
        <f>CD72</f>
        <v>25</v>
      </c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536"/>
      <c r="CH78" s="537"/>
      <c r="CI78" s="537"/>
      <c r="CJ78" s="537"/>
      <c r="CK78" s="538"/>
      <c r="CL78" s="490"/>
      <c r="CM78" s="491"/>
    </row>
    <row r="79" spans="3:91" ht="15.95" customHeight="1" thickBot="1">
      <c r="BT79" s="526"/>
      <c r="BU79" s="528"/>
      <c r="BV79" s="761"/>
      <c r="BW79" s="3"/>
      <c r="BX79" s="3"/>
      <c r="BY79" s="3"/>
      <c r="BZ79" s="3"/>
      <c r="CA79" s="3"/>
      <c r="CB79" s="3"/>
      <c r="CC79" s="3"/>
      <c r="CD79" s="3"/>
      <c r="CE79" s="3"/>
      <c r="CF79" s="3"/>
      <c r="CL79" s="1"/>
      <c r="CM79" s="1"/>
    </row>
    <row r="80" spans="3:91" ht="15.95" customHeight="1">
      <c r="CG80" s="583" t="s">
        <v>278</v>
      </c>
      <c r="CH80" s="594"/>
      <c r="CI80" s="594"/>
      <c r="CJ80" s="594"/>
      <c r="CK80" s="584"/>
      <c r="CL80" s="427">
        <f>BN6</f>
        <v>655.48</v>
      </c>
      <c r="CM80" s="428"/>
    </row>
    <row r="81" spans="85:91" ht="15.95" customHeight="1">
      <c r="CG81" s="529"/>
      <c r="CH81" s="530"/>
      <c r="CI81" s="530"/>
      <c r="CJ81" s="530"/>
      <c r="CK81" s="531"/>
      <c r="CL81" s="429"/>
      <c r="CM81" s="430"/>
    </row>
    <row r="82" spans="85:91" ht="15.95" customHeight="1">
      <c r="CG82" s="529" t="s">
        <v>141</v>
      </c>
      <c r="CH82" s="530"/>
      <c r="CI82" s="530"/>
      <c r="CJ82" s="530"/>
      <c r="CK82" s="531"/>
      <c r="CL82" s="532">
        <f>BN8</f>
        <v>116.16000000000001</v>
      </c>
      <c r="CM82" s="430"/>
    </row>
    <row r="83" spans="85:91" ht="15.95" customHeight="1">
      <c r="CG83" s="529"/>
      <c r="CH83" s="530"/>
      <c r="CI83" s="530"/>
      <c r="CJ83" s="530"/>
      <c r="CK83" s="531"/>
      <c r="CL83" s="429"/>
      <c r="CM83" s="430"/>
    </row>
    <row r="84" spans="85:91" ht="15.95" customHeight="1">
      <c r="CG84" s="529" t="s">
        <v>287</v>
      </c>
      <c r="CH84" s="530"/>
      <c r="CI84" s="530"/>
      <c r="CJ84" s="530"/>
      <c r="CK84" s="531"/>
      <c r="CL84" s="532">
        <v>66.459999999999994</v>
      </c>
      <c r="CM84" s="600"/>
    </row>
    <row r="85" spans="85:91" ht="15.95" customHeight="1" thickBot="1">
      <c r="CG85" s="585"/>
      <c r="CH85" s="595"/>
      <c r="CI85" s="595"/>
      <c r="CJ85" s="595"/>
      <c r="CK85" s="586"/>
      <c r="CL85" s="601"/>
      <c r="CM85" s="602"/>
    </row>
    <row r="86" spans="85:91" ht="15.95" customHeight="1">
      <c r="CG86" s="617" t="s">
        <v>145</v>
      </c>
      <c r="CH86" s="618"/>
      <c r="CI86" s="618"/>
      <c r="CJ86" s="618"/>
      <c r="CK86" s="619"/>
      <c r="CL86" s="623">
        <f>SUM(CL80:CM85)</f>
        <v>838.1</v>
      </c>
      <c r="CM86" s="624"/>
    </row>
    <row r="87" spans="85:91" ht="15.95" customHeight="1" thickBot="1">
      <c r="CG87" s="620"/>
      <c r="CH87" s="621"/>
      <c r="CI87" s="621"/>
      <c r="CJ87" s="621"/>
      <c r="CK87" s="622"/>
      <c r="CL87" s="625"/>
      <c r="CM87" s="626"/>
    </row>
    <row r="88" spans="85:91" ht="15.95" customHeight="1" thickBot="1">
      <c r="CL88" s="1"/>
      <c r="CM88" s="1"/>
    </row>
    <row r="89" spans="85:91" ht="15.95" customHeight="1">
      <c r="CG89" s="628" t="s">
        <v>295</v>
      </c>
      <c r="CH89" s="629"/>
      <c r="CI89" s="629"/>
      <c r="CJ89" s="629"/>
      <c r="CK89" s="630"/>
      <c r="CL89" s="634">
        <f>CL77-CL86</f>
        <v>210.89999999999998</v>
      </c>
      <c r="CM89" s="635"/>
    </row>
    <row r="90" spans="85:91" ht="15.95" customHeight="1" thickBot="1">
      <c r="CG90" s="631"/>
      <c r="CH90" s="632"/>
      <c r="CI90" s="632"/>
      <c r="CJ90" s="632"/>
      <c r="CK90" s="633"/>
      <c r="CL90" s="636"/>
      <c r="CM90" s="637"/>
    </row>
  </sheetData>
  <mergeCells count="1683">
    <mergeCell ref="CG89:CK90"/>
    <mergeCell ref="CL89:CM90"/>
    <mergeCell ref="CG82:CK83"/>
    <mergeCell ref="CL82:CM83"/>
    <mergeCell ref="CG84:CK85"/>
    <mergeCell ref="CL84:CM85"/>
    <mergeCell ref="CG86:CK87"/>
    <mergeCell ref="CL86:CM87"/>
    <mergeCell ref="CG77:CK78"/>
    <mergeCell ref="CL77:CM78"/>
    <mergeCell ref="BT78:BU79"/>
    <mergeCell ref="BV78:BV79"/>
    <mergeCell ref="CG80:CK81"/>
    <mergeCell ref="CL80:CM81"/>
    <mergeCell ref="V75:V76"/>
    <mergeCell ref="W75:W76"/>
    <mergeCell ref="X75:X76"/>
    <mergeCell ref="AE75:AE76"/>
    <mergeCell ref="AF75:AF76"/>
    <mergeCell ref="AG75:AG76"/>
    <mergeCell ref="CC74:CC75"/>
    <mergeCell ref="CD74:CD75"/>
    <mergeCell ref="CJ74:CJ75"/>
    <mergeCell ref="W73:W74"/>
    <mergeCell ref="I75:I76"/>
    <mergeCell ref="J75:J76"/>
    <mergeCell ref="K75:K76"/>
    <mergeCell ref="L75:L76"/>
    <mergeCell ref="M75:M76"/>
    <mergeCell ref="T75:T76"/>
    <mergeCell ref="U75:U76"/>
    <mergeCell ref="BW74:BW75"/>
    <mergeCell ref="BX74:BX75"/>
    <mergeCell ref="BY74:BY75"/>
    <mergeCell ref="BZ74:BZ75"/>
    <mergeCell ref="CA74:CA75"/>
    <mergeCell ref="CB74:CB75"/>
    <mergeCell ref="AF73:AF74"/>
    <mergeCell ref="AG73:AG74"/>
    <mergeCell ref="AH73:AH74"/>
    <mergeCell ref="AI73:AI74"/>
    <mergeCell ref="BT74:BU75"/>
    <mergeCell ref="BV74:BV75"/>
    <mergeCell ref="AH75:AH76"/>
    <mergeCell ref="AI75:AI76"/>
    <mergeCell ref="X73:X74"/>
    <mergeCell ref="Y73:Y74"/>
    <mergeCell ref="Z73:AB74"/>
    <mergeCell ref="AC73:AC74"/>
    <mergeCell ref="AD73:AD74"/>
    <mergeCell ref="AE73:AE74"/>
    <mergeCell ref="R73:R74"/>
    <mergeCell ref="S73:S74"/>
    <mergeCell ref="T73:T74"/>
    <mergeCell ref="U73:U74"/>
    <mergeCell ref="V73:V74"/>
    <mergeCell ref="J73:J74"/>
    <mergeCell ref="K73:K74"/>
    <mergeCell ref="L73:L74"/>
    <mergeCell ref="M73:M74"/>
    <mergeCell ref="N73:N74"/>
    <mergeCell ref="O73:Q74"/>
    <mergeCell ref="CD72:CD73"/>
    <mergeCell ref="CE72:CE73"/>
    <mergeCell ref="CI72:CI73"/>
    <mergeCell ref="CJ72:CJ73"/>
    <mergeCell ref="CK72:CK73"/>
    <mergeCell ref="C73:C74"/>
    <mergeCell ref="D73:F74"/>
    <mergeCell ref="G73:G74"/>
    <mergeCell ref="H73:H74"/>
    <mergeCell ref="I73:I74"/>
    <mergeCell ref="BX72:BX73"/>
    <mergeCell ref="BY72:BY73"/>
    <mergeCell ref="BZ72:BZ73"/>
    <mergeCell ref="CA72:CA73"/>
    <mergeCell ref="CB72:CB73"/>
    <mergeCell ref="CC72:CC73"/>
    <mergeCell ref="AG71:AG72"/>
    <mergeCell ref="AH71:AH72"/>
    <mergeCell ref="AI71:AI72"/>
    <mergeCell ref="BT72:BU73"/>
    <mergeCell ref="BV72:BV73"/>
    <mergeCell ref="BW72:BW73"/>
    <mergeCell ref="Y71:Y72"/>
    <mergeCell ref="Z71:AB72"/>
    <mergeCell ref="AC71:AC72"/>
    <mergeCell ref="AD71:AD72"/>
    <mergeCell ref="AE71:AE72"/>
    <mergeCell ref="AF71:AF72"/>
    <mergeCell ref="S71:S72"/>
    <mergeCell ref="T71:T72"/>
    <mergeCell ref="U71:U72"/>
    <mergeCell ref="V71:V72"/>
    <mergeCell ref="W71:W72"/>
    <mergeCell ref="X71:X72"/>
    <mergeCell ref="K71:K72"/>
    <mergeCell ref="L71:L72"/>
    <mergeCell ref="M71:M72"/>
    <mergeCell ref="N71:N72"/>
    <mergeCell ref="O71:Q72"/>
    <mergeCell ref="R71:R72"/>
    <mergeCell ref="CI69:CI70"/>
    <mergeCell ref="CJ69:CJ70"/>
    <mergeCell ref="CK69:CL70"/>
    <mergeCell ref="O69:Q70"/>
    <mergeCell ref="R69:R70"/>
    <mergeCell ref="S69:S70"/>
    <mergeCell ref="T69:T70"/>
    <mergeCell ref="U69:U70"/>
    <mergeCell ref="CM69:CM70"/>
    <mergeCell ref="C71:C72"/>
    <mergeCell ref="D71:F72"/>
    <mergeCell ref="G71:G72"/>
    <mergeCell ref="H71:H72"/>
    <mergeCell ref="I71:I72"/>
    <mergeCell ref="J71:J72"/>
    <mergeCell ref="CA69:CA70"/>
    <mergeCell ref="CB69:CB70"/>
    <mergeCell ref="CC69:CC70"/>
    <mergeCell ref="CD69:CD70"/>
    <mergeCell ref="CE69:CE70"/>
    <mergeCell ref="CF69:CH70"/>
    <mergeCell ref="BR69:BU70"/>
    <mergeCell ref="BV69:BV70"/>
    <mergeCell ref="BW69:BW70"/>
    <mergeCell ref="BX69:BX70"/>
    <mergeCell ref="BY69:BY70"/>
    <mergeCell ref="BZ69:BZ70"/>
    <mergeCell ref="AD69:AD70"/>
    <mergeCell ref="AE69:AE70"/>
    <mergeCell ref="AF69:AF70"/>
    <mergeCell ref="AG69:AG70"/>
    <mergeCell ref="AH69:AH70"/>
    <mergeCell ref="AI69:AI70"/>
    <mergeCell ref="V69:V70"/>
    <mergeCell ref="W69:W70"/>
    <mergeCell ref="X69:X70"/>
    <mergeCell ref="Y69:Y70"/>
    <mergeCell ref="Z69:AB70"/>
    <mergeCell ref="AC69:AC70"/>
    <mergeCell ref="N69:N70"/>
    <mergeCell ref="CM67:CM68"/>
    <mergeCell ref="C69:C70"/>
    <mergeCell ref="D69:F70"/>
    <mergeCell ref="G69:G70"/>
    <mergeCell ref="H69:H70"/>
    <mergeCell ref="I69:I70"/>
    <mergeCell ref="J69:J70"/>
    <mergeCell ref="K69:K70"/>
    <mergeCell ref="L69:L70"/>
    <mergeCell ref="M69:M70"/>
    <mergeCell ref="CD67:CD68"/>
    <mergeCell ref="CE67:CE68"/>
    <mergeCell ref="CF67:CH68"/>
    <mergeCell ref="CI67:CI68"/>
    <mergeCell ref="CJ67:CJ68"/>
    <mergeCell ref="CK67:CL68"/>
    <mergeCell ref="BX67:BX68"/>
    <mergeCell ref="BY67:BY68"/>
    <mergeCell ref="BZ67:BZ68"/>
    <mergeCell ref="CA67:CA68"/>
    <mergeCell ref="CB67:CB68"/>
    <mergeCell ref="CC67:CC68"/>
    <mergeCell ref="AG67:AG68"/>
    <mergeCell ref="AH67:AH68"/>
    <mergeCell ref="AI67:AI68"/>
    <mergeCell ref="BR67:BU68"/>
    <mergeCell ref="BV67:BV68"/>
    <mergeCell ref="BW67:BW68"/>
    <mergeCell ref="Y67:Y68"/>
    <mergeCell ref="Z67:AB68"/>
    <mergeCell ref="AC67:AC68"/>
    <mergeCell ref="AD67:AD68"/>
    <mergeCell ref="AE67:AE68"/>
    <mergeCell ref="AF67:AF68"/>
    <mergeCell ref="S67:S68"/>
    <mergeCell ref="T67:T68"/>
    <mergeCell ref="U67:U68"/>
    <mergeCell ref="V67:V68"/>
    <mergeCell ref="W67:W68"/>
    <mergeCell ref="X67:X68"/>
    <mergeCell ref="K67:K68"/>
    <mergeCell ref="L67:L68"/>
    <mergeCell ref="M67:M68"/>
    <mergeCell ref="N67:N68"/>
    <mergeCell ref="O67:Q68"/>
    <mergeCell ref="R67:R68"/>
    <mergeCell ref="CI65:CI66"/>
    <mergeCell ref="CJ65:CJ66"/>
    <mergeCell ref="CK65:CL66"/>
    <mergeCell ref="O65:Q66"/>
    <mergeCell ref="R65:R66"/>
    <mergeCell ref="S65:S66"/>
    <mergeCell ref="T65:T66"/>
    <mergeCell ref="U65:U66"/>
    <mergeCell ref="CM65:CM66"/>
    <mergeCell ref="C67:C68"/>
    <mergeCell ref="D67:F68"/>
    <mergeCell ref="G67:G68"/>
    <mergeCell ref="H67:H68"/>
    <mergeCell ref="I67:I68"/>
    <mergeCell ref="J67:J68"/>
    <mergeCell ref="CA65:CA66"/>
    <mergeCell ref="CB65:CB66"/>
    <mergeCell ref="CC65:CC66"/>
    <mergeCell ref="CD65:CD66"/>
    <mergeCell ref="CE65:CE66"/>
    <mergeCell ref="CF65:CH66"/>
    <mergeCell ref="BR65:BU66"/>
    <mergeCell ref="BV65:BV66"/>
    <mergeCell ref="BW65:BW66"/>
    <mergeCell ref="BX65:BX66"/>
    <mergeCell ref="BY65:BY66"/>
    <mergeCell ref="BZ65:BZ66"/>
    <mergeCell ref="AD65:AD66"/>
    <mergeCell ref="AE65:AE66"/>
    <mergeCell ref="AF65:AF66"/>
    <mergeCell ref="AG65:AG66"/>
    <mergeCell ref="AH65:AH66"/>
    <mergeCell ref="AI65:AI66"/>
    <mergeCell ref="V65:V66"/>
    <mergeCell ref="W65:W66"/>
    <mergeCell ref="X65:X66"/>
    <mergeCell ref="Y65:Y66"/>
    <mergeCell ref="Z65:AB66"/>
    <mergeCell ref="AC65:AC66"/>
    <mergeCell ref="N65:N66"/>
    <mergeCell ref="CM63:CM64"/>
    <mergeCell ref="C65:C66"/>
    <mergeCell ref="D65:F66"/>
    <mergeCell ref="G65:G66"/>
    <mergeCell ref="H65:H66"/>
    <mergeCell ref="I65:I66"/>
    <mergeCell ref="J65:J66"/>
    <mergeCell ref="K65:K66"/>
    <mergeCell ref="L65:L66"/>
    <mergeCell ref="M65:M66"/>
    <mergeCell ref="CD63:CD64"/>
    <mergeCell ref="CE63:CE64"/>
    <mergeCell ref="CF63:CH64"/>
    <mergeCell ref="CI63:CI64"/>
    <mergeCell ref="CJ63:CJ64"/>
    <mergeCell ref="CK63:CL64"/>
    <mergeCell ref="BX63:BX64"/>
    <mergeCell ref="BY63:BY64"/>
    <mergeCell ref="BZ63:BZ64"/>
    <mergeCell ref="CA63:CA64"/>
    <mergeCell ref="CB63:CB64"/>
    <mergeCell ref="CC63:CC64"/>
    <mergeCell ref="AG63:AG64"/>
    <mergeCell ref="AH63:AH64"/>
    <mergeCell ref="AI63:AI64"/>
    <mergeCell ref="BR63:BU64"/>
    <mergeCell ref="BV63:BV64"/>
    <mergeCell ref="BW63:BW64"/>
    <mergeCell ref="Y63:Y64"/>
    <mergeCell ref="Z63:AB64"/>
    <mergeCell ref="AC63:AC64"/>
    <mergeCell ref="AD63:AD64"/>
    <mergeCell ref="AE63:AE64"/>
    <mergeCell ref="AF63:AF64"/>
    <mergeCell ref="S63:S64"/>
    <mergeCell ref="T63:T64"/>
    <mergeCell ref="U63:U64"/>
    <mergeCell ref="V63:V64"/>
    <mergeCell ref="W63:W64"/>
    <mergeCell ref="X63:X64"/>
    <mergeCell ref="K63:K64"/>
    <mergeCell ref="L63:L64"/>
    <mergeCell ref="M63:M64"/>
    <mergeCell ref="N63:N64"/>
    <mergeCell ref="O63:Q64"/>
    <mergeCell ref="R63:R64"/>
    <mergeCell ref="CI61:CI62"/>
    <mergeCell ref="CJ61:CJ62"/>
    <mergeCell ref="CK61:CL62"/>
    <mergeCell ref="O61:Q62"/>
    <mergeCell ref="R61:R62"/>
    <mergeCell ref="S61:S62"/>
    <mergeCell ref="T61:T62"/>
    <mergeCell ref="U61:U62"/>
    <mergeCell ref="CM61:CM62"/>
    <mergeCell ref="C63:C64"/>
    <mergeCell ref="D63:F64"/>
    <mergeCell ref="G63:G64"/>
    <mergeCell ref="H63:H64"/>
    <mergeCell ref="I63:I64"/>
    <mergeCell ref="J63:J64"/>
    <mergeCell ref="CA61:CA62"/>
    <mergeCell ref="CB61:CB62"/>
    <mergeCell ref="CC61:CC62"/>
    <mergeCell ref="CD61:CD62"/>
    <mergeCell ref="CE61:CE62"/>
    <mergeCell ref="CF61:CH62"/>
    <mergeCell ref="BR61:BU62"/>
    <mergeCell ref="BV61:BV62"/>
    <mergeCell ref="BW61:BW62"/>
    <mergeCell ref="BX61:BX62"/>
    <mergeCell ref="BY61:BY62"/>
    <mergeCell ref="BZ61:BZ62"/>
    <mergeCell ref="AD61:AD62"/>
    <mergeCell ref="AE61:AE62"/>
    <mergeCell ref="AF61:AF62"/>
    <mergeCell ref="AG61:AG62"/>
    <mergeCell ref="AH61:AH62"/>
    <mergeCell ref="AI61:AI62"/>
    <mergeCell ref="V61:V62"/>
    <mergeCell ref="W61:W62"/>
    <mergeCell ref="X61:X62"/>
    <mergeCell ref="Y61:Y62"/>
    <mergeCell ref="Z61:AB62"/>
    <mergeCell ref="AC61:AC62"/>
    <mergeCell ref="N61:N62"/>
    <mergeCell ref="CM59:CM60"/>
    <mergeCell ref="C61:C62"/>
    <mergeCell ref="D61:F62"/>
    <mergeCell ref="G61:G62"/>
    <mergeCell ref="H61:H62"/>
    <mergeCell ref="I61:I62"/>
    <mergeCell ref="J61:J62"/>
    <mergeCell ref="K61:K62"/>
    <mergeCell ref="L61:L62"/>
    <mergeCell ref="M61:M62"/>
    <mergeCell ref="CD59:CD60"/>
    <mergeCell ref="CE59:CE60"/>
    <mergeCell ref="CF59:CH60"/>
    <mergeCell ref="CI59:CI60"/>
    <mergeCell ref="CJ59:CJ60"/>
    <mergeCell ref="CK59:CL60"/>
    <mergeCell ref="BX59:BX60"/>
    <mergeCell ref="BY59:BY60"/>
    <mergeCell ref="BZ59:BZ60"/>
    <mergeCell ref="CA59:CA60"/>
    <mergeCell ref="CB59:CB60"/>
    <mergeCell ref="CC59:CC60"/>
    <mergeCell ref="AG59:AG60"/>
    <mergeCell ref="AH59:AH60"/>
    <mergeCell ref="AI59:AI60"/>
    <mergeCell ref="BR59:BU60"/>
    <mergeCell ref="BV59:BV60"/>
    <mergeCell ref="BW59:BW60"/>
    <mergeCell ref="Y59:Y60"/>
    <mergeCell ref="Z59:AB60"/>
    <mergeCell ref="AC59:AC60"/>
    <mergeCell ref="AD59:AD60"/>
    <mergeCell ref="AE59:AE60"/>
    <mergeCell ref="AF59:AF60"/>
    <mergeCell ref="S59:S60"/>
    <mergeCell ref="T59:T60"/>
    <mergeCell ref="U59:U60"/>
    <mergeCell ref="V59:V60"/>
    <mergeCell ref="W59:W60"/>
    <mergeCell ref="X59:X60"/>
    <mergeCell ref="K59:K60"/>
    <mergeCell ref="L59:L60"/>
    <mergeCell ref="M59:M60"/>
    <mergeCell ref="N59:N60"/>
    <mergeCell ref="O59:Q60"/>
    <mergeCell ref="R59:R60"/>
    <mergeCell ref="C59:C60"/>
    <mergeCell ref="D59:F60"/>
    <mergeCell ref="G59:G60"/>
    <mergeCell ref="H59:H60"/>
    <mergeCell ref="I59:I60"/>
    <mergeCell ref="J59:J60"/>
    <mergeCell ref="CE57:CE58"/>
    <mergeCell ref="CF57:CH58"/>
    <mergeCell ref="CI57:CI58"/>
    <mergeCell ref="CJ57:CJ58"/>
    <mergeCell ref="CK57:CL58"/>
    <mergeCell ref="CM57:CM58"/>
    <mergeCell ref="BY57:BY58"/>
    <mergeCell ref="BZ57:BZ58"/>
    <mergeCell ref="CA57:CA58"/>
    <mergeCell ref="CB57:CB58"/>
    <mergeCell ref="CC57:CC58"/>
    <mergeCell ref="CD57:CD58"/>
    <mergeCell ref="AH57:AH58"/>
    <mergeCell ref="AI57:AI58"/>
    <mergeCell ref="BR57:BU58"/>
    <mergeCell ref="BV57:BV58"/>
    <mergeCell ref="BW57:BW58"/>
    <mergeCell ref="BX57:BX58"/>
    <mergeCell ref="Z57:AB58"/>
    <mergeCell ref="AC57:AC58"/>
    <mergeCell ref="AD57:AD58"/>
    <mergeCell ref="AE57:AE58"/>
    <mergeCell ref="AF57:AF58"/>
    <mergeCell ref="AG57:AG58"/>
    <mergeCell ref="T57:T58"/>
    <mergeCell ref="U57:U58"/>
    <mergeCell ref="V57:V58"/>
    <mergeCell ref="W57:W58"/>
    <mergeCell ref="X57:X58"/>
    <mergeCell ref="Y57:Y58"/>
    <mergeCell ref="L57:L58"/>
    <mergeCell ref="M57:M58"/>
    <mergeCell ref="N57:N58"/>
    <mergeCell ref="O57:Q58"/>
    <mergeCell ref="R57:R58"/>
    <mergeCell ref="S57:S58"/>
    <mergeCell ref="C55:C56"/>
    <mergeCell ref="D55:F56"/>
    <mergeCell ref="G55:G56"/>
    <mergeCell ref="H55:H56"/>
    <mergeCell ref="I55:I56"/>
    <mergeCell ref="J55:J56"/>
    <mergeCell ref="CM55:CM56"/>
    <mergeCell ref="BE56:BE57"/>
    <mergeCell ref="BF56:BF57"/>
    <mergeCell ref="C57:C58"/>
    <mergeCell ref="D57:F58"/>
    <mergeCell ref="G57:G58"/>
    <mergeCell ref="H57:H58"/>
    <mergeCell ref="I57:I58"/>
    <mergeCell ref="J57:J58"/>
    <mergeCell ref="K57:K58"/>
    <mergeCell ref="CD55:CD56"/>
    <mergeCell ref="CE55:CE56"/>
    <mergeCell ref="CF55:CH56"/>
    <mergeCell ref="CI55:CI56"/>
    <mergeCell ref="CJ55:CJ56"/>
    <mergeCell ref="CK55:CL56"/>
    <mergeCell ref="BX55:BX56"/>
    <mergeCell ref="BY55:BY56"/>
    <mergeCell ref="BZ55:BZ56"/>
    <mergeCell ref="CA55:CA56"/>
    <mergeCell ref="CB55:CB56"/>
    <mergeCell ref="CC55:CC56"/>
    <mergeCell ref="AG55:AG56"/>
    <mergeCell ref="AH55:AH56"/>
    <mergeCell ref="AI55:AI56"/>
    <mergeCell ref="BR55:BU56"/>
    <mergeCell ref="U55:U56"/>
    <mergeCell ref="V55:V56"/>
    <mergeCell ref="W55:W56"/>
    <mergeCell ref="X55:X56"/>
    <mergeCell ref="K55:K56"/>
    <mergeCell ref="L55:L56"/>
    <mergeCell ref="M55:M56"/>
    <mergeCell ref="N55:N56"/>
    <mergeCell ref="O55:Q56"/>
    <mergeCell ref="R55:R56"/>
    <mergeCell ref="BV55:BV56"/>
    <mergeCell ref="BW55:BW56"/>
    <mergeCell ref="Y55:Y56"/>
    <mergeCell ref="Z55:AB56"/>
    <mergeCell ref="AC55:AC56"/>
    <mergeCell ref="AD55:AD56"/>
    <mergeCell ref="BE54:BE55"/>
    <mergeCell ref="BF54:BF55"/>
    <mergeCell ref="Y53:Y54"/>
    <mergeCell ref="Z53:AB54"/>
    <mergeCell ref="AC53:AC54"/>
    <mergeCell ref="AD53:AD54"/>
    <mergeCell ref="AE53:AE54"/>
    <mergeCell ref="AF53:AF54"/>
    <mergeCell ref="S53:S54"/>
    <mergeCell ref="T53:T54"/>
    <mergeCell ref="U53:U54"/>
    <mergeCell ref="V53:V54"/>
    <mergeCell ref="W53:W54"/>
    <mergeCell ref="X53:X54"/>
    <mergeCell ref="AE55:AE56"/>
    <mergeCell ref="AF55:AF56"/>
    <mergeCell ref="CM53:CM54"/>
    <mergeCell ref="AL54:AL55"/>
    <mergeCell ref="AM54:AO55"/>
    <mergeCell ref="AP54:AP55"/>
    <mergeCell ref="AQ54:AQ55"/>
    <mergeCell ref="AR54:AR55"/>
    <mergeCell ref="AS54:AS55"/>
    <mergeCell ref="AX54:AX55"/>
    <mergeCell ref="AY54:BA55"/>
    <mergeCell ref="BB54:BB55"/>
    <mergeCell ref="CD53:CD54"/>
    <mergeCell ref="CE53:CE54"/>
    <mergeCell ref="CF53:CH54"/>
    <mergeCell ref="CI53:CI54"/>
    <mergeCell ref="CJ53:CJ54"/>
    <mergeCell ref="CK53:CL54"/>
    <mergeCell ref="BX53:BX54"/>
    <mergeCell ref="BY53:BY54"/>
    <mergeCell ref="BZ53:BZ54"/>
    <mergeCell ref="CA53:CA54"/>
    <mergeCell ref="CB53:CB54"/>
    <mergeCell ref="CC53:CC54"/>
    <mergeCell ref="BC54:BC55"/>
    <mergeCell ref="BD54:BD55"/>
    <mergeCell ref="S55:S56"/>
    <mergeCell ref="T55:T56"/>
    <mergeCell ref="G53:G54"/>
    <mergeCell ref="H53:H54"/>
    <mergeCell ref="I53:I54"/>
    <mergeCell ref="J53:J54"/>
    <mergeCell ref="CM51:CM52"/>
    <mergeCell ref="AL52:AL53"/>
    <mergeCell ref="AM52:AO53"/>
    <mergeCell ref="AP52:AP53"/>
    <mergeCell ref="AQ52:AQ53"/>
    <mergeCell ref="AR52:AR53"/>
    <mergeCell ref="AS52:AS53"/>
    <mergeCell ref="AX52:AX53"/>
    <mergeCell ref="AY52:BA53"/>
    <mergeCell ref="BB52:BB53"/>
    <mergeCell ref="CD51:CD52"/>
    <mergeCell ref="CE51:CE52"/>
    <mergeCell ref="CF51:CH52"/>
    <mergeCell ref="CI51:CI52"/>
    <mergeCell ref="CJ51:CJ52"/>
    <mergeCell ref="CK51:CL52"/>
    <mergeCell ref="BX51:BX52"/>
    <mergeCell ref="BY51:BY52"/>
    <mergeCell ref="BZ51:BZ52"/>
    <mergeCell ref="CA51:CA52"/>
    <mergeCell ref="AG53:AG54"/>
    <mergeCell ref="AH53:AH54"/>
    <mergeCell ref="AI53:AI54"/>
    <mergeCell ref="BR53:BU54"/>
    <mergeCell ref="BV53:BV54"/>
    <mergeCell ref="BW53:BW54"/>
    <mergeCell ref="C51:C52"/>
    <mergeCell ref="D51:F52"/>
    <mergeCell ref="G51:G52"/>
    <mergeCell ref="H51:H52"/>
    <mergeCell ref="I51:I52"/>
    <mergeCell ref="J51:J52"/>
    <mergeCell ref="CB51:CB52"/>
    <mergeCell ref="CC51:CC52"/>
    <mergeCell ref="AG51:AG52"/>
    <mergeCell ref="AH51:AH52"/>
    <mergeCell ref="AI51:AI52"/>
    <mergeCell ref="BR51:BU52"/>
    <mergeCell ref="BV51:BV52"/>
    <mergeCell ref="BW51:BW52"/>
    <mergeCell ref="BC52:BC53"/>
    <mergeCell ref="BD52:BD53"/>
    <mergeCell ref="BE52:BE53"/>
    <mergeCell ref="BF52:BF53"/>
    <mergeCell ref="Y51:Y52"/>
    <mergeCell ref="Z51:AB52"/>
    <mergeCell ref="AC51:AC52"/>
    <mergeCell ref="AD51:AD52"/>
    <mergeCell ref="AE51:AE52"/>
    <mergeCell ref="AF51:AF52"/>
    <mergeCell ref="K53:K54"/>
    <mergeCell ref="L53:L54"/>
    <mergeCell ref="M53:M54"/>
    <mergeCell ref="N53:N54"/>
    <mergeCell ref="O53:Q54"/>
    <mergeCell ref="R53:R54"/>
    <mergeCell ref="C53:C54"/>
    <mergeCell ref="D53:F54"/>
    <mergeCell ref="CF49:CH50"/>
    <mergeCell ref="CI49:CI50"/>
    <mergeCell ref="CJ49:CJ50"/>
    <mergeCell ref="CK49:CL50"/>
    <mergeCell ref="BX49:BX50"/>
    <mergeCell ref="BY49:BY50"/>
    <mergeCell ref="BZ49:BZ50"/>
    <mergeCell ref="CA49:CA50"/>
    <mergeCell ref="CB49:CB50"/>
    <mergeCell ref="CC49:CC50"/>
    <mergeCell ref="S51:S52"/>
    <mergeCell ref="T51:T52"/>
    <mergeCell ref="U51:U52"/>
    <mergeCell ref="V51:V52"/>
    <mergeCell ref="W51:W52"/>
    <mergeCell ref="X51:X52"/>
    <mergeCell ref="K51:K52"/>
    <mergeCell ref="L51:L52"/>
    <mergeCell ref="M51:M52"/>
    <mergeCell ref="N51:N52"/>
    <mergeCell ref="O51:Q52"/>
    <mergeCell ref="R51:R52"/>
    <mergeCell ref="AG49:AG50"/>
    <mergeCell ref="AH49:AH50"/>
    <mergeCell ref="AI49:AI50"/>
    <mergeCell ref="BR49:BU50"/>
    <mergeCell ref="BV49:BV50"/>
    <mergeCell ref="BW49:BW50"/>
    <mergeCell ref="BC50:BC51"/>
    <mergeCell ref="BD50:BD51"/>
    <mergeCell ref="BE50:BE51"/>
    <mergeCell ref="BF50:BF51"/>
    <mergeCell ref="Y49:Y50"/>
    <mergeCell ref="Z49:AB50"/>
    <mergeCell ref="AC49:AC50"/>
    <mergeCell ref="AD49:AD50"/>
    <mergeCell ref="AE49:AE50"/>
    <mergeCell ref="AF49:AF50"/>
    <mergeCell ref="S49:S50"/>
    <mergeCell ref="T49:T50"/>
    <mergeCell ref="U49:U50"/>
    <mergeCell ref="V49:V50"/>
    <mergeCell ref="W49:W50"/>
    <mergeCell ref="X49:X50"/>
    <mergeCell ref="BF48:BF49"/>
    <mergeCell ref="S47:S48"/>
    <mergeCell ref="T47:T48"/>
    <mergeCell ref="U47:U48"/>
    <mergeCell ref="AL50:AL51"/>
    <mergeCell ref="AM50:AO51"/>
    <mergeCell ref="AP50:AP51"/>
    <mergeCell ref="AQ50:AQ51"/>
    <mergeCell ref="AR50:AR51"/>
    <mergeCell ref="AS50:AS51"/>
    <mergeCell ref="K49:K50"/>
    <mergeCell ref="L49:L50"/>
    <mergeCell ref="M49:M50"/>
    <mergeCell ref="N49:N50"/>
    <mergeCell ref="O49:Q50"/>
    <mergeCell ref="R49:R50"/>
    <mergeCell ref="C49:C50"/>
    <mergeCell ref="D49:F50"/>
    <mergeCell ref="G49:G50"/>
    <mergeCell ref="H49:H50"/>
    <mergeCell ref="I49:I50"/>
    <mergeCell ref="J49:J50"/>
    <mergeCell ref="AY48:BA49"/>
    <mergeCell ref="BB48:BB49"/>
    <mergeCell ref="BC48:BC49"/>
    <mergeCell ref="BD48:BD49"/>
    <mergeCell ref="BE48:BE49"/>
    <mergeCell ref="AD47:AD48"/>
    <mergeCell ref="AE47:AE48"/>
    <mergeCell ref="AF47:AF48"/>
    <mergeCell ref="AG47:AG48"/>
    <mergeCell ref="AH47:AH48"/>
    <mergeCell ref="AI47:AI48"/>
    <mergeCell ref="V47:V48"/>
    <mergeCell ref="W47:W48"/>
    <mergeCell ref="X47:X48"/>
    <mergeCell ref="Y47:Y48"/>
    <mergeCell ref="Z47:AB48"/>
    <mergeCell ref="AC47:AC48"/>
    <mergeCell ref="N47:N48"/>
    <mergeCell ref="O47:Q48"/>
    <mergeCell ref="R47:R48"/>
    <mergeCell ref="CJ47:CJ48"/>
    <mergeCell ref="CK47:CL48"/>
    <mergeCell ref="CM47:CM48"/>
    <mergeCell ref="AL48:AL49"/>
    <mergeCell ref="AM48:AO49"/>
    <mergeCell ref="AP48:AP49"/>
    <mergeCell ref="AQ48:AQ49"/>
    <mergeCell ref="AR48:AR49"/>
    <mergeCell ref="AS48:AS49"/>
    <mergeCell ref="AX48:AX49"/>
    <mergeCell ref="CB47:CB48"/>
    <mergeCell ref="CC47:CC48"/>
    <mergeCell ref="CD47:CD48"/>
    <mergeCell ref="CE47:CE48"/>
    <mergeCell ref="CF47:CH48"/>
    <mergeCell ref="CI47:CI48"/>
    <mergeCell ref="BV47:BV48"/>
    <mergeCell ref="BW47:BW48"/>
    <mergeCell ref="BX47:BX48"/>
    <mergeCell ref="BY47:BY48"/>
    <mergeCell ref="BZ47:BZ48"/>
    <mergeCell ref="CA47:CA48"/>
    <mergeCell ref="BD46:BD47"/>
    <mergeCell ref="BE46:BE47"/>
    <mergeCell ref="BF46:BF47"/>
    <mergeCell ref="BR47:BU48"/>
    <mergeCell ref="CM49:CM50"/>
    <mergeCell ref="AX50:AX51"/>
    <mergeCell ref="AY50:BA51"/>
    <mergeCell ref="BB50:BB51"/>
    <mergeCell ref="CD49:CD50"/>
    <mergeCell ref="CE49:CE50"/>
    <mergeCell ref="C47:C48"/>
    <mergeCell ref="D47:F48"/>
    <mergeCell ref="G47:G48"/>
    <mergeCell ref="H47:H48"/>
    <mergeCell ref="I47:I48"/>
    <mergeCell ref="J47:J48"/>
    <mergeCell ref="K47:K48"/>
    <mergeCell ref="L47:L48"/>
    <mergeCell ref="M47:M48"/>
    <mergeCell ref="CI45:CI46"/>
    <mergeCell ref="CJ45:CJ46"/>
    <mergeCell ref="CK45:CL46"/>
    <mergeCell ref="CM45:CM46"/>
    <mergeCell ref="AP46:AP47"/>
    <mergeCell ref="AQ46:AQ47"/>
    <mergeCell ref="AR46:AR47"/>
    <mergeCell ref="AS46:AS47"/>
    <mergeCell ref="BB46:BB47"/>
    <mergeCell ref="BC46:BC47"/>
    <mergeCell ref="CA45:CA46"/>
    <mergeCell ref="CB45:CB46"/>
    <mergeCell ref="CC45:CC46"/>
    <mergeCell ref="CD45:CD46"/>
    <mergeCell ref="CE45:CE46"/>
    <mergeCell ref="CF45:CH46"/>
    <mergeCell ref="AG45:AG46"/>
    <mergeCell ref="AH45:AH46"/>
    <mergeCell ref="AI45:AI46"/>
    <mergeCell ref="BR45:BU46"/>
    <mergeCell ref="BV45:BV46"/>
    <mergeCell ref="BW45:BW46"/>
    <mergeCell ref="Y45:Y46"/>
    <mergeCell ref="Z45:AB46"/>
    <mergeCell ref="AC45:AC46"/>
    <mergeCell ref="AD45:AD46"/>
    <mergeCell ref="AE45:AE46"/>
    <mergeCell ref="AF45:AF46"/>
    <mergeCell ref="S45:S46"/>
    <mergeCell ref="T45:T46"/>
    <mergeCell ref="U45:U46"/>
    <mergeCell ref="V45:V46"/>
    <mergeCell ref="W45:W46"/>
    <mergeCell ref="X45:X46"/>
    <mergeCell ref="K45:K46"/>
    <mergeCell ref="L45:L46"/>
    <mergeCell ref="M45:M46"/>
    <mergeCell ref="N45:N46"/>
    <mergeCell ref="O45:Q46"/>
    <mergeCell ref="R45:R46"/>
    <mergeCell ref="C45:C46"/>
    <mergeCell ref="D45:F46"/>
    <mergeCell ref="G45:G46"/>
    <mergeCell ref="H45:H46"/>
    <mergeCell ref="I45:I46"/>
    <mergeCell ref="J45:J46"/>
    <mergeCell ref="AL44:AO47"/>
    <mergeCell ref="AX44:BA47"/>
    <mergeCell ref="BX45:BX46"/>
    <mergeCell ref="BY45:BY46"/>
    <mergeCell ref="BZ45:BZ46"/>
    <mergeCell ref="CI43:CI44"/>
    <mergeCell ref="CJ43:CJ44"/>
    <mergeCell ref="CK43:CL44"/>
    <mergeCell ref="CM43:CM44"/>
    <mergeCell ref="CA43:CA44"/>
    <mergeCell ref="CB43:CB44"/>
    <mergeCell ref="CC43:CC44"/>
    <mergeCell ref="CD43:CD44"/>
    <mergeCell ref="CE43:CE44"/>
    <mergeCell ref="CF43:CH44"/>
    <mergeCell ref="BR43:BU44"/>
    <mergeCell ref="BV43:BV44"/>
    <mergeCell ref="BW43:BW44"/>
    <mergeCell ref="BX43:BX44"/>
    <mergeCell ref="G43:G44"/>
    <mergeCell ref="H43:H44"/>
    <mergeCell ref="I43:I44"/>
    <mergeCell ref="J43:J44"/>
    <mergeCell ref="K43:K44"/>
    <mergeCell ref="L43:L44"/>
    <mergeCell ref="M43:M44"/>
    <mergeCell ref="R43:R44"/>
    <mergeCell ref="S43:S44"/>
    <mergeCell ref="CI41:CI42"/>
    <mergeCell ref="CJ41:CJ42"/>
    <mergeCell ref="CK41:CL42"/>
    <mergeCell ref="CM41:CM42"/>
    <mergeCell ref="CA41:CA42"/>
    <mergeCell ref="CB41:CB42"/>
    <mergeCell ref="CF39:CH40"/>
    <mergeCell ref="CC41:CC42"/>
    <mergeCell ref="CD41:CD42"/>
    <mergeCell ref="CE41:CE42"/>
    <mergeCell ref="CF41:CH42"/>
    <mergeCell ref="BY43:BY44"/>
    <mergeCell ref="BZ43:BZ44"/>
    <mergeCell ref="AD43:AD44"/>
    <mergeCell ref="AE43:AE44"/>
    <mergeCell ref="AF43:AF44"/>
    <mergeCell ref="AG43:AG44"/>
    <mergeCell ref="AH43:AH44"/>
    <mergeCell ref="AI43:AI44"/>
    <mergeCell ref="T43:T44"/>
    <mergeCell ref="U43:U44"/>
    <mergeCell ref="V43:V44"/>
    <mergeCell ref="W43:W44"/>
    <mergeCell ref="X43:X44"/>
    <mergeCell ref="AC43:AC44"/>
    <mergeCell ref="AX38:AX39"/>
    <mergeCell ref="CF37:CH38"/>
    <mergeCell ref="CJ39:CJ40"/>
    <mergeCell ref="CK39:CL40"/>
    <mergeCell ref="CM39:CM40"/>
    <mergeCell ref="BD40:BD41"/>
    <mergeCell ref="BF40:BF41"/>
    <mergeCell ref="BX41:BX42"/>
    <mergeCell ref="BY41:BY42"/>
    <mergeCell ref="BZ41:BZ42"/>
    <mergeCell ref="CI39:CI40"/>
    <mergeCell ref="CA39:CA40"/>
    <mergeCell ref="CB39:CB40"/>
    <mergeCell ref="CC39:CC40"/>
    <mergeCell ref="CD39:CD40"/>
    <mergeCell ref="CE39:CE40"/>
    <mergeCell ref="AY38:BA39"/>
    <mergeCell ref="BB38:BB39"/>
    <mergeCell ref="BC38:BC39"/>
    <mergeCell ref="BD38:BD39"/>
    <mergeCell ref="BE38:BE39"/>
    <mergeCell ref="AL38:AL39"/>
    <mergeCell ref="AM38:AO39"/>
    <mergeCell ref="AP38:AP39"/>
    <mergeCell ref="BR37:BU38"/>
    <mergeCell ref="G41:M42"/>
    <mergeCell ref="R41:X42"/>
    <mergeCell ref="AC41:AI42"/>
    <mergeCell ref="BR41:BU42"/>
    <mergeCell ref="BV41:BV42"/>
    <mergeCell ref="BW41:BW42"/>
    <mergeCell ref="I37:I38"/>
    <mergeCell ref="J37:J38"/>
    <mergeCell ref="K37:K38"/>
    <mergeCell ref="L37:L38"/>
    <mergeCell ref="M37:M38"/>
    <mergeCell ref="T37:T38"/>
    <mergeCell ref="U37:U38"/>
    <mergeCell ref="V37:V38"/>
    <mergeCell ref="W37:W38"/>
    <mergeCell ref="BC36:BC37"/>
    <mergeCell ref="BD36:BD37"/>
    <mergeCell ref="BE36:BE37"/>
    <mergeCell ref="K35:K36"/>
    <mergeCell ref="L35:L36"/>
    <mergeCell ref="M35:M36"/>
    <mergeCell ref="N35:N36"/>
    <mergeCell ref="O35:Q36"/>
    <mergeCell ref="R35:R36"/>
    <mergeCell ref="AQ38:AQ39"/>
    <mergeCell ref="AG35:AG36"/>
    <mergeCell ref="AH35:AH36"/>
    <mergeCell ref="AI35:AI36"/>
    <mergeCell ref="AS36:AS37"/>
    <mergeCell ref="AX36:AX37"/>
    <mergeCell ref="AY36:BA37"/>
    <mergeCell ref="BB36:BB37"/>
    <mergeCell ref="X35:X36"/>
    <mergeCell ref="X37:X38"/>
    <mergeCell ref="AE37:AE38"/>
    <mergeCell ref="AF37:AF38"/>
    <mergeCell ref="AG37:AG38"/>
    <mergeCell ref="AH37:AH38"/>
    <mergeCell ref="AI37:AI38"/>
    <mergeCell ref="AR38:AR39"/>
    <mergeCell ref="AS38:AS39"/>
    <mergeCell ref="CJ33:CJ34"/>
    <mergeCell ref="AS32:AS33"/>
    <mergeCell ref="CJ37:CJ38"/>
    <mergeCell ref="CK37:CL38"/>
    <mergeCell ref="CM37:CM38"/>
    <mergeCell ref="BY37:BY38"/>
    <mergeCell ref="BZ37:BZ38"/>
    <mergeCell ref="CA37:CA38"/>
    <mergeCell ref="CB37:CB38"/>
    <mergeCell ref="BR35:BU36"/>
    <mergeCell ref="BV35:BV36"/>
    <mergeCell ref="BW35:BW36"/>
    <mergeCell ref="CD37:CD38"/>
    <mergeCell ref="BF36:BF37"/>
    <mergeCell ref="AS34:AS35"/>
    <mergeCell ref="BW33:BW34"/>
    <mergeCell ref="BX33:BX34"/>
    <mergeCell ref="AH31:AH32"/>
    <mergeCell ref="Y35:Y36"/>
    <mergeCell ref="Z35:AB36"/>
    <mergeCell ref="AC35:AC36"/>
    <mergeCell ref="AD35:AD36"/>
    <mergeCell ref="AE35:AE36"/>
    <mergeCell ref="N33:N34"/>
    <mergeCell ref="O33:Q34"/>
    <mergeCell ref="R33:R34"/>
    <mergeCell ref="S33:S34"/>
    <mergeCell ref="T33:T34"/>
    <mergeCell ref="U33:U34"/>
    <mergeCell ref="V31:V32"/>
    <mergeCell ref="X33:X34"/>
    <mergeCell ref="Y33:Y34"/>
    <mergeCell ref="Z33:AB34"/>
    <mergeCell ref="AC33:AC34"/>
    <mergeCell ref="BV37:BV38"/>
    <mergeCell ref="BW37:BW38"/>
    <mergeCell ref="BX37:BX38"/>
    <mergeCell ref="CM35:CM36"/>
    <mergeCell ref="BF38:BF39"/>
    <mergeCell ref="BR39:BU40"/>
    <mergeCell ref="BV39:BV40"/>
    <mergeCell ref="BW39:BW40"/>
    <mergeCell ref="BX39:BX40"/>
    <mergeCell ref="BY39:BY40"/>
    <mergeCell ref="BZ39:BZ40"/>
    <mergeCell ref="CE37:CE38"/>
    <mergeCell ref="CI37:CI38"/>
    <mergeCell ref="CM33:CM34"/>
    <mergeCell ref="BY33:BY34"/>
    <mergeCell ref="BZ33:BZ34"/>
    <mergeCell ref="S35:S36"/>
    <mergeCell ref="T35:T36"/>
    <mergeCell ref="U35:U36"/>
    <mergeCell ref="V35:V36"/>
    <mergeCell ref="W35:W36"/>
    <mergeCell ref="C35:C36"/>
    <mergeCell ref="D35:F36"/>
    <mergeCell ref="G35:G36"/>
    <mergeCell ref="H35:H36"/>
    <mergeCell ref="I35:I36"/>
    <mergeCell ref="J35:J36"/>
    <mergeCell ref="AX34:AX35"/>
    <mergeCell ref="AY34:BA35"/>
    <mergeCell ref="BB34:BB35"/>
    <mergeCell ref="BC34:BC35"/>
    <mergeCell ref="BD34:BD35"/>
    <mergeCell ref="BE34:BE35"/>
    <mergeCell ref="AL34:AL35"/>
    <mergeCell ref="AM34:AO35"/>
    <mergeCell ref="AP34:AP35"/>
    <mergeCell ref="AQ34:AQ35"/>
    <mergeCell ref="AR34:AR35"/>
    <mergeCell ref="C33:C34"/>
    <mergeCell ref="D33:F34"/>
    <mergeCell ref="G33:G34"/>
    <mergeCell ref="H33:H34"/>
    <mergeCell ref="I33:I34"/>
    <mergeCell ref="J33:J34"/>
    <mergeCell ref="K33:K34"/>
    <mergeCell ref="AD33:AD34"/>
    <mergeCell ref="AE33:AE34"/>
    <mergeCell ref="AF33:AF34"/>
    <mergeCell ref="AG33:AG34"/>
    <mergeCell ref="AH33:AH34"/>
    <mergeCell ref="AI33:AI34"/>
    <mergeCell ref="V33:V34"/>
    <mergeCell ref="W33:W34"/>
    <mergeCell ref="AF35:AF36"/>
    <mergeCell ref="CE35:CE36"/>
    <mergeCell ref="CF35:CH36"/>
    <mergeCell ref="CI35:CI36"/>
    <mergeCell ref="BX35:BX36"/>
    <mergeCell ref="BY35:BY36"/>
    <mergeCell ref="AR32:AR33"/>
    <mergeCell ref="CD31:CD32"/>
    <mergeCell ref="CE31:CE32"/>
    <mergeCell ref="CF31:CH32"/>
    <mergeCell ref="CI31:CI32"/>
    <mergeCell ref="AX32:AX33"/>
    <mergeCell ref="AY32:BA33"/>
    <mergeCell ref="BB32:BB33"/>
    <mergeCell ref="CC33:CC34"/>
    <mergeCell ref="CD33:CD34"/>
    <mergeCell ref="AL36:AL37"/>
    <mergeCell ref="AM36:AO37"/>
    <mergeCell ref="AP36:AP37"/>
    <mergeCell ref="AQ36:AQ37"/>
    <mergeCell ref="AR36:AR37"/>
    <mergeCell ref="CD35:CD36"/>
    <mergeCell ref="CC37:CC38"/>
    <mergeCell ref="L33:L34"/>
    <mergeCell ref="M33:M34"/>
    <mergeCell ref="BC32:BC33"/>
    <mergeCell ref="BD32:BD33"/>
    <mergeCell ref="BE32:BE33"/>
    <mergeCell ref="BF32:BF33"/>
    <mergeCell ref="BR33:BU34"/>
    <mergeCell ref="BV33:BV34"/>
    <mergeCell ref="C31:C32"/>
    <mergeCell ref="D31:F32"/>
    <mergeCell ref="G31:G32"/>
    <mergeCell ref="H31:H32"/>
    <mergeCell ref="I31:I32"/>
    <mergeCell ref="J31:J32"/>
    <mergeCell ref="K31:K32"/>
    <mergeCell ref="L31:L32"/>
    <mergeCell ref="CM31:CM32"/>
    <mergeCell ref="AR30:AR31"/>
    <mergeCell ref="AS30:AS31"/>
    <mergeCell ref="AC31:AC32"/>
    <mergeCell ref="AD31:AD32"/>
    <mergeCell ref="S29:S30"/>
    <mergeCell ref="T29:T30"/>
    <mergeCell ref="U29:U30"/>
    <mergeCell ref="V29:V30"/>
    <mergeCell ref="AE31:AE32"/>
    <mergeCell ref="AF31:AF32"/>
    <mergeCell ref="AG31:AG32"/>
    <mergeCell ref="AL32:AL33"/>
    <mergeCell ref="AM32:AO33"/>
    <mergeCell ref="AP32:AP33"/>
    <mergeCell ref="AQ32:AQ33"/>
    <mergeCell ref="CJ31:CJ32"/>
    <mergeCell ref="CK31:CL32"/>
    <mergeCell ref="AI31:AI32"/>
    <mergeCell ref="BR31:BU32"/>
    <mergeCell ref="BV31:BV32"/>
    <mergeCell ref="BW31:BW32"/>
    <mergeCell ref="BX31:BX32"/>
    <mergeCell ref="BY31:BY32"/>
    <mergeCell ref="CA33:CA34"/>
    <mergeCell ref="CB33:CB34"/>
    <mergeCell ref="BF34:BF35"/>
    <mergeCell ref="CJ35:CJ36"/>
    <mergeCell ref="CK35:CL36"/>
    <mergeCell ref="BZ35:BZ36"/>
    <mergeCell ref="CA35:CA36"/>
    <mergeCell ref="CB35:CB36"/>
    <mergeCell ref="CC35:CC36"/>
    <mergeCell ref="CK33:CL34"/>
    <mergeCell ref="BF30:BF31"/>
    <mergeCell ref="BZ31:BZ32"/>
    <mergeCell ref="CA31:CA32"/>
    <mergeCell ref="CB31:CB32"/>
    <mergeCell ref="CC31:CC32"/>
    <mergeCell ref="CE29:CE30"/>
    <mergeCell ref="CD29:CD30"/>
    <mergeCell ref="BX29:BX30"/>
    <mergeCell ref="BR29:BU30"/>
    <mergeCell ref="BV29:BV30"/>
    <mergeCell ref="BW29:BW30"/>
    <mergeCell ref="CE33:CE34"/>
    <mergeCell ref="CF33:CH34"/>
    <mergeCell ref="CI33:CI34"/>
    <mergeCell ref="K29:K30"/>
    <mergeCell ref="L29:L30"/>
    <mergeCell ref="M29:M30"/>
    <mergeCell ref="N29:N30"/>
    <mergeCell ref="O29:Q30"/>
    <mergeCell ref="R29:R30"/>
    <mergeCell ref="C29:C30"/>
    <mergeCell ref="D29:F30"/>
    <mergeCell ref="G29:G30"/>
    <mergeCell ref="H29:H30"/>
    <mergeCell ref="I29:I30"/>
    <mergeCell ref="J29:J30"/>
    <mergeCell ref="AG29:AG30"/>
    <mergeCell ref="W31:W32"/>
    <mergeCell ref="X31:X32"/>
    <mergeCell ref="Y31:Y32"/>
    <mergeCell ref="Z31:AB32"/>
    <mergeCell ref="Y29:Y30"/>
    <mergeCell ref="Z29:AB30"/>
    <mergeCell ref="AC29:AC30"/>
    <mergeCell ref="AD29:AD30"/>
    <mergeCell ref="AE29:AE30"/>
    <mergeCell ref="AF29:AF30"/>
    <mergeCell ref="U31:U32"/>
    <mergeCell ref="W27:W28"/>
    <mergeCell ref="X27:X28"/>
    <mergeCell ref="Y27:Y28"/>
    <mergeCell ref="AI29:AI30"/>
    <mergeCell ref="BB30:BB31"/>
    <mergeCell ref="BC30:BC31"/>
    <mergeCell ref="BD30:BD31"/>
    <mergeCell ref="BE30:BE31"/>
    <mergeCell ref="AP30:AP31"/>
    <mergeCell ref="AQ30:AQ31"/>
    <mergeCell ref="AL28:AO31"/>
    <mergeCell ref="AX28:BA31"/>
    <mergeCell ref="M31:M32"/>
    <mergeCell ref="N31:N32"/>
    <mergeCell ref="O31:Q32"/>
    <mergeCell ref="R31:R32"/>
    <mergeCell ref="S31:S32"/>
    <mergeCell ref="T31:T32"/>
    <mergeCell ref="AH29:AH30"/>
    <mergeCell ref="W29:W30"/>
    <mergeCell ref="X29:X30"/>
    <mergeCell ref="CE27:CE28"/>
    <mergeCell ref="CF27:CH28"/>
    <mergeCell ref="CI27:CI28"/>
    <mergeCell ref="CJ27:CJ28"/>
    <mergeCell ref="CK27:CL28"/>
    <mergeCell ref="CM27:CM28"/>
    <mergeCell ref="BY27:BY28"/>
    <mergeCell ref="BZ27:BZ28"/>
    <mergeCell ref="CA27:CA28"/>
    <mergeCell ref="CB27:CB28"/>
    <mergeCell ref="CC27:CC28"/>
    <mergeCell ref="CD27:CD28"/>
    <mergeCell ref="CF29:CH30"/>
    <mergeCell ref="CI29:CI30"/>
    <mergeCell ref="CJ29:CJ30"/>
    <mergeCell ref="CK29:CL30"/>
    <mergeCell ref="CM29:CM30"/>
    <mergeCell ref="BY29:BY30"/>
    <mergeCell ref="BZ29:BZ30"/>
    <mergeCell ref="CA29:CA30"/>
    <mergeCell ref="CB29:CB30"/>
    <mergeCell ref="CC29:CC30"/>
    <mergeCell ref="C27:C28"/>
    <mergeCell ref="D27:F28"/>
    <mergeCell ref="G27:G28"/>
    <mergeCell ref="H27:H28"/>
    <mergeCell ref="I27:I28"/>
    <mergeCell ref="J27:J28"/>
    <mergeCell ref="K27:K28"/>
    <mergeCell ref="CE25:CE26"/>
    <mergeCell ref="CF25:CH26"/>
    <mergeCell ref="CI25:CI26"/>
    <mergeCell ref="CJ25:CJ26"/>
    <mergeCell ref="CK25:CL26"/>
    <mergeCell ref="CM25:CM26"/>
    <mergeCell ref="BY25:BY26"/>
    <mergeCell ref="BZ25:BZ26"/>
    <mergeCell ref="CA25:CA26"/>
    <mergeCell ref="CB25:CB26"/>
    <mergeCell ref="CC25:CC26"/>
    <mergeCell ref="CD25:CD26"/>
    <mergeCell ref="AG25:AG26"/>
    <mergeCell ref="AH25:AH26"/>
    <mergeCell ref="AI25:AI26"/>
    <mergeCell ref="BR25:BU26"/>
    <mergeCell ref="AH27:AH28"/>
    <mergeCell ref="AI27:AI28"/>
    <mergeCell ref="BR27:BU28"/>
    <mergeCell ref="BV27:BV28"/>
    <mergeCell ref="BW27:BW28"/>
    <mergeCell ref="BX27:BX28"/>
    <mergeCell ref="S25:S26"/>
    <mergeCell ref="T25:T26"/>
    <mergeCell ref="U25:U26"/>
    <mergeCell ref="V25:V26"/>
    <mergeCell ref="W25:W26"/>
    <mergeCell ref="X25:X26"/>
    <mergeCell ref="K25:K26"/>
    <mergeCell ref="L25:L26"/>
    <mergeCell ref="M25:M26"/>
    <mergeCell ref="N25:N26"/>
    <mergeCell ref="O25:Q26"/>
    <mergeCell ref="R25:R26"/>
    <mergeCell ref="L27:L28"/>
    <mergeCell ref="M27:M28"/>
    <mergeCell ref="N27:N28"/>
    <mergeCell ref="O27:Q28"/>
    <mergeCell ref="R27:R28"/>
    <mergeCell ref="S27:S28"/>
    <mergeCell ref="CB23:CB24"/>
    <mergeCell ref="CC23:CC24"/>
    <mergeCell ref="K23:K24"/>
    <mergeCell ref="L23:L24"/>
    <mergeCell ref="M23:M24"/>
    <mergeCell ref="N23:N24"/>
    <mergeCell ref="O23:Q24"/>
    <mergeCell ref="R23:R24"/>
    <mergeCell ref="Z27:AB28"/>
    <mergeCell ref="AC27:AC28"/>
    <mergeCell ref="AD27:AD28"/>
    <mergeCell ref="AE27:AE28"/>
    <mergeCell ref="AF27:AF28"/>
    <mergeCell ref="AG27:AG28"/>
    <mergeCell ref="T27:T28"/>
    <mergeCell ref="U27:U28"/>
    <mergeCell ref="V27:V28"/>
    <mergeCell ref="CD23:CD24"/>
    <mergeCell ref="CE23:CE24"/>
    <mergeCell ref="CF23:CH24"/>
    <mergeCell ref="CI23:CI24"/>
    <mergeCell ref="AG23:AG24"/>
    <mergeCell ref="AH23:AH24"/>
    <mergeCell ref="AI23:AI24"/>
    <mergeCell ref="BR23:BU24"/>
    <mergeCell ref="BV25:BV26"/>
    <mergeCell ref="BW25:BW26"/>
    <mergeCell ref="Y25:Y26"/>
    <mergeCell ref="Z25:AB26"/>
    <mergeCell ref="AC25:AC26"/>
    <mergeCell ref="AD25:AD26"/>
    <mergeCell ref="AE25:AE26"/>
    <mergeCell ref="AF25:AF26"/>
    <mergeCell ref="U23:U24"/>
    <mergeCell ref="V23:V24"/>
    <mergeCell ref="W23:W24"/>
    <mergeCell ref="X23:X24"/>
    <mergeCell ref="AM22:AO23"/>
    <mergeCell ref="AP22:AP23"/>
    <mergeCell ref="AQ22:AQ23"/>
    <mergeCell ref="AR22:AR23"/>
    <mergeCell ref="AS22:AS23"/>
    <mergeCell ref="AT22:AT23"/>
    <mergeCell ref="CB21:CB22"/>
    <mergeCell ref="CC21:CC22"/>
    <mergeCell ref="CD21:CD22"/>
    <mergeCell ref="CE21:CE22"/>
    <mergeCell ref="CF21:CH22"/>
    <mergeCell ref="CI21:CI22"/>
    <mergeCell ref="C25:C26"/>
    <mergeCell ref="D25:F26"/>
    <mergeCell ref="G25:G26"/>
    <mergeCell ref="H25:H26"/>
    <mergeCell ref="I25:I26"/>
    <mergeCell ref="J25:J26"/>
    <mergeCell ref="AQ24:AQ25"/>
    <mergeCell ref="AR24:AR25"/>
    <mergeCell ref="AT24:AT25"/>
    <mergeCell ref="BE24:BE25"/>
    <mergeCell ref="BF24:BF25"/>
    <mergeCell ref="BX25:BX26"/>
    <mergeCell ref="CJ23:CJ24"/>
    <mergeCell ref="CK23:CL24"/>
    <mergeCell ref="CM23:CM24"/>
    <mergeCell ref="C23:C24"/>
    <mergeCell ref="D23:F24"/>
    <mergeCell ref="G23:G24"/>
    <mergeCell ref="H23:H24"/>
    <mergeCell ref="I23:I24"/>
    <mergeCell ref="J23:J24"/>
    <mergeCell ref="BD22:BD23"/>
    <mergeCell ref="BE22:BE23"/>
    <mergeCell ref="BF22:BF23"/>
    <mergeCell ref="BX23:BX24"/>
    <mergeCell ref="BY23:BY24"/>
    <mergeCell ref="BZ23:BZ24"/>
    <mergeCell ref="CA23:CA24"/>
    <mergeCell ref="CJ21:CJ22"/>
    <mergeCell ref="CK21:CL22"/>
    <mergeCell ref="CM21:CM22"/>
    <mergeCell ref="AL22:AL23"/>
    <mergeCell ref="AG21:AG22"/>
    <mergeCell ref="AH21:AH22"/>
    <mergeCell ref="AI21:AI22"/>
    <mergeCell ref="BR21:BU22"/>
    <mergeCell ref="BV21:BV22"/>
    <mergeCell ref="BW21:BW22"/>
    <mergeCell ref="AX22:AX23"/>
    <mergeCell ref="AY22:BA23"/>
    <mergeCell ref="BB22:BB23"/>
    <mergeCell ref="BC22:BC23"/>
    <mergeCell ref="Y21:Y22"/>
    <mergeCell ref="Z21:AB22"/>
    <mergeCell ref="AC21:AC22"/>
    <mergeCell ref="AD21:AD22"/>
    <mergeCell ref="AE21:AE22"/>
    <mergeCell ref="AF21:AF22"/>
    <mergeCell ref="S21:S22"/>
    <mergeCell ref="T21:T22"/>
    <mergeCell ref="U21:U22"/>
    <mergeCell ref="V21:V22"/>
    <mergeCell ref="W21:W22"/>
    <mergeCell ref="X21:X22"/>
    <mergeCell ref="BV23:BV24"/>
    <mergeCell ref="BW23:BW24"/>
    <mergeCell ref="Y23:Y24"/>
    <mergeCell ref="Z23:AB24"/>
    <mergeCell ref="AC23:AC24"/>
    <mergeCell ref="AD23:AD24"/>
    <mergeCell ref="AE23:AE24"/>
    <mergeCell ref="AF23:AF24"/>
    <mergeCell ref="S23:S24"/>
    <mergeCell ref="T23:T24"/>
    <mergeCell ref="K21:K22"/>
    <mergeCell ref="L21:L22"/>
    <mergeCell ref="M21:M22"/>
    <mergeCell ref="N21:N22"/>
    <mergeCell ref="O21:Q22"/>
    <mergeCell ref="R21:R22"/>
    <mergeCell ref="C21:C22"/>
    <mergeCell ref="D21:F22"/>
    <mergeCell ref="G21:G22"/>
    <mergeCell ref="H21:H22"/>
    <mergeCell ref="I21:I22"/>
    <mergeCell ref="J21:J22"/>
    <mergeCell ref="BC20:BC21"/>
    <mergeCell ref="BD20:BD21"/>
    <mergeCell ref="BE20:BE21"/>
    <mergeCell ref="BF20:BF21"/>
    <mergeCell ref="AF19:AF20"/>
    <mergeCell ref="AG19:AG20"/>
    <mergeCell ref="AH19:AH20"/>
    <mergeCell ref="AI19:AI20"/>
    <mergeCell ref="AL20:AL21"/>
    <mergeCell ref="AM20:AO21"/>
    <mergeCell ref="AP20:AP21"/>
    <mergeCell ref="AQ20:AQ21"/>
    <mergeCell ref="X19:X20"/>
    <mergeCell ref="Y19:Y20"/>
    <mergeCell ref="Z19:AB20"/>
    <mergeCell ref="AC19:AC20"/>
    <mergeCell ref="AD19:AD20"/>
    <mergeCell ref="AE19:AE20"/>
    <mergeCell ref="R19:R20"/>
    <mergeCell ref="S19:S20"/>
    <mergeCell ref="BX21:BX22"/>
    <mergeCell ref="BY21:BY22"/>
    <mergeCell ref="BZ21:BZ22"/>
    <mergeCell ref="CA21:CA22"/>
    <mergeCell ref="AR20:AR21"/>
    <mergeCell ref="AS20:AS21"/>
    <mergeCell ref="AT20:AT21"/>
    <mergeCell ref="AX20:AX21"/>
    <mergeCell ref="AY20:BA21"/>
    <mergeCell ref="BB20:BB21"/>
    <mergeCell ref="CK19:CL20"/>
    <mergeCell ref="CM19:CM20"/>
    <mergeCell ref="CC19:CC20"/>
    <mergeCell ref="CD19:CD20"/>
    <mergeCell ref="CE19:CE20"/>
    <mergeCell ref="CF19:CH20"/>
    <mergeCell ref="CI19:CI20"/>
    <mergeCell ref="CJ19:CJ20"/>
    <mergeCell ref="BW19:BW20"/>
    <mergeCell ref="BX19:BX20"/>
    <mergeCell ref="BY19:BY20"/>
    <mergeCell ref="BZ19:BZ20"/>
    <mergeCell ref="CA19:CA20"/>
    <mergeCell ref="CB19:CB20"/>
    <mergeCell ref="BR19:BU20"/>
    <mergeCell ref="BV19:BV20"/>
    <mergeCell ref="T19:T20"/>
    <mergeCell ref="U19:U20"/>
    <mergeCell ref="V19:V20"/>
    <mergeCell ref="W19:W20"/>
    <mergeCell ref="J19:J20"/>
    <mergeCell ref="K19:K20"/>
    <mergeCell ref="L19:L20"/>
    <mergeCell ref="M19:M20"/>
    <mergeCell ref="N19:N20"/>
    <mergeCell ref="O19:Q20"/>
    <mergeCell ref="BE18:BE19"/>
    <mergeCell ref="BF18:BF19"/>
    <mergeCell ref="C19:C20"/>
    <mergeCell ref="D19:F20"/>
    <mergeCell ref="G19:G20"/>
    <mergeCell ref="H19:H20"/>
    <mergeCell ref="I19:I20"/>
    <mergeCell ref="AF17:AF18"/>
    <mergeCell ref="AG17:AG18"/>
    <mergeCell ref="AH17:AH18"/>
    <mergeCell ref="AI17:AI18"/>
    <mergeCell ref="X17:X18"/>
    <mergeCell ref="Y17:Y18"/>
    <mergeCell ref="Z17:AB18"/>
    <mergeCell ref="AC17:AC18"/>
    <mergeCell ref="AD17:AD18"/>
    <mergeCell ref="AE17:AE18"/>
    <mergeCell ref="R17:R18"/>
    <mergeCell ref="S17:S18"/>
    <mergeCell ref="T17:T18"/>
    <mergeCell ref="U17:U18"/>
    <mergeCell ref="V17:V18"/>
    <mergeCell ref="CK17:CL18"/>
    <mergeCell ref="CM17:CM18"/>
    <mergeCell ref="AL18:AL19"/>
    <mergeCell ref="AM18:AO19"/>
    <mergeCell ref="AP18:AP19"/>
    <mergeCell ref="AQ18:AQ19"/>
    <mergeCell ref="AR18:AR19"/>
    <mergeCell ref="AS18:AS19"/>
    <mergeCell ref="AT18:AT19"/>
    <mergeCell ref="AX18:AX19"/>
    <mergeCell ref="CC17:CC18"/>
    <mergeCell ref="CD17:CD18"/>
    <mergeCell ref="CE17:CE18"/>
    <mergeCell ref="CF17:CH18"/>
    <mergeCell ref="CI17:CI18"/>
    <mergeCell ref="CJ17:CJ18"/>
    <mergeCell ref="BW17:BW18"/>
    <mergeCell ref="BX17:BX18"/>
    <mergeCell ref="BY17:BY18"/>
    <mergeCell ref="BZ17:BZ18"/>
    <mergeCell ref="CA17:CA18"/>
    <mergeCell ref="CB17:CB18"/>
    <mergeCell ref="BR17:BU18"/>
    <mergeCell ref="BV17:BV18"/>
    <mergeCell ref="AY18:BA19"/>
    <mergeCell ref="BB18:BB19"/>
    <mergeCell ref="BC18:BC19"/>
    <mergeCell ref="BD18:BD19"/>
    <mergeCell ref="BE16:BE17"/>
    <mergeCell ref="BF16:BF17"/>
    <mergeCell ref="BD16:BD17"/>
    <mergeCell ref="CK15:CL16"/>
    <mergeCell ref="W17:W18"/>
    <mergeCell ref="J17:J18"/>
    <mergeCell ref="K17:K18"/>
    <mergeCell ref="L17:L18"/>
    <mergeCell ref="M17:M18"/>
    <mergeCell ref="N17:N18"/>
    <mergeCell ref="O17:Q18"/>
    <mergeCell ref="C17:C18"/>
    <mergeCell ref="D17:F18"/>
    <mergeCell ref="G17:G18"/>
    <mergeCell ref="H17:H18"/>
    <mergeCell ref="I17:I18"/>
    <mergeCell ref="AT16:AT17"/>
    <mergeCell ref="AX16:AX17"/>
    <mergeCell ref="AY16:BA17"/>
    <mergeCell ref="BB16:BB17"/>
    <mergeCell ref="BC16:BC17"/>
    <mergeCell ref="AL16:AL17"/>
    <mergeCell ref="AM16:AO17"/>
    <mergeCell ref="AP16:AP17"/>
    <mergeCell ref="AQ16:AQ17"/>
    <mergeCell ref="AR16:AR17"/>
    <mergeCell ref="AS16:AS17"/>
    <mergeCell ref="O15:Q16"/>
    <mergeCell ref="R15:R16"/>
    <mergeCell ref="S15:S16"/>
    <mergeCell ref="T15:T16"/>
    <mergeCell ref="U15:U16"/>
    <mergeCell ref="C15:C16"/>
    <mergeCell ref="D15:F16"/>
    <mergeCell ref="G15:G16"/>
    <mergeCell ref="H15:H16"/>
    <mergeCell ref="I15:I16"/>
    <mergeCell ref="J15:J16"/>
    <mergeCell ref="K15:K16"/>
    <mergeCell ref="L15:L16"/>
    <mergeCell ref="M15:M16"/>
    <mergeCell ref="BC14:BC15"/>
    <mergeCell ref="BD14:BD15"/>
    <mergeCell ref="BE14:BE15"/>
    <mergeCell ref="N13:N14"/>
    <mergeCell ref="O13:Q14"/>
    <mergeCell ref="R13:R14"/>
    <mergeCell ref="V15:V16"/>
    <mergeCell ref="W15:W16"/>
    <mergeCell ref="X15:X16"/>
    <mergeCell ref="Y15:Y16"/>
    <mergeCell ref="Z15:AB16"/>
    <mergeCell ref="AC15:AC16"/>
    <mergeCell ref="N15:N16"/>
    <mergeCell ref="AD15:AD16"/>
    <mergeCell ref="AE15:AE16"/>
    <mergeCell ref="AF15:AF16"/>
    <mergeCell ref="AG15:AG16"/>
    <mergeCell ref="AH15:AH16"/>
    <mergeCell ref="AD13:AD14"/>
    <mergeCell ref="AE13:AE14"/>
    <mergeCell ref="AF13:AF14"/>
    <mergeCell ref="AG13:AG14"/>
    <mergeCell ref="AH13:AH14"/>
    <mergeCell ref="AI13:AI14"/>
    <mergeCell ref="V13:V14"/>
    <mergeCell ref="W13:W14"/>
    <mergeCell ref="X13:X14"/>
    <mergeCell ref="Y13:Y14"/>
    <mergeCell ref="Z13:AB14"/>
    <mergeCell ref="AC13:AC14"/>
    <mergeCell ref="CD13:CD14"/>
    <mergeCell ref="CE13:CE14"/>
    <mergeCell ref="CF13:CH14"/>
    <mergeCell ref="BR13:BU14"/>
    <mergeCell ref="BV13:BV14"/>
    <mergeCell ref="BW13:BW14"/>
    <mergeCell ref="BX13:BX14"/>
    <mergeCell ref="BF14:BF15"/>
    <mergeCell ref="BI15:BM16"/>
    <mergeCell ref="BN15:BO16"/>
    <mergeCell ref="BR15:BU16"/>
    <mergeCell ref="BV15:BV16"/>
    <mergeCell ref="CC15:CC16"/>
    <mergeCell ref="CD15:CD16"/>
    <mergeCell ref="CE15:CE16"/>
    <mergeCell ref="CF15:CH16"/>
    <mergeCell ref="BW15:BW16"/>
    <mergeCell ref="BX15:BX16"/>
    <mergeCell ref="BY15:BY16"/>
    <mergeCell ref="BZ15:BZ16"/>
    <mergeCell ref="AT14:AT15"/>
    <mergeCell ref="BB14:BB15"/>
    <mergeCell ref="CA13:CA14"/>
    <mergeCell ref="CB13:CB14"/>
    <mergeCell ref="CC13:CC14"/>
    <mergeCell ref="BY13:BY14"/>
    <mergeCell ref="S13:S14"/>
    <mergeCell ref="T13:T14"/>
    <mergeCell ref="U13:U14"/>
    <mergeCell ref="C13:C14"/>
    <mergeCell ref="D13:F14"/>
    <mergeCell ref="G13:G14"/>
    <mergeCell ref="H13:H14"/>
    <mergeCell ref="I13:I14"/>
    <mergeCell ref="J13:J14"/>
    <mergeCell ref="K13:K14"/>
    <mergeCell ref="L13:L14"/>
    <mergeCell ref="M13:M14"/>
    <mergeCell ref="AL12:AO15"/>
    <mergeCell ref="AX12:BA15"/>
    <mergeCell ref="BI12:BM13"/>
    <mergeCell ref="BN12:BO13"/>
    <mergeCell ref="CE11:CE12"/>
    <mergeCell ref="V11:V12"/>
    <mergeCell ref="W11:W12"/>
    <mergeCell ref="X11:X12"/>
    <mergeCell ref="Y11:Y12"/>
    <mergeCell ref="Z11:AB12"/>
    <mergeCell ref="AC11:AC12"/>
    <mergeCell ref="N11:N12"/>
    <mergeCell ref="O11:Q12"/>
    <mergeCell ref="R11:R12"/>
    <mergeCell ref="S11:S12"/>
    <mergeCell ref="T11:T12"/>
    <mergeCell ref="U11:U12"/>
    <mergeCell ref="C11:C12"/>
    <mergeCell ref="D11:F12"/>
    <mergeCell ref="G11:G12"/>
    <mergeCell ref="AE11:AE12"/>
    <mergeCell ref="AF11:AF12"/>
    <mergeCell ref="AG11:AG12"/>
    <mergeCell ref="AH11:AH12"/>
    <mergeCell ref="AI11:AI12"/>
    <mergeCell ref="CI13:CI14"/>
    <mergeCell ref="CJ13:CJ14"/>
    <mergeCell ref="CK13:CL14"/>
    <mergeCell ref="CM13:CM14"/>
    <mergeCell ref="AP14:AP15"/>
    <mergeCell ref="AQ14:AQ15"/>
    <mergeCell ref="AR14:AR15"/>
    <mergeCell ref="BZ13:BZ14"/>
    <mergeCell ref="CM15:CM16"/>
    <mergeCell ref="CI15:CI16"/>
    <mergeCell ref="CJ15:CJ16"/>
    <mergeCell ref="CA15:CA16"/>
    <mergeCell ref="CB15:CB16"/>
    <mergeCell ref="AI15:AI16"/>
    <mergeCell ref="AS14:AS15"/>
    <mergeCell ref="C9:C10"/>
    <mergeCell ref="H11:H12"/>
    <mergeCell ref="I11:I12"/>
    <mergeCell ref="J11:J12"/>
    <mergeCell ref="K11:K12"/>
    <mergeCell ref="L11:L12"/>
    <mergeCell ref="M11:M12"/>
    <mergeCell ref="CK9:CL10"/>
    <mergeCell ref="CM9:CM10"/>
    <mergeCell ref="BI10:BM11"/>
    <mergeCell ref="BN10:BO11"/>
    <mergeCell ref="BR11:BU12"/>
    <mergeCell ref="BV11:BV12"/>
    <mergeCell ref="BW11:BW12"/>
    <mergeCell ref="BX11:BX12"/>
    <mergeCell ref="CC9:CC10"/>
    <mergeCell ref="CD9:CD10"/>
    <mergeCell ref="CE9:CE10"/>
    <mergeCell ref="CF9:CH10"/>
    <mergeCell ref="CI9:CI10"/>
    <mergeCell ref="CJ9:CJ10"/>
    <mergeCell ref="BW9:BW10"/>
    <mergeCell ref="BX9:BX10"/>
    <mergeCell ref="BY9:BY10"/>
    <mergeCell ref="BZ9:BZ10"/>
    <mergeCell ref="CA9:CA10"/>
    <mergeCell ref="CB9:CB10"/>
    <mergeCell ref="AD11:AD12"/>
    <mergeCell ref="AF9:AF10"/>
    <mergeCell ref="AG9:AG10"/>
    <mergeCell ref="AH9:AH10"/>
    <mergeCell ref="AI9:AI10"/>
    <mergeCell ref="X9:X10"/>
    <mergeCell ref="Y9:Y10"/>
    <mergeCell ref="Z9:AB10"/>
    <mergeCell ref="AC9:AC10"/>
    <mergeCell ref="AD9:AD10"/>
    <mergeCell ref="AE9:AE10"/>
    <mergeCell ref="R9:R10"/>
    <mergeCell ref="S9:S10"/>
    <mergeCell ref="T9:T10"/>
    <mergeCell ref="U9:U10"/>
    <mergeCell ref="V9:V10"/>
    <mergeCell ref="W9:W10"/>
    <mergeCell ref="J9:J10"/>
    <mergeCell ref="K9:K10"/>
    <mergeCell ref="L9:L10"/>
    <mergeCell ref="M9:M10"/>
    <mergeCell ref="N9:N10"/>
    <mergeCell ref="O9:Q10"/>
    <mergeCell ref="D9:F10"/>
    <mergeCell ref="G9:G10"/>
    <mergeCell ref="H9:H10"/>
    <mergeCell ref="I9:I10"/>
    <mergeCell ref="CK7:CL8"/>
    <mergeCell ref="CM7:CM8"/>
    <mergeCell ref="T7:T8"/>
    <mergeCell ref="U7:U8"/>
    <mergeCell ref="V7:V8"/>
    <mergeCell ref="W7:W8"/>
    <mergeCell ref="X7:X8"/>
    <mergeCell ref="Y7:Y8"/>
    <mergeCell ref="L7:L8"/>
    <mergeCell ref="M7:M8"/>
    <mergeCell ref="N7:N8"/>
    <mergeCell ref="O7:Q8"/>
    <mergeCell ref="R7:R8"/>
    <mergeCell ref="CC7:CC8"/>
    <mergeCell ref="CD7:CD8"/>
    <mergeCell ref="CE7:CE8"/>
    <mergeCell ref="CF7:CH8"/>
    <mergeCell ref="CI7:CI8"/>
    <mergeCell ref="CJ7:CJ8"/>
    <mergeCell ref="BW7:BW8"/>
    <mergeCell ref="BX7:BX8"/>
    <mergeCell ref="BY7:BY8"/>
    <mergeCell ref="BZ7:BZ8"/>
    <mergeCell ref="CA7:CA8"/>
    <mergeCell ref="CB7:CB8"/>
    <mergeCell ref="BI6:BM7"/>
    <mergeCell ref="AG5:AG6"/>
    <mergeCell ref="AH5:AH6"/>
    <mergeCell ref="C7:C8"/>
    <mergeCell ref="D7:F8"/>
    <mergeCell ref="G7:G8"/>
    <mergeCell ref="H7:H8"/>
    <mergeCell ref="I7:I8"/>
    <mergeCell ref="S5:S6"/>
    <mergeCell ref="T5:T6"/>
    <mergeCell ref="J7:J8"/>
    <mergeCell ref="K7:K8"/>
    <mergeCell ref="U5:U6"/>
    <mergeCell ref="V5:V6"/>
    <mergeCell ref="BA6:BC8"/>
    <mergeCell ref="BD6:BF8"/>
    <mergeCell ref="X5:X6"/>
    <mergeCell ref="AC5:AC6"/>
    <mergeCell ref="AD5:AD6"/>
    <mergeCell ref="AE5:AE6"/>
    <mergeCell ref="AF5:AF6"/>
    <mergeCell ref="W5:W6"/>
    <mergeCell ref="Z7:AB8"/>
    <mergeCell ref="AC7:AC8"/>
    <mergeCell ref="AD7:AD8"/>
    <mergeCell ref="AE7:AE8"/>
    <mergeCell ref="AF7:AF8"/>
    <mergeCell ref="AG7:AG8"/>
    <mergeCell ref="C3:F6"/>
    <mergeCell ref="G3:M4"/>
    <mergeCell ref="AO3:AQ5"/>
    <mergeCell ref="AL6:AN8"/>
    <mergeCell ref="AO6:AQ8"/>
    <mergeCell ref="AX6:AZ8"/>
    <mergeCell ref="G5:G6"/>
    <mergeCell ref="H5:H6"/>
    <mergeCell ref="I5:I6"/>
    <mergeCell ref="J5:J6"/>
    <mergeCell ref="K5:K6"/>
    <mergeCell ref="L5:L6"/>
    <mergeCell ref="M5:M6"/>
    <mergeCell ref="R5:R6"/>
    <mergeCell ref="BN3:BO4"/>
    <mergeCell ref="BR3:BU8"/>
    <mergeCell ref="BV3:BW4"/>
    <mergeCell ref="BX3:BY4"/>
    <mergeCell ref="BZ3:CA4"/>
    <mergeCell ref="CB3:CC4"/>
    <mergeCell ref="BY5:BY6"/>
    <mergeCell ref="AU3:AW5"/>
    <mergeCell ref="AX3:AZ5"/>
    <mergeCell ref="BA3:BC5"/>
    <mergeCell ref="BD3:BF5"/>
    <mergeCell ref="S7:S8"/>
    <mergeCell ref="AI7:AI8"/>
    <mergeCell ref="BV7:BV8"/>
    <mergeCell ref="R3:X4"/>
    <mergeCell ref="BI8:BM9"/>
    <mergeCell ref="BN8:BO9"/>
    <mergeCell ref="BI3:BM4"/>
    <mergeCell ref="BR9:BU10"/>
    <mergeCell ref="AC3:AI4"/>
    <mergeCell ref="AI5:AI6"/>
    <mergeCell ref="BV5:BV6"/>
    <mergeCell ref="BW5:BW6"/>
    <mergeCell ref="BX5:BX6"/>
    <mergeCell ref="AL3:AN5"/>
    <mergeCell ref="BN6:BO7"/>
    <mergeCell ref="AH7:AH8"/>
    <mergeCell ref="BZ5:BZ6"/>
    <mergeCell ref="CA5:CA6"/>
    <mergeCell ref="CB5:CB6"/>
    <mergeCell ref="AR3:AT5"/>
    <mergeCell ref="CC5:CC6"/>
    <mergeCell ref="CD5:CD6"/>
    <mergeCell ref="AR6:AT8"/>
    <mergeCell ref="AU6:AW8"/>
    <mergeCell ref="CN11:CN12"/>
    <mergeCell ref="BV9:BV10"/>
    <mergeCell ref="CF11:CH12"/>
    <mergeCell ref="CI11:CI12"/>
    <mergeCell ref="CJ11:CJ12"/>
    <mergeCell ref="CK11:CL12"/>
    <mergeCell ref="CM11:CM12"/>
    <mergeCell ref="BY11:BY12"/>
    <mergeCell ref="BZ11:BZ12"/>
    <mergeCell ref="CA11:CA12"/>
    <mergeCell ref="CB11:CB12"/>
    <mergeCell ref="CC11:CC12"/>
    <mergeCell ref="CD11:CD1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A5F6-9E50-4B4D-9337-1292F2269BB8}">
  <sheetPr>
    <tabColor theme="5"/>
  </sheetPr>
  <dimension ref="A1:AD104"/>
  <sheetViews>
    <sheetView showGridLines="0" topLeftCell="A15" zoomScale="125" zoomScaleNormal="92" workbookViewId="0">
      <selection activeCell="C66" sqref="C66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7" max="7" width="11.5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21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13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OJOS</v>
      </c>
      <c r="Q3" s="309">
        <f>Z3</f>
        <v>49</v>
      </c>
      <c r="R3" s="310">
        <v>4</v>
      </c>
      <c r="S3" s="310">
        <v>6</v>
      </c>
      <c r="T3" s="311">
        <f>SUM(R3:S3)</f>
        <v>10</v>
      </c>
      <c r="U3" s="252">
        <f>IFERROR(Q3*T3,"-")</f>
        <v>490</v>
      </c>
      <c r="Y3" s="302" t="str">
        <f>$P$27</f>
        <v>OJOS</v>
      </c>
      <c r="Z3" s="309">
        <f>Z35</f>
        <v>49</v>
      </c>
      <c r="AA3" s="310">
        <f>R27</f>
        <v>7</v>
      </c>
      <c r="AB3" s="310">
        <f>S27</f>
        <v>7</v>
      </c>
      <c r="AC3" s="310">
        <f>SUM(AA3:AB3)</f>
        <v>14</v>
      </c>
      <c r="AD3" s="252">
        <f>IFERROR(Z3*AC3,"-")</f>
        <v>686</v>
      </c>
    </row>
    <row r="4" spans="2:30" ht="15.75" thickBot="1">
      <c r="B4" s="63"/>
      <c r="C4" s="63"/>
      <c r="D4" s="63"/>
      <c r="P4" s="302" t="str">
        <f>$P$28</f>
        <v>MIRILLA</v>
      </c>
      <c r="Q4" s="309">
        <f t="shared" ref="Q4:Q6" si="0">Z4</f>
        <v>34</v>
      </c>
      <c r="R4" s="310">
        <v>2</v>
      </c>
      <c r="S4" s="310">
        <v>4</v>
      </c>
      <c r="T4" s="310">
        <f t="shared" ref="T4:T8" si="1">SUM(R4:S4)</f>
        <v>6</v>
      </c>
      <c r="U4" s="252">
        <f t="shared" ref="U4:U8" si="2">IFERROR(Q4*T4,"-")</f>
        <v>204</v>
      </c>
      <c r="Y4" s="302" t="str">
        <f>$P$28</f>
        <v>MIRILLA</v>
      </c>
      <c r="Z4" s="309">
        <f>Z36</f>
        <v>34</v>
      </c>
      <c r="AA4" s="310">
        <f>R28-4</f>
        <v>10</v>
      </c>
      <c r="AB4" s="310">
        <f>S28</f>
        <v>7</v>
      </c>
      <c r="AC4" s="310">
        <f t="shared" ref="AC4:AC8" si="3">SUM(AA4:AB4)</f>
        <v>17</v>
      </c>
      <c r="AD4" s="252">
        <f t="shared" ref="AD4:AD8" si="4">IFERROR(Z4*AC4,"-")</f>
        <v>578</v>
      </c>
    </row>
    <row r="5" spans="2:30" ht="15.75" thickBot="1">
      <c r="B5" s="63"/>
      <c r="C5" s="300" t="s">
        <v>122</v>
      </c>
      <c r="D5" s="301" t="s">
        <v>123</v>
      </c>
      <c r="P5" s="302" t="str">
        <f>$P$29</f>
        <v>SEÑORA</v>
      </c>
      <c r="Q5" s="309">
        <f t="shared" si="0"/>
        <v>29</v>
      </c>
      <c r="R5" s="310">
        <v>2</v>
      </c>
      <c r="S5" s="310">
        <v>3</v>
      </c>
      <c r="T5" s="310">
        <f t="shared" si="1"/>
        <v>5</v>
      </c>
      <c r="U5" s="252">
        <f t="shared" si="2"/>
        <v>145</v>
      </c>
      <c r="Y5" s="302" t="str">
        <f>$P$29</f>
        <v>SEÑORA</v>
      </c>
      <c r="Z5" s="309">
        <f>Z37</f>
        <v>29</v>
      </c>
      <c r="AA5" s="310">
        <f>R29</f>
        <v>6</v>
      </c>
      <c r="AB5" s="310">
        <f>S29</f>
        <v>4</v>
      </c>
      <c r="AC5" s="310">
        <f t="shared" si="3"/>
        <v>10</v>
      </c>
      <c r="AD5" s="252">
        <f t="shared" si="4"/>
        <v>290</v>
      </c>
    </row>
    <row r="6" spans="2:30">
      <c r="B6" s="270" t="s">
        <v>98</v>
      </c>
      <c r="C6" s="266">
        <f>U9+U18</f>
        <v>1318</v>
      </c>
      <c r="D6" s="267">
        <f>SUM(L27:$L$61)</f>
        <v>1304</v>
      </c>
      <c r="P6" s="302" t="str">
        <f>$P$30</f>
        <v>CALAVERA</v>
      </c>
      <c r="Q6" s="309">
        <f t="shared" si="0"/>
        <v>29</v>
      </c>
      <c r="R6" s="310">
        <f t="shared" ref="R6:R8" si="5">AA6-AA15</f>
        <v>2</v>
      </c>
      <c r="S6" s="310">
        <f t="shared" ref="S6:S8" si="6">AB6-AB15</f>
        <v>2</v>
      </c>
      <c r="T6" s="310">
        <f t="shared" si="1"/>
        <v>4</v>
      </c>
      <c r="U6" s="252">
        <f t="shared" si="2"/>
        <v>116</v>
      </c>
      <c r="Y6" s="302" t="str">
        <f>$P$30</f>
        <v>CALAVERA</v>
      </c>
      <c r="Z6" s="309">
        <f>Z38</f>
        <v>29</v>
      </c>
      <c r="AA6" s="310">
        <f>R30</f>
        <v>2</v>
      </c>
      <c r="AB6" s="310">
        <f>S30</f>
        <v>2</v>
      </c>
      <c r="AC6" s="310">
        <f t="shared" si="3"/>
        <v>4</v>
      </c>
      <c r="AD6" s="252">
        <f t="shared" si="4"/>
        <v>116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5"/>
        <v>0</v>
      </c>
      <c r="S7" s="310">
        <f t="shared" si="6"/>
        <v>0</v>
      </c>
      <c r="T7" s="310">
        <f t="shared" si="1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3"/>
        <v>0</v>
      </c>
      <c r="AD7" s="323">
        <f t="shared" si="4"/>
        <v>0</v>
      </c>
    </row>
    <row r="8" spans="2:30" ht="17.100000000000001" customHeight="1" thickBot="1">
      <c r="B8" s="273" t="s">
        <v>125</v>
      </c>
      <c r="C8" s="257">
        <f>SUM(C6:C7)</f>
        <v>1318</v>
      </c>
      <c r="D8" s="258">
        <f>SUM(D6:D7)</f>
        <v>1304</v>
      </c>
      <c r="P8" s="279"/>
      <c r="Q8" s="312"/>
      <c r="R8" s="312">
        <f t="shared" si="5"/>
        <v>0</v>
      </c>
      <c r="S8" s="310">
        <f t="shared" si="6"/>
        <v>0</v>
      </c>
      <c r="T8" s="312">
        <f t="shared" si="1"/>
        <v>0</v>
      </c>
      <c r="U8" s="324">
        <f t="shared" si="2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3"/>
        <v>0</v>
      </c>
      <c r="AD8" s="324">
        <f t="shared" si="4"/>
        <v>0</v>
      </c>
    </row>
    <row r="9" spans="2:30" ht="17.100000000000001" customHeight="1" thickBot="1">
      <c r="B9" s="272" t="s">
        <v>126</v>
      </c>
      <c r="C9" s="259">
        <f>-$W$52</f>
        <v>-887.43</v>
      </c>
      <c r="D9" s="260">
        <f>C9</f>
        <v>-887.43</v>
      </c>
      <c r="P9" s="305" t="s">
        <v>127</v>
      </c>
      <c r="Q9" s="306"/>
      <c r="R9" s="306"/>
      <c r="S9" s="321"/>
      <c r="T9" s="333">
        <f>SUM(T3:T8)</f>
        <v>25</v>
      </c>
      <c r="U9" s="307">
        <f>SUM(U3:U8)</f>
        <v>955</v>
      </c>
      <c r="Y9" s="305" t="s">
        <v>142</v>
      </c>
      <c r="Z9" s="306"/>
      <c r="AA9" s="306"/>
      <c r="AB9" s="321"/>
      <c r="AC9" s="333">
        <f>SUM(AC3:AC8)</f>
        <v>45</v>
      </c>
      <c r="AD9" s="307">
        <f>SUM(AD3:AD8)</f>
        <v>1670</v>
      </c>
    </row>
    <row r="10" spans="2:30" ht="17.100000000000001" customHeight="1" thickBot="1">
      <c r="B10" s="272" t="s">
        <v>128</v>
      </c>
      <c r="C10" s="259">
        <f>-$U$61</f>
        <v>-246.23500000000001</v>
      </c>
      <c r="D10" s="260">
        <f>C10</f>
        <v>-246.23500000000001</v>
      </c>
    </row>
    <row r="11" spans="2:30" ht="17.100000000000001" customHeight="1" thickBot="1">
      <c r="B11" s="272" t="s">
        <v>333</v>
      </c>
      <c r="C11" s="259">
        <f>-40</f>
        <v>-40</v>
      </c>
      <c r="D11" s="260">
        <f>C11</f>
        <v>-40</v>
      </c>
      <c r="P11" s="315" t="s">
        <v>334</v>
      </c>
      <c r="Q11" s="202" t="s">
        <v>121</v>
      </c>
      <c r="R11" s="202" t="s">
        <v>16</v>
      </c>
      <c r="S11" s="202" t="s">
        <v>13</v>
      </c>
      <c r="T11" s="213" t="s">
        <v>4</v>
      </c>
      <c r="U11" s="203" t="s">
        <v>113</v>
      </c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 ht="15.95" customHeight="1">
      <c r="B12" s="272" t="s">
        <v>130</v>
      </c>
      <c r="C12" s="259">
        <f>-12.69-26.33-49.01</f>
        <v>-88.03</v>
      </c>
      <c r="D12" s="260">
        <f>C12</f>
        <v>-88.03</v>
      </c>
      <c r="P12" s="302" t="str">
        <f>$P$27</f>
        <v>OJOS</v>
      </c>
      <c r="Q12" s="309">
        <v>39</v>
      </c>
      <c r="R12" s="310">
        <f>(AA3-AA12)-R3</f>
        <v>1</v>
      </c>
      <c r="S12" s="310">
        <f t="shared" ref="S12:S17" si="7">(AB3-AB12)-S3</f>
        <v>1</v>
      </c>
      <c r="T12" s="311">
        <f>SUM(R12:S12)</f>
        <v>2</v>
      </c>
      <c r="U12" s="252">
        <f>IFERROR(Q12*T12,"-")</f>
        <v>78</v>
      </c>
      <c r="Y12" s="302" t="str">
        <f>$P$27</f>
        <v>OJOS</v>
      </c>
      <c r="Z12" s="309">
        <f>AA35</f>
        <v>-35.05510204081633</v>
      </c>
      <c r="AA12" s="359">
        <v>2</v>
      </c>
      <c r="AB12" s="359"/>
      <c r="AC12" s="310">
        <f>SUM(AA12:AB12)</f>
        <v>2</v>
      </c>
      <c r="AD12" s="252">
        <f>IFERROR(Z12*AC12,"-")</f>
        <v>-70.110204081632659</v>
      </c>
    </row>
    <row r="13" spans="2:30" ht="15.95" customHeight="1">
      <c r="B13" s="272"/>
      <c r="C13" s="255"/>
      <c r="D13" s="256"/>
      <c r="P13" s="302" t="str">
        <f>$P$28</f>
        <v>MIRILLA</v>
      </c>
      <c r="Q13" s="309">
        <v>27</v>
      </c>
      <c r="R13" s="310">
        <f t="shared" ref="R13:R17" si="8">(AA4-AA13)-R4</f>
        <v>5</v>
      </c>
      <c r="S13" s="310">
        <f t="shared" si="7"/>
        <v>3</v>
      </c>
      <c r="T13" s="310">
        <f t="shared" ref="T13:T17" si="9">SUM(R13:S13)</f>
        <v>8</v>
      </c>
      <c r="U13" s="252">
        <f t="shared" ref="U13:U15" si="10">IFERROR(Q13*T13,"-")</f>
        <v>216</v>
      </c>
      <c r="Y13" s="302" t="str">
        <f>$P$28</f>
        <v>MIRILLA</v>
      </c>
      <c r="Z13" s="309">
        <f>AA36</f>
        <v>-16.755102040816325</v>
      </c>
      <c r="AA13" s="359">
        <v>3</v>
      </c>
      <c r="AB13" s="359"/>
      <c r="AC13" s="310">
        <f t="shared" ref="AC13:AC17" si="11">SUM(AA13:AB13)</f>
        <v>3</v>
      </c>
      <c r="AD13" s="252">
        <f t="shared" ref="AD13:AD17" si="12">IFERROR(Z13*AC13,"-")</f>
        <v>-50.265306122448976</v>
      </c>
    </row>
    <row r="14" spans="2:30" ht="15.95" customHeight="1">
      <c r="B14" s="273" t="s">
        <v>133</v>
      </c>
      <c r="C14" s="257">
        <f>SUM(C9:C13)</f>
        <v>-1261.6949999999999</v>
      </c>
      <c r="D14" s="258">
        <f>SUM(D9:D13)</f>
        <v>-1261.6949999999999</v>
      </c>
      <c r="P14" s="302" t="str">
        <f>$P$29</f>
        <v>SEÑORA</v>
      </c>
      <c r="Q14" s="309">
        <v>23</v>
      </c>
      <c r="R14" s="310">
        <f t="shared" si="8"/>
        <v>2</v>
      </c>
      <c r="S14" s="310">
        <f t="shared" si="7"/>
        <v>1</v>
      </c>
      <c r="T14" s="310">
        <f t="shared" si="9"/>
        <v>3</v>
      </c>
      <c r="U14" s="252">
        <f t="shared" si="10"/>
        <v>69</v>
      </c>
      <c r="Y14" s="302" t="str">
        <f>$P$29</f>
        <v>SEÑORA</v>
      </c>
      <c r="Z14" s="309">
        <f>AA37</f>
        <v>-14.960102040816325</v>
      </c>
      <c r="AA14" s="359">
        <v>2</v>
      </c>
      <c r="AB14" s="359"/>
      <c r="AC14" s="310">
        <f t="shared" si="11"/>
        <v>2</v>
      </c>
      <c r="AD14" s="252">
        <f t="shared" si="12"/>
        <v>-29.920204081632651</v>
      </c>
    </row>
    <row r="15" spans="2:30" ht="17.100000000000001" customHeight="1" thickBot="1">
      <c r="B15" s="274"/>
      <c r="C15" s="261"/>
      <c r="D15" s="262"/>
      <c r="P15" s="302" t="str">
        <f>$P$30</f>
        <v>CALAVERA</v>
      </c>
      <c r="Q15" s="309">
        <v>23</v>
      </c>
      <c r="R15" s="310">
        <f t="shared" si="8"/>
        <v>0</v>
      </c>
      <c r="S15" s="310">
        <f t="shared" si="7"/>
        <v>0</v>
      </c>
      <c r="T15" s="310">
        <f t="shared" si="9"/>
        <v>0</v>
      </c>
      <c r="U15" s="252">
        <f t="shared" si="10"/>
        <v>0</v>
      </c>
      <c r="Y15" s="302" t="str">
        <f>$P$30</f>
        <v>CALAVERA</v>
      </c>
      <c r="Z15" s="309">
        <f>AA38</f>
        <v>-22.805102040816326</v>
      </c>
      <c r="AA15" s="359"/>
      <c r="AB15" s="359"/>
      <c r="AC15" s="310">
        <f t="shared" si="11"/>
        <v>0</v>
      </c>
      <c r="AD15" s="252">
        <f t="shared" si="12"/>
        <v>0</v>
      </c>
    </row>
    <row r="16" spans="2:30" ht="15.75" thickBot="1">
      <c r="C16" s="200"/>
      <c r="D16" s="200"/>
      <c r="P16" s="278"/>
      <c r="Q16" s="310"/>
      <c r="R16" s="310">
        <f t="shared" si="8"/>
        <v>0</v>
      </c>
      <c r="S16" s="310">
        <f t="shared" si="7"/>
        <v>0</v>
      </c>
      <c r="T16" s="310">
        <f t="shared" si="9"/>
        <v>0</v>
      </c>
      <c r="U16" s="323">
        <f>IFERROR(Q16*T16,"-")</f>
        <v>0</v>
      </c>
      <c r="Y16" s="278"/>
      <c r="Z16" s="310"/>
      <c r="AA16" s="359"/>
      <c r="AB16" s="359"/>
      <c r="AC16" s="310">
        <f t="shared" si="11"/>
        <v>0</v>
      </c>
      <c r="AD16" s="323">
        <f t="shared" si="12"/>
        <v>0</v>
      </c>
    </row>
    <row r="17" spans="1:30" ht="15.75" thickBot="1">
      <c r="B17" s="275" t="s">
        <v>110</v>
      </c>
      <c r="C17" s="263">
        <f>C8+C14</f>
        <v>56.305000000000064</v>
      </c>
      <c r="D17" s="264">
        <f>D8+D14</f>
        <v>42.305000000000064</v>
      </c>
      <c r="P17" s="279"/>
      <c r="Q17" s="312"/>
      <c r="R17" s="312">
        <f t="shared" si="8"/>
        <v>0</v>
      </c>
      <c r="S17" s="310">
        <f t="shared" si="7"/>
        <v>0</v>
      </c>
      <c r="T17" s="312">
        <f t="shared" si="9"/>
        <v>0</v>
      </c>
      <c r="U17" s="324">
        <f t="shared" ref="U17" si="13">IFERROR(Q17*T17,"-")</f>
        <v>0</v>
      </c>
      <c r="Y17" s="279"/>
      <c r="Z17" s="312"/>
      <c r="AA17" s="360"/>
      <c r="AB17" s="360"/>
      <c r="AC17" s="312">
        <f t="shared" si="11"/>
        <v>0</v>
      </c>
      <c r="AD17" s="324">
        <f t="shared" si="12"/>
        <v>0</v>
      </c>
    </row>
    <row r="18" spans="1:30" ht="15.75" thickBot="1">
      <c r="P18" s="305" t="s">
        <v>127</v>
      </c>
      <c r="Q18" s="306"/>
      <c r="R18" s="306"/>
      <c r="S18" s="321"/>
      <c r="T18" s="333">
        <f>SUM(T12:T17)</f>
        <v>13</v>
      </c>
      <c r="U18" s="307">
        <f>SUM(U12:U17)</f>
        <v>363</v>
      </c>
      <c r="Y18" s="305" t="s">
        <v>145</v>
      </c>
      <c r="Z18" s="306"/>
      <c r="AA18" s="306"/>
      <c r="AB18" s="321"/>
      <c r="AC18" s="333">
        <f>SUM(AC12:AC17)</f>
        <v>7</v>
      </c>
      <c r="AD18" s="307">
        <f>SUM(AD12:AD17)</f>
        <v>-150.2957142857143</v>
      </c>
    </row>
    <row r="19" spans="1:30">
      <c r="B19" t="s">
        <v>135</v>
      </c>
      <c r="C19" s="198">
        <f>IFERROR(ABS($C$9/$C$8),"-")</f>
        <v>0.67331562974203329</v>
      </c>
      <c r="D19" s="198">
        <f>IFERROR(ABS($D$10/$D$8),"-")</f>
        <v>0.18883052147239265</v>
      </c>
    </row>
    <row r="20" spans="1:30">
      <c r="B20" t="s">
        <v>114</v>
      </c>
      <c r="C20" s="198">
        <f>IFERROR(ABS($C$14/$C$8),"-")</f>
        <v>0.95727996965098627</v>
      </c>
      <c r="D20" s="198">
        <f>IFERROR(ABS($D$14/$D$8),"-")</f>
        <v>0.96755751533742329</v>
      </c>
    </row>
    <row r="21" spans="1:30" ht="15.75" thickBot="1"/>
    <row r="22" spans="1:30">
      <c r="C22" s="419" t="str">
        <f>$P$27</f>
        <v>OJOS</v>
      </c>
      <c r="D22" s="420"/>
      <c r="E22" s="765" t="str">
        <f>$P$28</f>
        <v>MIRILLA</v>
      </c>
      <c r="F22" s="420"/>
      <c r="G22" s="766" t="str">
        <f>$P$29</f>
        <v>SEÑORA</v>
      </c>
      <c r="H22" s="767"/>
      <c r="I22" s="768" t="str">
        <f>$P$30</f>
        <v>CALAVERA</v>
      </c>
      <c r="J22" s="769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99">
        <f>SUM(C27:C61)</f>
        <v>5</v>
      </c>
      <c r="D24" s="249">
        <f t="shared" ref="D24:J24" si="14">SUM(D27:D61)</f>
        <v>7</v>
      </c>
      <c r="E24" s="286">
        <f t="shared" si="14"/>
        <v>7</v>
      </c>
      <c r="F24" s="249">
        <f t="shared" si="14"/>
        <v>7</v>
      </c>
      <c r="G24" s="284">
        <f t="shared" si="14"/>
        <v>4</v>
      </c>
      <c r="H24" s="248">
        <f t="shared" si="14"/>
        <v>4</v>
      </c>
      <c r="I24" s="284">
        <f t="shared" si="14"/>
        <v>2</v>
      </c>
      <c r="J24" s="246">
        <f t="shared" si="14"/>
        <v>2</v>
      </c>
      <c r="K24" s="322">
        <f>SUM(C24:J24)</f>
        <v>38</v>
      </c>
      <c r="L24" s="276">
        <f>K24-SUM(K27:K61)</f>
        <v>0</v>
      </c>
    </row>
    <row r="25" spans="1:30" ht="15.75" thickBot="1">
      <c r="B25" s="279" t="s">
        <v>137</v>
      </c>
      <c r="C25" s="371">
        <f>R3+R12-C24</f>
        <v>0</v>
      </c>
      <c r="D25" s="288">
        <f>S3+S12-D24</f>
        <v>0</v>
      </c>
      <c r="E25" s="287">
        <f>R4+R13-E24</f>
        <v>0</v>
      </c>
      <c r="F25" s="372">
        <f>S4+S13-F24</f>
        <v>0</v>
      </c>
      <c r="G25" s="287">
        <f>R5+R14-G24</f>
        <v>0</v>
      </c>
      <c r="H25" s="288">
        <f>S5+S14-H24</f>
        <v>0</v>
      </c>
      <c r="I25" s="287">
        <f>R6-I24</f>
        <v>0</v>
      </c>
      <c r="J25" s="289">
        <f>S6-J24</f>
        <v>0</v>
      </c>
      <c r="K25" s="369">
        <f>SUM(C25:J25)</f>
        <v>0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>
      <c r="A27">
        <v>1</v>
      </c>
      <c r="B27" s="339" t="s">
        <v>29</v>
      </c>
      <c r="C27" s="340"/>
      <c r="D27" s="341">
        <v>1</v>
      </c>
      <c r="E27" s="340"/>
      <c r="F27" s="341"/>
      <c r="G27" s="340">
        <v>1</v>
      </c>
      <c r="H27" s="341"/>
      <c r="I27" s="340"/>
      <c r="J27" s="342"/>
      <c r="K27" s="334">
        <f>SUM(C27:J27)</f>
        <v>2</v>
      </c>
      <c r="L27" s="254">
        <f>IFERROR(((C27+D27)*$Q$3)+((E27+F27)*$Q$4)+((G27+H27)*$Q$5)+((I27+J27)*$Q$6),"-")</f>
        <v>78</v>
      </c>
      <c r="M27" s="351"/>
      <c r="P27" s="354" t="s">
        <v>335</v>
      </c>
      <c r="Q27" s="355">
        <v>27.5</v>
      </c>
      <c r="R27" s="356">
        <v>7</v>
      </c>
      <c r="S27" s="356">
        <v>7</v>
      </c>
      <c r="T27" s="311">
        <f>R27+S27</f>
        <v>14</v>
      </c>
      <c r="U27" s="332">
        <f>IFERROR($W$36/$T$33,"-")</f>
        <v>3.9251020408163262</v>
      </c>
      <c r="V27" s="375">
        <f>IFERROR(Q27+U27,"-")</f>
        <v>31.425102040816327</v>
      </c>
      <c r="W27" s="251">
        <f>IFERROR(T27*V27,"-")</f>
        <v>439.95142857142855</v>
      </c>
      <c r="Y27" s="302" t="str">
        <f>$P$27</f>
        <v>OJOS</v>
      </c>
      <c r="Z27" s="316">
        <f>V27</f>
        <v>31.425102040816327</v>
      </c>
      <c r="AA27" s="309">
        <f>T55</f>
        <v>3.63</v>
      </c>
      <c r="AB27" s="309"/>
      <c r="AC27" s="252">
        <f>SUM(Z27:AB27)</f>
        <v>35.05510204081633</v>
      </c>
    </row>
    <row r="28" spans="1:30">
      <c r="A28">
        <v>2</v>
      </c>
      <c r="B28" s="343" t="s">
        <v>60</v>
      </c>
      <c r="C28" s="344"/>
      <c r="D28" s="345"/>
      <c r="E28" s="344"/>
      <c r="F28" s="345">
        <v>1</v>
      </c>
      <c r="G28" s="344"/>
      <c r="H28" s="345">
        <v>1</v>
      </c>
      <c r="I28" s="344"/>
      <c r="J28" s="346"/>
      <c r="K28" s="335">
        <f t="shared" ref="K28:K61" si="15">SUM(C28:J28)</f>
        <v>2</v>
      </c>
      <c r="L28" s="259">
        <f t="shared" ref="L28:L45" si="16">IFERROR(((C28+D28)*$Q$3)+((E28+F28)*$Q$4)+((G28+H28)*$Q$5)+((I28+J28)*$Q$6),"-")</f>
        <v>63</v>
      </c>
      <c r="M28" s="352"/>
      <c r="P28" s="357" t="s">
        <v>261</v>
      </c>
      <c r="Q28" s="358">
        <v>9.1999999999999993</v>
      </c>
      <c r="R28" s="359">
        <v>14</v>
      </c>
      <c r="S28" s="359">
        <v>7</v>
      </c>
      <c r="T28" s="310">
        <f t="shared" ref="T28:T32" si="17">R28+S28</f>
        <v>21</v>
      </c>
      <c r="U28" s="309">
        <f>IFERROR($W$36/$T$33,"-")</f>
        <v>3.9251020408163262</v>
      </c>
      <c r="V28" s="309">
        <f>IFERROR(Q28+U28,"-")</f>
        <v>13.125102040816326</v>
      </c>
      <c r="W28" s="252">
        <f t="shared" ref="W28:W32" si="18">IFERROR(T28*V28,"-")</f>
        <v>275.62714285714287</v>
      </c>
      <c r="Y28" s="302" t="str">
        <f>$P$28</f>
        <v>MIRILLA</v>
      </c>
      <c r="Z28" s="316">
        <f>V28</f>
        <v>13.125102040816326</v>
      </c>
      <c r="AA28" s="309">
        <f>T56</f>
        <v>3.63</v>
      </c>
      <c r="AB28" s="309"/>
      <c r="AC28" s="252">
        <f t="shared" ref="AC28:AC32" si="19">SUM(Z28:AB28)</f>
        <v>16.755102040816325</v>
      </c>
    </row>
    <row r="29" spans="1:30">
      <c r="A29">
        <v>3</v>
      </c>
      <c r="B29" s="343" t="s">
        <v>53</v>
      </c>
      <c r="C29" s="344"/>
      <c r="D29" s="345"/>
      <c r="E29" s="344"/>
      <c r="F29" s="345"/>
      <c r="G29" s="344"/>
      <c r="H29" s="345"/>
      <c r="I29" s="344">
        <v>1</v>
      </c>
      <c r="J29" s="346"/>
      <c r="K29" s="335">
        <f t="shared" si="15"/>
        <v>1</v>
      </c>
      <c r="L29" s="259">
        <f t="shared" si="16"/>
        <v>29</v>
      </c>
      <c r="M29" s="352"/>
      <c r="P29" s="357" t="s">
        <v>336</v>
      </c>
      <c r="Q29" s="358">
        <v>8.01</v>
      </c>
      <c r="R29" s="359">
        <v>6</v>
      </c>
      <c r="S29" s="359">
        <v>4</v>
      </c>
      <c r="T29" s="310">
        <f t="shared" si="17"/>
        <v>10</v>
      </c>
      <c r="U29" s="309">
        <f>IFERROR($W$36/$T$33,"-")</f>
        <v>3.9251020408163262</v>
      </c>
      <c r="V29" s="309">
        <f>IFERROR(Q29+U29,"-")</f>
        <v>11.935102040816325</v>
      </c>
      <c r="W29" s="252">
        <f t="shared" si="18"/>
        <v>119.35102040816325</v>
      </c>
      <c r="Y29" s="302" t="str">
        <f>$P$29</f>
        <v>SEÑORA</v>
      </c>
      <c r="Z29" s="316">
        <f>V29</f>
        <v>11.935102040816325</v>
      </c>
      <c r="AA29" s="309">
        <f>T57</f>
        <v>3.0249999999999999</v>
      </c>
      <c r="AB29" s="309"/>
      <c r="AC29" s="252">
        <f t="shared" si="19"/>
        <v>14.960102040816325</v>
      </c>
    </row>
    <row r="30" spans="1:30">
      <c r="A30">
        <f>A29+1</f>
        <v>4</v>
      </c>
      <c r="B30" s="343" t="s">
        <v>35</v>
      </c>
      <c r="C30" s="344"/>
      <c r="D30" s="345"/>
      <c r="E30" s="344">
        <v>1</v>
      </c>
      <c r="F30" s="345"/>
      <c r="G30" s="344">
        <v>1</v>
      </c>
      <c r="H30" s="345"/>
      <c r="I30" s="344"/>
      <c r="J30" s="346"/>
      <c r="K30" s="335">
        <f t="shared" si="15"/>
        <v>2</v>
      </c>
      <c r="L30" s="259">
        <f t="shared" si="16"/>
        <v>63</v>
      </c>
      <c r="M30" s="352"/>
      <c r="P30" s="357" t="s">
        <v>337</v>
      </c>
      <c r="Q30" s="358">
        <v>9.1999999999999993</v>
      </c>
      <c r="R30" s="359">
        <v>2</v>
      </c>
      <c r="S30" s="359">
        <v>2</v>
      </c>
      <c r="T30" s="310">
        <f t="shared" si="17"/>
        <v>4</v>
      </c>
      <c r="U30" s="309">
        <f>IFERROR($W$36/$T$33,"-")</f>
        <v>3.9251020408163262</v>
      </c>
      <c r="V30" s="309">
        <f>IFERROR(Q30+U30,"-")</f>
        <v>13.125102040816326</v>
      </c>
      <c r="W30" s="252">
        <f t="shared" si="18"/>
        <v>52.500408163265305</v>
      </c>
      <c r="Y30" s="302" t="str">
        <f>$P$30</f>
        <v>CALAVERA</v>
      </c>
      <c r="Z30" s="316">
        <f>V30</f>
        <v>13.125102040816326</v>
      </c>
      <c r="AA30" s="320">
        <f>T58</f>
        <v>9.68</v>
      </c>
      <c r="AB30" s="320"/>
      <c r="AC30" s="252">
        <f>SUM(Z30:AB30)</f>
        <v>22.805102040816326</v>
      </c>
    </row>
    <row r="31" spans="1:30">
      <c r="A31">
        <f t="shared" ref="A31:A61" si="20">A30+1</f>
        <v>5</v>
      </c>
      <c r="B31" s="343" t="s">
        <v>55</v>
      </c>
      <c r="C31" s="344">
        <v>1</v>
      </c>
      <c r="D31" s="345"/>
      <c r="E31" s="344"/>
      <c r="F31" s="345"/>
      <c r="G31" s="344"/>
      <c r="H31" s="345"/>
      <c r="I31" s="344"/>
      <c r="J31" s="346"/>
      <c r="K31" s="335">
        <f t="shared" si="15"/>
        <v>1</v>
      </c>
      <c r="L31" s="259">
        <f t="shared" si="16"/>
        <v>49</v>
      </c>
      <c r="M31" s="352"/>
      <c r="P31" s="343"/>
      <c r="Q31" s="359"/>
      <c r="R31" s="359"/>
      <c r="S31" s="359"/>
      <c r="T31" s="310">
        <f t="shared" si="17"/>
        <v>0</v>
      </c>
      <c r="U31" s="309"/>
      <c r="V31" s="309">
        <f>IFERROR(Q31+U31,"-")</f>
        <v>0</v>
      </c>
      <c r="W31" s="252">
        <f t="shared" si="18"/>
        <v>0</v>
      </c>
      <c r="Y31" s="278"/>
      <c r="Z31" s="310"/>
      <c r="AA31" s="317"/>
      <c r="AB31" s="317"/>
      <c r="AC31" s="323">
        <f t="shared" si="19"/>
        <v>0</v>
      </c>
    </row>
    <row r="32" spans="1:30" ht="15.75" thickBot="1">
      <c r="A32">
        <f t="shared" si="20"/>
        <v>6</v>
      </c>
      <c r="B32" s="343" t="s">
        <v>44</v>
      </c>
      <c r="C32" s="344"/>
      <c r="D32" s="345"/>
      <c r="E32" s="344"/>
      <c r="F32" s="345">
        <v>1</v>
      </c>
      <c r="G32" s="344"/>
      <c r="H32" s="345"/>
      <c r="I32" s="344"/>
      <c r="J32" s="346"/>
      <c r="K32" s="335">
        <f t="shared" si="15"/>
        <v>1</v>
      </c>
      <c r="L32" s="259">
        <f t="shared" si="16"/>
        <v>34</v>
      </c>
      <c r="M32" s="352"/>
      <c r="P32" s="347"/>
      <c r="Q32" s="360"/>
      <c r="R32" s="360"/>
      <c r="S32" s="360"/>
      <c r="T32" s="312">
        <f t="shared" si="17"/>
        <v>0</v>
      </c>
      <c r="U32" s="328"/>
      <c r="V32" s="328">
        <f>IFERROR(Q32+U32,"-")</f>
        <v>0</v>
      </c>
      <c r="W32" s="253">
        <f t="shared" si="18"/>
        <v>0</v>
      </c>
      <c r="Y32" s="279"/>
      <c r="Z32" s="312"/>
      <c r="AA32" s="319"/>
      <c r="AB32" s="319"/>
      <c r="AC32" s="324">
        <f t="shared" si="19"/>
        <v>0</v>
      </c>
    </row>
    <row r="33" spans="1:29" ht="15.75" thickBot="1">
      <c r="A33">
        <f t="shared" si="20"/>
        <v>7</v>
      </c>
      <c r="B33" s="343" t="s">
        <v>12</v>
      </c>
      <c r="C33" s="344"/>
      <c r="D33" s="345"/>
      <c r="E33" s="344">
        <v>1</v>
      </c>
      <c r="F33" s="345"/>
      <c r="G33" s="344"/>
      <c r="H33" s="345"/>
      <c r="I33" s="344"/>
      <c r="J33" s="346"/>
      <c r="K33" s="335">
        <f t="shared" si="15"/>
        <v>1</v>
      </c>
      <c r="L33" s="259">
        <f t="shared" si="16"/>
        <v>34</v>
      </c>
      <c r="M33" s="352"/>
      <c r="P33" s="313" t="s">
        <v>113</v>
      </c>
      <c r="Q33" s="308"/>
      <c r="R33" s="308"/>
      <c r="S33" s="308"/>
      <c r="T33" s="308">
        <f>SUM(T27:T32)</f>
        <v>49</v>
      </c>
      <c r="U33" s="329"/>
      <c r="V33" s="308"/>
      <c r="W33" s="314">
        <f>SUM(W27:W32)</f>
        <v>887.43</v>
      </c>
    </row>
    <row r="34" spans="1:29" ht="15.75" thickBot="1">
      <c r="A34">
        <f t="shared" si="20"/>
        <v>8</v>
      </c>
      <c r="B34" s="343" t="s">
        <v>34</v>
      </c>
      <c r="C34" s="344"/>
      <c r="D34" s="345"/>
      <c r="E34" s="344"/>
      <c r="F34" s="345"/>
      <c r="G34" s="344"/>
      <c r="H34" s="345">
        <v>1</v>
      </c>
      <c r="I34" s="344"/>
      <c r="J34" s="346"/>
      <c r="K34" s="335">
        <f t="shared" si="15"/>
        <v>1</v>
      </c>
      <c r="L34" s="259">
        <f t="shared" si="16"/>
        <v>29</v>
      </c>
      <c r="M34" s="352"/>
      <c r="P34" s="357" t="s">
        <v>129</v>
      </c>
      <c r="Q34" s="361"/>
      <c r="R34" s="361"/>
      <c r="S34" s="361"/>
      <c r="T34" s="361"/>
      <c r="U34" s="361"/>
      <c r="V34" s="361"/>
      <c r="W34" s="362">
        <v>150</v>
      </c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>
      <c r="A35">
        <f t="shared" si="20"/>
        <v>9</v>
      </c>
      <c r="B35" s="343" t="s">
        <v>52</v>
      </c>
      <c r="C35" s="344">
        <v>1</v>
      </c>
      <c r="D35" s="345"/>
      <c r="E35" s="344"/>
      <c r="F35" s="345"/>
      <c r="G35" s="344"/>
      <c r="H35" s="345"/>
      <c r="I35" s="344">
        <v>1</v>
      </c>
      <c r="J35" s="346"/>
      <c r="K35" s="335">
        <f t="shared" si="15"/>
        <v>2</v>
      </c>
      <c r="L35" s="259">
        <f t="shared" si="16"/>
        <v>78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v>42.33</v>
      </c>
      <c r="Y35" s="302" t="str">
        <f>$P$27</f>
        <v>OJOS</v>
      </c>
      <c r="Z35" s="363">
        <v>49</v>
      </c>
      <c r="AA35" s="309">
        <f>-AC27</f>
        <v>-35.05510204081633</v>
      </c>
      <c r="AB35" s="309">
        <f>SUM(Z35:AA35)</f>
        <v>13.94489795918367</v>
      </c>
      <c r="AC35" s="330">
        <f>AB35/Z35</f>
        <v>0.28458975426905447</v>
      </c>
    </row>
    <row r="36" spans="1:29" ht="15.75" thickBot="1">
      <c r="A36">
        <f t="shared" si="20"/>
        <v>10</v>
      </c>
      <c r="B36" s="343" t="s">
        <v>63</v>
      </c>
      <c r="C36" s="344">
        <v>1</v>
      </c>
      <c r="D36" s="345"/>
      <c r="E36" s="344"/>
      <c r="F36" s="345"/>
      <c r="G36" s="344"/>
      <c r="H36" s="345"/>
      <c r="I36" s="344"/>
      <c r="J36" s="346"/>
      <c r="K36" s="335">
        <f t="shared" si="15"/>
        <v>1</v>
      </c>
      <c r="L36" s="259">
        <f t="shared" si="16"/>
        <v>49</v>
      </c>
      <c r="M36" s="352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192.32999999999998</v>
      </c>
      <c r="Y36" s="302" t="str">
        <f>$P$28</f>
        <v>MIRILLA</v>
      </c>
      <c r="Z36" s="363">
        <v>34</v>
      </c>
      <c r="AA36" s="309">
        <f>-AC28</f>
        <v>-16.755102040816325</v>
      </c>
      <c r="AB36" s="309">
        <f t="shared" ref="AB36:AB38" si="21">SUM(Z36:AA36)</f>
        <v>17.244897959183675</v>
      </c>
      <c r="AC36" s="330">
        <f t="shared" ref="AC36:AC38" si="22">AB36/Z36</f>
        <v>0.50720288115246104</v>
      </c>
    </row>
    <row r="37" spans="1:29" ht="15.75" thickBot="1">
      <c r="A37">
        <f t="shared" si="20"/>
        <v>11</v>
      </c>
      <c r="B37" s="343" t="s">
        <v>46</v>
      </c>
      <c r="C37" s="344"/>
      <c r="D37" s="345"/>
      <c r="E37" s="344"/>
      <c r="F37" s="345">
        <v>1</v>
      </c>
      <c r="G37" s="344"/>
      <c r="H37" s="345">
        <v>1</v>
      </c>
      <c r="I37" s="344"/>
      <c r="J37" s="346"/>
      <c r="K37" s="335">
        <f t="shared" si="15"/>
        <v>2</v>
      </c>
      <c r="L37" s="259">
        <f t="shared" si="16"/>
        <v>63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887.43</v>
      </c>
      <c r="Y37" s="302" t="str">
        <f>$P$29</f>
        <v>SEÑORA</v>
      </c>
      <c r="Z37" s="363">
        <v>29</v>
      </c>
      <c r="AA37" s="309">
        <f>-AC29</f>
        <v>-14.960102040816325</v>
      </c>
      <c r="AB37" s="309">
        <f t="shared" si="21"/>
        <v>14.039897959183675</v>
      </c>
      <c r="AC37" s="330">
        <f t="shared" si="22"/>
        <v>0.48413441238564398</v>
      </c>
    </row>
    <row r="38" spans="1:29" ht="15.75" thickBot="1">
      <c r="A38">
        <f t="shared" si="20"/>
        <v>12</v>
      </c>
      <c r="B38" s="343" t="s">
        <v>59</v>
      </c>
      <c r="C38" s="344"/>
      <c r="D38" s="345">
        <v>1</v>
      </c>
      <c r="E38" s="344"/>
      <c r="F38" s="345"/>
      <c r="G38" s="344"/>
      <c r="H38" s="345"/>
      <c r="I38" s="344"/>
      <c r="J38" s="346"/>
      <c r="K38" s="335">
        <f t="shared" si="15"/>
        <v>1</v>
      </c>
      <c r="L38" s="259">
        <f>IFERROR(((C38+D38)*$Q$3)+((E38+F38)*$Q$4)+((G38+H38)*$Q$5)+((I38+J38)*$Q$6),"-")-9</f>
        <v>40</v>
      </c>
      <c r="M38" s="352"/>
      <c r="W38" s="276">
        <f>Q27*T27+Q28*T28+Q29*T29+Q30*T30+Q31*T31+Q32*T32+W36-W37</f>
        <v>0</v>
      </c>
      <c r="Y38" s="302" t="str">
        <f>$P$30</f>
        <v>CALAVERA</v>
      </c>
      <c r="Z38" s="363">
        <v>29</v>
      </c>
      <c r="AA38" s="320">
        <f>-AC30</f>
        <v>-22.805102040816326</v>
      </c>
      <c r="AB38" s="320">
        <f t="shared" si="21"/>
        <v>6.1948979591836739</v>
      </c>
      <c r="AC38" s="330">
        <f t="shared" si="22"/>
        <v>0.21361717100633359</v>
      </c>
    </row>
    <row r="39" spans="1:29" ht="15.75" thickBot="1">
      <c r="A39">
        <f t="shared" si="20"/>
        <v>13</v>
      </c>
      <c r="B39" s="343" t="s">
        <v>33</v>
      </c>
      <c r="C39" s="344">
        <v>1</v>
      </c>
      <c r="D39" s="345"/>
      <c r="E39" s="344"/>
      <c r="F39" s="345"/>
      <c r="G39" s="344"/>
      <c r="H39" s="345"/>
      <c r="I39" s="344"/>
      <c r="J39" s="346">
        <v>1</v>
      </c>
      <c r="K39" s="335">
        <f t="shared" si="15"/>
        <v>2</v>
      </c>
      <c r="L39" s="259">
        <f t="shared" si="16"/>
        <v>78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5.75" thickBot="1">
      <c r="A40">
        <f t="shared" si="20"/>
        <v>14</v>
      </c>
      <c r="B40" s="343" t="s">
        <v>67</v>
      </c>
      <c r="C40" s="344"/>
      <c r="D40" s="345">
        <v>1</v>
      </c>
      <c r="E40" s="344"/>
      <c r="F40" s="345"/>
      <c r="G40" s="344"/>
      <c r="H40" s="345"/>
      <c r="I40" s="344"/>
      <c r="J40" s="346"/>
      <c r="K40" s="335">
        <f t="shared" si="15"/>
        <v>1</v>
      </c>
      <c r="L40" s="259">
        <f>IFERROR(((C40+D40)*$Q$3)+((E40+F40)*$Q$4)+((G40+H40)*$Q$5)+((I40+J40)*$Q$6),"-")-4</f>
        <v>45</v>
      </c>
      <c r="M40" s="352"/>
      <c r="P40" s="357"/>
      <c r="Q40" s="358"/>
      <c r="R40" s="356"/>
      <c r="S40" s="356"/>
      <c r="T40" s="311">
        <f>SUM(R40:S40)</f>
        <v>0</v>
      </c>
      <c r="U40" s="316" t="str">
        <f>IFERROR($W$49/$T$46,"-")</f>
        <v>-</v>
      </c>
      <c r="V40" s="376" t="str">
        <f>IFERROR(Q40+U40,"-")</f>
        <v>-</v>
      </c>
      <c r="W40" s="252" t="str">
        <f>IFERROR(T40*V40,"-")</f>
        <v>-</v>
      </c>
      <c r="Y40" s="279"/>
      <c r="Z40" s="360"/>
      <c r="AA40" s="319"/>
      <c r="AB40" s="319"/>
      <c r="AC40" s="205"/>
    </row>
    <row r="41" spans="1:29">
      <c r="A41">
        <f t="shared" si="20"/>
        <v>15</v>
      </c>
      <c r="B41" s="343" t="s">
        <v>47</v>
      </c>
      <c r="C41" s="344"/>
      <c r="D41" s="345">
        <v>1</v>
      </c>
      <c r="E41" s="344"/>
      <c r="F41" s="345"/>
      <c r="G41" s="344"/>
      <c r="H41" s="345"/>
      <c r="I41" s="344"/>
      <c r="J41" s="346"/>
      <c r="K41" s="335">
        <f t="shared" si="15"/>
        <v>1</v>
      </c>
      <c r="L41" s="259">
        <f>IFERROR(((C41+D41)*$Q$3)+((E41+F41)*$Q$4)+((G41+H41)*$Q$5)+((I41+J41)*$Q$6),"-")+3.7</f>
        <v>52.7</v>
      </c>
      <c r="M41" s="352"/>
      <c r="P41" s="357"/>
      <c r="Q41" s="358"/>
      <c r="R41" s="359"/>
      <c r="S41" s="359"/>
      <c r="T41" s="310">
        <f t="shared" ref="T41:T45" si="23">SUM(R41:S41)</f>
        <v>0</v>
      </c>
      <c r="U41" s="309" t="str">
        <f>IFERROR($W$49/$T$46,"-")</f>
        <v>-</v>
      </c>
      <c r="V41" s="309" t="str">
        <f>IFERROR(Q41+U41,"-")</f>
        <v>-</v>
      </c>
      <c r="W41" s="252" t="str">
        <f t="shared" ref="W41:W45" si="24">IFERROR(T41*V41,"-")</f>
        <v>-</v>
      </c>
    </row>
    <row r="42" spans="1:29">
      <c r="A42">
        <f t="shared" si="20"/>
        <v>16</v>
      </c>
      <c r="B42" s="343" t="s">
        <v>71</v>
      </c>
      <c r="C42" s="344"/>
      <c r="D42" s="345">
        <v>1</v>
      </c>
      <c r="E42" s="344"/>
      <c r="F42" s="345"/>
      <c r="G42" s="344"/>
      <c r="H42" s="345"/>
      <c r="I42" s="344"/>
      <c r="J42" s="346"/>
      <c r="K42" s="335">
        <f t="shared" si="15"/>
        <v>1</v>
      </c>
      <c r="L42" s="259">
        <f>IFERROR(((C42+D42)*$Q$3)+((E42+F42)*$Q$4)+((G42+H42)*$Q$5)+((I42+J42)*$Q$6),"-")+5.3</f>
        <v>54.3</v>
      </c>
      <c r="M42" s="352"/>
      <c r="P42" s="357"/>
      <c r="Q42" s="358"/>
      <c r="R42" s="359"/>
      <c r="S42" s="359"/>
      <c r="T42" s="310">
        <f t="shared" si="23"/>
        <v>0</v>
      </c>
      <c r="U42" s="309" t="str">
        <f>IFERROR($W$49/$T$46,"-")</f>
        <v>-</v>
      </c>
      <c r="V42" s="309" t="str">
        <f>IFERROR(Q42+U42,"-")</f>
        <v>-</v>
      </c>
      <c r="W42" s="252" t="str">
        <f t="shared" si="24"/>
        <v>-</v>
      </c>
    </row>
    <row r="43" spans="1:29">
      <c r="A43">
        <f t="shared" si="20"/>
        <v>17</v>
      </c>
      <c r="B43" s="343" t="s">
        <v>89</v>
      </c>
      <c r="C43" s="344"/>
      <c r="D43" s="345"/>
      <c r="E43" s="344"/>
      <c r="F43" s="345">
        <v>1</v>
      </c>
      <c r="G43" s="344"/>
      <c r="H43" s="345"/>
      <c r="I43" s="344"/>
      <c r="J43" s="346"/>
      <c r="K43" s="335">
        <f t="shared" si="15"/>
        <v>1</v>
      </c>
      <c r="L43" s="259">
        <f t="shared" si="16"/>
        <v>34</v>
      </c>
      <c r="M43" s="352"/>
      <c r="P43" s="357"/>
      <c r="Q43" s="358"/>
      <c r="R43" s="359"/>
      <c r="S43" s="359"/>
      <c r="T43" s="310">
        <f t="shared" si="23"/>
        <v>0</v>
      </c>
      <c r="U43" s="309" t="str">
        <f>IFERROR($W$49/$T$46,"-")</f>
        <v>-</v>
      </c>
      <c r="V43" s="309" t="str">
        <f>IFERROR(Q43+U43,"-")</f>
        <v>-</v>
      </c>
      <c r="W43" s="252" t="str">
        <f t="shared" si="24"/>
        <v>-</v>
      </c>
    </row>
    <row r="44" spans="1:29">
      <c r="A44">
        <f t="shared" si="20"/>
        <v>18</v>
      </c>
      <c r="B44" s="343" t="s">
        <v>48</v>
      </c>
      <c r="C44" s="344"/>
      <c r="D44" s="345"/>
      <c r="E44" s="344"/>
      <c r="F44" s="345"/>
      <c r="G44" s="344"/>
      <c r="H44" s="345"/>
      <c r="I44" s="344"/>
      <c r="J44" s="346">
        <v>1</v>
      </c>
      <c r="K44" s="335">
        <f t="shared" si="15"/>
        <v>1</v>
      </c>
      <c r="L44" s="259">
        <f t="shared" si="16"/>
        <v>29</v>
      </c>
      <c r="M44" s="352"/>
      <c r="P44" s="343"/>
      <c r="Q44" s="359"/>
      <c r="R44" s="359"/>
      <c r="S44" s="359"/>
      <c r="T44" s="310">
        <f t="shared" si="23"/>
        <v>0</v>
      </c>
      <c r="U44" s="309"/>
      <c r="V44" s="309">
        <f>IFERROR(Q44+U44,"-")</f>
        <v>0</v>
      </c>
      <c r="W44" s="252">
        <f t="shared" si="24"/>
        <v>0</v>
      </c>
    </row>
    <row r="45" spans="1:29" ht="15.75" thickBot="1">
      <c r="A45">
        <f t="shared" si="20"/>
        <v>19</v>
      </c>
      <c r="B45" s="343" t="s">
        <v>83</v>
      </c>
      <c r="C45" s="344"/>
      <c r="D45" s="345">
        <v>1</v>
      </c>
      <c r="E45" s="344"/>
      <c r="F45" s="345"/>
      <c r="G45" s="344"/>
      <c r="H45" s="345"/>
      <c r="I45" s="344"/>
      <c r="J45" s="346"/>
      <c r="K45" s="335">
        <f t="shared" si="15"/>
        <v>1</v>
      </c>
      <c r="L45" s="259">
        <f t="shared" si="16"/>
        <v>49</v>
      </c>
      <c r="M45" s="352"/>
      <c r="P45" s="347"/>
      <c r="Q45" s="360"/>
      <c r="R45" s="360"/>
      <c r="S45" s="360"/>
      <c r="T45" s="312">
        <f t="shared" si="23"/>
        <v>0</v>
      </c>
      <c r="U45" s="328"/>
      <c r="V45" s="328">
        <f>IFERROR(Q45+U45,"-")</f>
        <v>0</v>
      </c>
      <c r="W45" s="253">
        <f t="shared" si="24"/>
        <v>0</v>
      </c>
    </row>
    <row r="46" spans="1:29">
      <c r="A46">
        <f t="shared" si="20"/>
        <v>20</v>
      </c>
      <c r="B46" s="343" t="s">
        <v>54</v>
      </c>
      <c r="C46" s="344">
        <v>1</v>
      </c>
      <c r="D46" s="345"/>
      <c r="E46" s="344"/>
      <c r="F46" s="345"/>
      <c r="G46" s="344"/>
      <c r="H46" s="345"/>
      <c r="I46" s="344"/>
      <c r="J46" s="346"/>
      <c r="K46" s="335">
        <f t="shared" si="15"/>
        <v>1</v>
      </c>
      <c r="L46" s="259">
        <f>IFERROR(((C46+D46)*$Q$12)+((E46+F46)*$Q$13)+((G46+H46)*$Q$14)+((I46+J46)*$Q$15),"-")</f>
        <v>39</v>
      </c>
      <c r="M46" s="352"/>
      <c r="P46" s="313" t="s">
        <v>113</v>
      </c>
      <c r="Q46" s="308"/>
      <c r="R46" s="308"/>
      <c r="S46" s="308"/>
      <c r="T46" s="308">
        <f>SUM(T40:T45)</f>
        <v>0</v>
      </c>
      <c r="U46" s="329"/>
      <c r="V46" s="308"/>
      <c r="W46" s="314">
        <f>SUM(W40:W45)</f>
        <v>0</v>
      </c>
    </row>
    <row r="47" spans="1:29">
      <c r="A47">
        <f t="shared" si="20"/>
        <v>21</v>
      </c>
      <c r="B47" s="343" t="s">
        <v>42</v>
      </c>
      <c r="C47" s="344"/>
      <c r="D47" s="345"/>
      <c r="E47" s="344">
        <v>1</v>
      </c>
      <c r="F47" s="345"/>
      <c r="G47" s="344"/>
      <c r="H47" s="345"/>
      <c r="I47" s="344"/>
      <c r="J47" s="346"/>
      <c r="K47" s="335">
        <f t="shared" si="15"/>
        <v>1</v>
      </c>
      <c r="L47" s="259">
        <f t="shared" ref="L47:L61" si="25">IFERROR(((C47+D47)*$Q$12)+((E47+F47)*$Q$13)+((G47+H47)*$Q$14)+((I47+J47)*$Q$15),"-")</f>
        <v>27</v>
      </c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>
      <c r="A48">
        <f t="shared" si="20"/>
        <v>22</v>
      </c>
      <c r="B48" s="343" t="s">
        <v>20</v>
      </c>
      <c r="C48" s="344"/>
      <c r="D48" s="345">
        <v>1</v>
      </c>
      <c r="E48" s="344"/>
      <c r="F48" s="345"/>
      <c r="G48" s="344"/>
      <c r="H48" s="345"/>
      <c r="I48" s="344"/>
      <c r="J48" s="346"/>
      <c r="K48" s="335">
        <f t="shared" si="15"/>
        <v>1</v>
      </c>
      <c r="L48" s="259">
        <f t="shared" si="25"/>
        <v>39</v>
      </c>
      <c r="M48" s="352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5.75" thickBot="1">
      <c r="A49">
        <f t="shared" si="20"/>
        <v>23</v>
      </c>
      <c r="B49" s="343" t="s">
        <v>40</v>
      </c>
      <c r="C49" s="344"/>
      <c r="D49" s="345"/>
      <c r="E49" s="344">
        <v>1</v>
      </c>
      <c r="F49" s="345">
        <v>1</v>
      </c>
      <c r="G49" s="344"/>
      <c r="H49" s="345">
        <v>1</v>
      </c>
      <c r="I49" s="344"/>
      <c r="J49" s="346"/>
      <c r="K49" s="335">
        <f t="shared" si="15"/>
        <v>3</v>
      </c>
      <c r="L49" s="259">
        <f>IFERROR(((C49+D49)*$Q$12)+((E49+F49)*$Q$13)+((G49+H49)*$Q$14)+((I49+J49)*$Q$15),"-")-4</f>
        <v>73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5.75" thickBot="1">
      <c r="A50">
        <f t="shared" si="20"/>
        <v>24</v>
      </c>
      <c r="B50" s="343" t="s">
        <v>31</v>
      </c>
      <c r="C50" s="344"/>
      <c r="D50" s="345"/>
      <c r="E50" s="344">
        <v>1</v>
      </c>
      <c r="F50" s="345">
        <v>1</v>
      </c>
      <c r="G50" s="344">
        <v>2</v>
      </c>
      <c r="H50" s="345"/>
      <c r="I50" s="344"/>
      <c r="J50" s="346"/>
      <c r="K50" s="335">
        <f t="shared" si="15"/>
        <v>4</v>
      </c>
      <c r="L50" s="259">
        <f t="shared" si="25"/>
        <v>100</v>
      </c>
      <c r="M50" s="352"/>
      <c r="P50" s="305" t="s">
        <v>132</v>
      </c>
      <c r="Q50" s="306"/>
      <c r="R50" s="306"/>
      <c r="S50" s="306"/>
      <c r="T50" s="306"/>
      <c r="U50" s="306"/>
      <c r="V50" s="306"/>
      <c r="W50" s="307">
        <f>-W46</f>
        <v>0</v>
      </c>
    </row>
    <row r="51" spans="1:23" ht="15.75" thickBot="1">
      <c r="A51">
        <f t="shared" si="20"/>
        <v>25</v>
      </c>
      <c r="B51" s="343" t="s">
        <v>37</v>
      </c>
      <c r="C51" s="344"/>
      <c r="D51" s="345"/>
      <c r="E51" s="344">
        <v>1</v>
      </c>
      <c r="F51" s="345"/>
      <c r="G51" s="344"/>
      <c r="H51" s="345"/>
      <c r="I51" s="344"/>
      <c r="J51" s="346"/>
      <c r="K51" s="335">
        <f t="shared" si="15"/>
        <v>1</v>
      </c>
      <c r="L51" s="259">
        <f>IFERROR(((C51+D51)*$Q$12)+((E51+F51)*$Q$13)+((G51+H51)*$Q$14)+((I51+J51)*$Q$15),"-")-2</f>
        <v>25</v>
      </c>
      <c r="M51" s="352"/>
      <c r="W51" s="276">
        <f>Q40*T40+Q41*T41+Q42*T42+Q43*T43+Q44*T44+Q45*T45+W49+W50</f>
        <v>0</v>
      </c>
    </row>
    <row r="52" spans="1:23" ht="15.75" thickBot="1">
      <c r="A52">
        <f t="shared" si="20"/>
        <v>26</v>
      </c>
      <c r="B52" s="343" t="s">
        <v>50</v>
      </c>
      <c r="C52" s="344"/>
      <c r="D52" s="345"/>
      <c r="E52" s="344"/>
      <c r="F52" s="345">
        <v>1</v>
      </c>
      <c r="G52" s="344"/>
      <c r="H52" s="345"/>
      <c r="I52" s="344"/>
      <c r="J52" s="346"/>
      <c r="K52" s="335">
        <f t="shared" si="15"/>
        <v>1</v>
      </c>
      <c r="L52" s="259">
        <f>IFERROR(((C52+D52)*$Q$12)+((E52+F52)*$Q$13)+((G52+H52)*$Q$14)+((I52+J52)*$Q$15),"-")-2</f>
        <v>25</v>
      </c>
      <c r="M52" s="352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887.43</v>
      </c>
    </row>
    <row r="53" spans="1:23" ht="15.75" thickBot="1">
      <c r="A53">
        <f t="shared" si="20"/>
        <v>27</v>
      </c>
      <c r="B53" s="343" t="s">
        <v>36</v>
      </c>
      <c r="C53" s="344"/>
      <c r="D53" s="345"/>
      <c r="E53" s="344">
        <v>1</v>
      </c>
      <c r="F53" s="345"/>
      <c r="G53" s="344"/>
      <c r="H53" s="345"/>
      <c r="I53" s="344"/>
      <c r="J53" s="346"/>
      <c r="K53" s="335">
        <f t="shared" si="15"/>
        <v>1</v>
      </c>
      <c r="L53" s="259">
        <f>IFERROR(((C53+D53)*$Q$12)+((E53+F53)*$Q$13)+((G53+H53)*$Q$14)+((I53+J53)*$Q$15),"-")-2</f>
        <v>25</v>
      </c>
      <c r="M53" s="352"/>
    </row>
    <row r="54" spans="1:23" ht="15.75" thickBot="1">
      <c r="A54">
        <f t="shared" si="20"/>
        <v>28</v>
      </c>
      <c r="B54" s="343"/>
      <c r="C54" s="344"/>
      <c r="D54" s="345"/>
      <c r="E54" s="344"/>
      <c r="F54" s="345"/>
      <c r="G54" s="344"/>
      <c r="H54" s="345"/>
      <c r="I54" s="344"/>
      <c r="J54" s="346"/>
      <c r="K54" s="335">
        <f t="shared" si="15"/>
        <v>0</v>
      </c>
      <c r="L54" s="259">
        <f t="shared" si="25"/>
        <v>0</v>
      </c>
      <c r="M54" s="352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>
      <c r="A55">
        <f t="shared" si="20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35">
        <f t="shared" si="15"/>
        <v>0</v>
      </c>
      <c r="L55" s="259">
        <f t="shared" si="25"/>
        <v>0</v>
      </c>
      <c r="M55" s="352"/>
      <c r="P55" s="302" t="str">
        <f>$P$27</f>
        <v>OJOS</v>
      </c>
      <c r="Q55" s="358">
        <v>3</v>
      </c>
      <c r="R55" s="310">
        <f>T27</f>
        <v>14</v>
      </c>
      <c r="S55" s="309">
        <f>IFERROR(((Q55*R55)*0.21)/R55,"-")</f>
        <v>0.63</v>
      </c>
      <c r="T55" s="309">
        <f>IFERROR(Q55+S55,"-")</f>
        <v>3.63</v>
      </c>
      <c r="U55" s="252">
        <f>IFERROR(R55*T55,"-")</f>
        <v>50.82</v>
      </c>
    </row>
    <row r="56" spans="1:23">
      <c r="A56">
        <f t="shared" si="20"/>
        <v>30</v>
      </c>
      <c r="B56" s="343"/>
      <c r="C56" s="344"/>
      <c r="D56" s="345"/>
      <c r="E56" s="344"/>
      <c r="F56" s="345"/>
      <c r="G56" s="344"/>
      <c r="H56" s="345"/>
      <c r="I56" s="344"/>
      <c r="J56" s="346"/>
      <c r="K56" s="335">
        <f t="shared" si="15"/>
        <v>0</v>
      </c>
      <c r="L56" s="259">
        <f t="shared" si="25"/>
        <v>0</v>
      </c>
      <c r="M56" s="352"/>
      <c r="P56" s="302" t="str">
        <f>$P$28</f>
        <v>MIRILLA</v>
      </c>
      <c r="Q56" s="358">
        <v>3</v>
      </c>
      <c r="R56" s="310">
        <v>34</v>
      </c>
      <c r="S56" s="309">
        <f>IFERROR(((Q56*R56)*0.21)/R56,"-")</f>
        <v>0.62999999999999989</v>
      </c>
      <c r="T56" s="309">
        <f>IFERROR(Q56+S56,"-")</f>
        <v>3.63</v>
      </c>
      <c r="U56" s="252">
        <f>IFERROR(R56*T56,"-")</f>
        <v>123.42</v>
      </c>
    </row>
    <row r="57" spans="1:23">
      <c r="A57">
        <f t="shared" si="20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35">
        <f t="shared" si="15"/>
        <v>0</v>
      </c>
      <c r="L57" s="259">
        <f t="shared" si="25"/>
        <v>0</v>
      </c>
      <c r="M57" s="352"/>
      <c r="P57" s="302" t="str">
        <f>$P$29</f>
        <v>SEÑORA</v>
      </c>
      <c r="Q57" s="358">
        <v>2.5</v>
      </c>
      <c r="R57" s="310">
        <v>11</v>
      </c>
      <c r="S57" s="309">
        <f>IFERROR(((Q57*R57)*0.21)/R57,"-")</f>
        <v>0.52499999999999991</v>
      </c>
      <c r="T57" s="309">
        <f>IFERROR(Q57+S57,"-")</f>
        <v>3.0249999999999999</v>
      </c>
      <c r="U57" s="252">
        <f>IFERROR(R57*T57,"-")</f>
        <v>33.274999999999999</v>
      </c>
    </row>
    <row r="58" spans="1:23">
      <c r="A58">
        <f t="shared" si="20"/>
        <v>32</v>
      </c>
      <c r="B58" s="343"/>
      <c r="C58" s="344"/>
      <c r="D58" s="345"/>
      <c r="E58" s="344"/>
      <c r="F58" s="345"/>
      <c r="G58" s="344"/>
      <c r="H58" s="345"/>
      <c r="I58" s="344"/>
      <c r="J58" s="346"/>
      <c r="K58" s="335">
        <f t="shared" si="15"/>
        <v>0</v>
      </c>
      <c r="L58" s="259">
        <f t="shared" si="25"/>
        <v>0</v>
      </c>
      <c r="M58" s="352"/>
      <c r="P58" s="302" t="str">
        <f>$P$30</f>
        <v>CALAVERA</v>
      </c>
      <c r="Q58" s="358">
        <v>8</v>
      </c>
      <c r="R58" s="310">
        <f>T30</f>
        <v>4</v>
      </c>
      <c r="S58" s="320">
        <f>IFERROR(((Q58*R58)*0.21)/R58,"-")</f>
        <v>1.68</v>
      </c>
      <c r="T58" s="309">
        <f>IFERROR(Q58+S58,"-")</f>
        <v>9.68</v>
      </c>
      <c r="U58" s="252">
        <f>IFERROR(R58*T58,"-")</f>
        <v>38.72</v>
      </c>
    </row>
    <row r="59" spans="1:23">
      <c r="A59">
        <f t="shared" si="20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35">
        <f t="shared" si="15"/>
        <v>0</v>
      </c>
      <c r="L59" s="259">
        <f t="shared" si="25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5.75" thickBot="1">
      <c r="A60">
        <f t="shared" si="20"/>
        <v>34</v>
      </c>
      <c r="B60" s="343"/>
      <c r="C60" s="344"/>
      <c r="D60" s="345"/>
      <c r="E60" s="344"/>
      <c r="F60" s="345"/>
      <c r="G60" s="344"/>
      <c r="H60" s="345"/>
      <c r="I60" s="344"/>
      <c r="J60" s="346"/>
      <c r="K60" s="335">
        <f t="shared" si="15"/>
        <v>0</v>
      </c>
      <c r="L60" s="259">
        <f t="shared" si="25"/>
        <v>0</v>
      </c>
      <c r="M60" s="352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5.75" thickBot="1">
      <c r="A61">
        <f t="shared" si="20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36">
        <f t="shared" si="15"/>
        <v>0</v>
      </c>
      <c r="L61" s="261">
        <f t="shared" si="25"/>
        <v>0</v>
      </c>
      <c r="M61" s="353"/>
      <c r="P61" s="305" t="s">
        <v>112</v>
      </c>
      <c r="Q61" s="306"/>
      <c r="R61" s="306">
        <f>SUM(R55:R60)</f>
        <v>63</v>
      </c>
      <c r="S61" s="321"/>
      <c r="T61" s="321"/>
      <c r="U61" s="307">
        <f>SUM(U55:U60)</f>
        <v>246.23500000000001</v>
      </c>
    </row>
    <row r="65" spans="1:7" ht="15.95" customHeight="1">
      <c r="A65" s="364">
        <v>1</v>
      </c>
      <c r="B65" s="364" t="str">
        <f>B27</f>
        <v>ANGEL AMIGO JACO</v>
      </c>
      <c r="C65" s="364" t="str">
        <f>_xlfn.TEXTJOIN(", ",TRUE,
IF(OR(C27&gt;0,E27&gt;0,G27&gt;0,I27&gt;0),"M",""),
IF(OR(D27&gt;0,F27&gt;0,H27&gt;0,J27&gt;0),"L","")
)</f>
        <v>M, L</v>
      </c>
      <c r="D65" s="364">
        <f>IF(C65="M",1,IF(C65="L",2,IF(C65="M, L",3)))</f>
        <v>3</v>
      </c>
      <c r="E65" s="365">
        <f>K27</f>
        <v>2</v>
      </c>
      <c r="F65" s="366">
        <f>L27</f>
        <v>78</v>
      </c>
      <c r="G65" s="364" t="str">
        <f>$B$2</f>
        <v>DROP 2</v>
      </c>
    </row>
    <row r="66" spans="1:7" ht="17.100000000000001" customHeight="1">
      <c r="A66" s="364">
        <v>2</v>
      </c>
      <c r="B66" s="364" t="str">
        <f>B28</f>
        <v>DIEGO AMIGO JACO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2</v>
      </c>
      <c r="F66" s="366">
        <f>L28</f>
        <v>63</v>
      </c>
      <c r="G66" s="364" t="str">
        <f t="shared" ref="G66:G99" si="26">$B$2</f>
        <v>DROP 2</v>
      </c>
    </row>
    <row r="67" spans="1:7" ht="15.95" customHeight="1">
      <c r="A67" s="364">
        <v>3</v>
      </c>
      <c r="B67" s="364" t="str">
        <f>B29</f>
        <v>JUANMA</v>
      </c>
      <c r="C67" s="364" t="str">
        <f>_xlfn.TEXTJOIN(", ",TRUE,
IF(OR(C29&gt;0,E29&gt;0,G29&gt;0,I29&gt;0),"M",""),
IF(OR(D29&gt;0,F29&gt;0,H29&gt;0,J29&gt;0),"L","")
)</f>
        <v>M</v>
      </c>
      <c r="D67" s="364">
        <f>IF(C67="M",1,IF(C67="L",2,IF(C67="M, L",3)))</f>
        <v>1</v>
      </c>
      <c r="E67" s="365">
        <f>K29</f>
        <v>1</v>
      </c>
      <c r="F67" s="366">
        <f>L29</f>
        <v>29</v>
      </c>
      <c r="G67" s="364" t="str">
        <f t="shared" si="26"/>
        <v>DROP 2</v>
      </c>
    </row>
    <row r="68" spans="1:7" ht="17.100000000000001" customHeight="1">
      <c r="A68" s="364">
        <f>A67+1</f>
        <v>4</v>
      </c>
      <c r="B68" s="364" t="str">
        <f>B30</f>
        <v>JUANTO</v>
      </c>
      <c r="C68" s="364" t="str">
        <f>_xlfn.TEXTJOIN(", ",TRUE,
IF(OR(C30&gt;0,E30&gt;0,G30&gt;0,I30&gt;0),"M",""),
IF(OR(D30&gt;0,F30&gt;0,H30&gt;0,J30&gt;0),"L","")
)</f>
        <v>M</v>
      </c>
      <c r="D68" s="364">
        <f>IF(C68="M",1,IF(C68="L",2,IF(C68="M, L",3)))</f>
        <v>1</v>
      </c>
      <c r="E68" s="365">
        <f>K30</f>
        <v>2</v>
      </c>
      <c r="F68" s="366">
        <f>L30</f>
        <v>63</v>
      </c>
      <c r="G68" s="364" t="str">
        <f t="shared" si="26"/>
        <v>DROP 2</v>
      </c>
    </row>
    <row r="69" spans="1:7" ht="15.95" customHeight="1">
      <c r="A69" s="364">
        <f t="shared" ref="A69:A99" si="27">A68+1</f>
        <v>5</v>
      </c>
      <c r="B69" s="364" t="str">
        <f>B31</f>
        <v>JORGE PUIG</v>
      </c>
      <c r="C69" s="364" t="str">
        <f>_xlfn.TEXTJOIN(", ",TRUE,
IF(OR(C31&gt;0,E31&gt;0,G31&gt;0,I31&gt;0),"M",""),
IF(OR(D31&gt;0,F31&gt;0,H31&gt;0,J31&gt;0),"L","")
)</f>
        <v>M</v>
      </c>
      <c r="D69" s="364">
        <f>IF(C69="M",1,IF(C69="L",2,IF(C69="M, L",3)))</f>
        <v>1</v>
      </c>
      <c r="E69" s="365">
        <f>K31</f>
        <v>1</v>
      </c>
      <c r="F69" s="366">
        <f>L31</f>
        <v>49</v>
      </c>
      <c r="G69" s="364" t="str">
        <f t="shared" si="26"/>
        <v>DROP 2</v>
      </c>
    </row>
    <row r="70" spans="1:7" ht="17.100000000000001" customHeight="1">
      <c r="A70" s="364">
        <f t="shared" si="27"/>
        <v>6</v>
      </c>
      <c r="B70" s="364" t="str">
        <f>B32</f>
        <v>NACHO PEREZ</v>
      </c>
      <c r="C70" s="364" t="str">
        <f>_xlfn.TEXTJOIN(", ",TRUE,
IF(OR(C32&gt;0,E32&gt;0,G32&gt;0,I32&gt;0),"M",""),
IF(OR(D32&gt;0,F32&gt;0,H32&gt;0,J32&gt;0),"L","")
)</f>
        <v>L</v>
      </c>
      <c r="D70" s="364">
        <f>IF(C70="M",1,IF(C70="L",2,IF(C70="M, L",3)))</f>
        <v>2</v>
      </c>
      <c r="E70" s="365">
        <f>K32</f>
        <v>1</v>
      </c>
      <c r="F70" s="366">
        <f>L32</f>
        <v>34</v>
      </c>
      <c r="G70" s="364" t="str">
        <f t="shared" si="26"/>
        <v>DROP 2</v>
      </c>
    </row>
    <row r="71" spans="1:7" ht="15.95" customHeight="1">
      <c r="A71" s="364">
        <f t="shared" si="27"/>
        <v>7</v>
      </c>
      <c r="B71" s="364" t="str">
        <f>B33</f>
        <v>PETER</v>
      </c>
      <c r="C71" s="364" t="str">
        <f>_xlfn.TEXTJOIN(", ",TRUE,
IF(OR(C33&gt;0,E33&gt;0,G33&gt;0,I33&gt;0),"M",""),
IF(OR(D33&gt;0,F33&gt;0,H33&gt;0,J33&gt;0),"L","")
)</f>
        <v>M</v>
      </c>
      <c r="D71" s="364">
        <f>IF(C71="M",1,IF(C71="L",2,IF(C71="M, L",3)))</f>
        <v>1</v>
      </c>
      <c r="E71" s="365">
        <f>K33</f>
        <v>1</v>
      </c>
      <c r="F71" s="366">
        <f>L33</f>
        <v>34</v>
      </c>
      <c r="G71" s="364" t="str">
        <f t="shared" si="26"/>
        <v>DROP 2</v>
      </c>
    </row>
    <row r="72" spans="1:7" ht="17.100000000000001" customHeight="1">
      <c r="A72" s="364">
        <f t="shared" si="27"/>
        <v>8</v>
      </c>
      <c r="B72" s="364" t="str">
        <f>B34</f>
        <v>BARALLOBRE</v>
      </c>
      <c r="C72" s="364" t="str">
        <f>_xlfn.TEXTJOIN(", ",TRUE,
IF(OR(C34&gt;0,E34&gt;0,G34&gt;0,I34&gt;0),"M",""),
IF(OR(D34&gt;0,F34&gt;0,H34&gt;0,J34&gt;0),"L","")
)</f>
        <v>L</v>
      </c>
      <c r="D72" s="364">
        <f>IF(C72="M",1,IF(C72="L",2,IF(C72="M, L",3)))</f>
        <v>2</v>
      </c>
      <c r="E72" s="365">
        <f>K34</f>
        <v>1</v>
      </c>
      <c r="F72" s="366">
        <f>L34</f>
        <v>29</v>
      </c>
      <c r="G72" s="364" t="str">
        <f t="shared" si="26"/>
        <v>DROP 2</v>
      </c>
    </row>
    <row r="73" spans="1:7" ht="15.95" customHeight="1">
      <c r="A73" s="364">
        <f t="shared" si="27"/>
        <v>9</v>
      </c>
      <c r="B73" s="364" t="str">
        <f>B35</f>
        <v>PUIG AMIGO JACO</v>
      </c>
      <c r="C73" s="364" t="str">
        <f>_xlfn.TEXTJOIN(", ",TRUE,
IF(OR(C35&gt;0,E35&gt;0,G35&gt;0,I35&gt;0),"M",""),
IF(OR(D35&gt;0,F35&gt;0,H35&gt;0,J35&gt;0),"L","")
)</f>
        <v>M</v>
      </c>
      <c r="D73" s="364">
        <f>IF(C73="M",1,IF(C73="L",2,IF(C73="M, L",3)))</f>
        <v>1</v>
      </c>
      <c r="E73" s="365">
        <f>K35</f>
        <v>2</v>
      </c>
      <c r="F73" s="366">
        <f>L35</f>
        <v>78</v>
      </c>
      <c r="G73" s="364" t="str">
        <f t="shared" si="26"/>
        <v>DROP 2</v>
      </c>
    </row>
    <row r="74" spans="1:7" ht="17.100000000000001" customHeight="1">
      <c r="A74" s="364">
        <f t="shared" si="27"/>
        <v>10</v>
      </c>
      <c r="B74" s="364" t="str">
        <f>B36</f>
        <v>FORMARIZ</v>
      </c>
      <c r="C74" s="364" t="str">
        <f>_xlfn.TEXTJOIN(", ",TRUE,
IF(OR(C36&gt;0,E36&gt;0,G36&gt;0,I36&gt;0),"M",""),
IF(OR(D36&gt;0,F36&gt;0,H36&gt;0,J36&gt;0),"L","")
)</f>
        <v>M</v>
      </c>
      <c r="D74" s="364">
        <f>IF(C74="M",1,IF(C74="L",2,IF(C74="M, L",3)))</f>
        <v>1</v>
      </c>
      <c r="E74" s="365">
        <f>K36</f>
        <v>1</v>
      </c>
      <c r="F74" s="366">
        <f>L36</f>
        <v>49</v>
      </c>
      <c r="G74" s="364" t="str">
        <f t="shared" si="26"/>
        <v>DROP 2</v>
      </c>
    </row>
    <row r="75" spans="1:7" ht="15.95" customHeight="1">
      <c r="A75" s="364">
        <f t="shared" si="27"/>
        <v>11</v>
      </c>
      <c r="B75" s="364" t="str">
        <f>B37</f>
        <v>DOMINGUEZ</v>
      </c>
      <c r="C75" s="364" t="str">
        <f>_xlfn.TEXTJOIN(", ",TRUE,
IF(OR(C37&gt;0,E37&gt;0,G37&gt;0,I37&gt;0),"M",""),
IF(OR(D37&gt;0,F37&gt;0,H37&gt;0,J37&gt;0),"L","")
)</f>
        <v>L</v>
      </c>
      <c r="D75" s="364">
        <f>IF(C75="M",1,IF(C75="L",2,IF(C75="M, L",3)))</f>
        <v>2</v>
      </c>
      <c r="E75" s="365">
        <f>K37</f>
        <v>2</v>
      </c>
      <c r="F75" s="366">
        <f>L37</f>
        <v>63</v>
      </c>
      <c r="G75" s="364" t="str">
        <f t="shared" si="26"/>
        <v>DROP 2</v>
      </c>
    </row>
    <row r="76" spans="1:7" ht="17.100000000000001" customHeight="1">
      <c r="A76" s="364">
        <f t="shared" si="27"/>
        <v>12</v>
      </c>
      <c r="B76" s="364" t="str">
        <f>B38</f>
        <v>IÑIGO</v>
      </c>
      <c r="C76" s="364" t="str">
        <f>_xlfn.TEXTJOIN(", ",TRUE,
IF(OR(C38&gt;0,E38&gt;0,G38&gt;0,I38&gt;0),"M",""),
IF(OR(D38&gt;0,F38&gt;0,H38&gt;0,J38&gt;0),"L","")
)</f>
        <v>L</v>
      </c>
      <c r="D76" s="364">
        <f>IF(C76="M",1,IF(C76="L",2,IF(C76="M, L",3)))</f>
        <v>2</v>
      </c>
      <c r="E76" s="365">
        <f>K38</f>
        <v>1</v>
      </c>
      <c r="F76" s="366">
        <f>L38</f>
        <v>40</v>
      </c>
      <c r="G76" s="364" t="str">
        <f t="shared" si="26"/>
        <v>DROP 2</v>
      </c>
    </row>
    <row r="77" spans="1:7" ht="15.95" customHeight="1">
      <c r="A77" s="364">
        <f t="shared" si="27"/>
        <v>13</v>
      </c>
      <c r="B77" s="364" t="str">
        <f>B39</f>
        <v>MUÑOZ</v>
      </c>
      <c r="C77" s="364" t="s">
        <v>13</v>
      </c>
      <c r="D77" s="364">
        <f>IF(C77="M",1,IF(C77="L",2,IF(C77="M, L",3)))</f>
        <v>2</v>
      </c>
      <c r="E77" s="365">
        <f>K39</f>
        <v>2</v>
      </c>
      <c r="F77" s="366">
        <f>L39</f>
        <v>78</v>
      </c>
      <c r="G77" s="364" t="str">
        <f t="shared" si="26"/>
        <v>DROP 2</v>
      </c>
    </row>
    <row r="78" spans="1:7" ht="17.100000000000001" customHeight="1">
      <c r="A78" s="364">
        <f t="shared" si="27"/>
        <v>14</v>
      </c>
      <c r="B78" s="364" t="str">
        <f>B40</f>
        <v>TITO</v>
      </c>
      <c r="C78" s="364" t="str">
        <f>_xlfn.TEXTJOIN(", ",TRUE,
IF(OR(C40&gt;0,E40&gt;0,G40&gt;0,I40&gt;0),"M",""),
IF(OR(D40&gt;0,F40&gt;0,H40&gt;0,J40&gt;0),"L","")
)</f>
        <v>L</v>
      </c>
      <c r="D78" s="364">
        <f>IF(C78="M",1,IF(C78="L",2,IF(C78="M, L",3)))</f>
        <v>2</v>
      </c>
      <c r="E78" s="365">
        <f>K40</f>
        <v>1</v>
      </c>
      <c r="F78" s="366">
        <f>L40</f>
        <v>45</v>
      </c>
      <c r="G78" s="364" t="str">
        <f t="shared" si="26"/>
        <v>DROP 2</v>
      </c>
    </row>
    <row r="79" spans="1:7" ht="15.95" customHeight="1">
      <c r="A79" s="364">
        <f t="shared" si="27"/>
        <v>15</v>
      </c>
      <c r="B79" s="364" t="str">
        <f>B41</f>
        <v>CARLOTA DEL OLMO</v>
      </c>
      <c r="C79" s="364" t="str">
        <f>_xlfn.TEXTJOIN(", ",TRUE,
IF(OR(C41&gt;0,E41&gt;0,G41&gt;0,I41&gt;0),"M",""),
IF(OR(D41&gt;0,F41&gt;0,H41&gt;0,J41&gt;0),"L","")
)</f>
        <v>L</v>
      </c>
      <c r="D79" s="364">
        <f>IF(C79="M",1,IF(C79="L",2,IF(C79="M, L",3)))</f>
        <v>2</v>
      </c>
      <c r="E79" s="365">
        <f>K41</f>
        <v>1</v>
      </c>
      <c r="F79" s="366">
        <f>L41</f>
        <v>52.7</v>
      </c>
      <c r="G79" s="364" t="str">
        <f t="shared" si="26"/>
        <v>DROP 2</v>
      </c>
    </row>
    <row r="80" spans="1:7" ht="17.100000000000001" customHeight="1">
      <c r="A80" s="364">
        <f t="shared" si="27"/>
        <v>16</v>
      </c>
      <c r="B80" s="364" t="str">
        <f>B42</f>
        <v>GENOVEVA</v>
      </c>
      <c r="C80" s="364" t="str">
        <f>_xlfn.TEXTJOIN(", ",TRUE,
IF(OR(C42&gt;0,E42&gt;0,G42&gt;0,I42&gt;0),"M",""),
IF(OR(D42&gt;0,F42&gt;0,H42&gt;0,J42&gt;0),"L","")
)</f>
        <v>L</v>
      </c>
      <c r="D80" s="364">
        <f>IF(C80="M",1,IF(C80="L",2,IF(C80="M, L",3)))</f>
        <v>2</v>
      </c>
      <c r="E80" s="365">
        <f>K42</f>
        <v>1</v>
      </c>
      <c r="F80" s="366">
        <f>L42</f>
        <v>54.3</v>
      </c>
      <c r="G80" s="364" t="str">
        <f t="shared" si="26"/>
        <v>DROP 2</v>
      </c>
    </row>
    <row r="81" spans="1:7" ht="15.95" customHeight="1">
      <c r="A81" s="364">
        <f t="shared" si="27"/>
        <v>17</v>
      </c>
      <c r="B81" s="364" t="str">
        <f t="shared" ref="B81:B99" si="28">B43</f>
        <v>RODRI AMIGO JACO</v>
      </c>
      <c r="C81" s="364" t="str">
        <f t="shared" ref="C81:C99" si="29">_xlfn.TEXTJOIN(", ",TRUE,
IF(OR(C43&gt;0,E43&gt;0,G43&gt;0,I43&gt;0),"M",""),
IF(OR(D43&gt;0,F43&gt;0,H43&gt;0,J43&gt;0),"L","")
)</f>
        <v>L</v>
      </c>
      <c r="D81" s="364">
        <f>IF(C81="M",1,IF(C81="L",2,IF(C81="M, L",3)))</f>
        <v>2</v>
      </c>
      <c r="E81" s="365">
        <f>K43</f>
        <v>1</v>
      </c>
      <c r="F81" s="366">
        <f>L43</f>
        <v>34</v>
      </c>
      <c r="G81" s="364" t="str">
        <f t="shared" si="26"/>
        <v>DROP 2</v>
      </c>
    </row>
    <row r="82" spans="1:7" ht="17.100000000000001" customHeight="1">
      <c r="A82" s="364">
        <f t="shared" si="27"/>
        <v>18</v>
      </c>
      <c r="B82" s="364" t="str">
        <f t="shared" si="28"/>
        <v>CASAPE</v>
      </c>
      <c r="C82" s="364" t="str">
        <f t="shared" si="29"/>
        <v>L</v>
      </c>
      <c r="D82" s="364">
        <f>IF(C82="M",1,IF(C82="L",2,IF(C82="M, L",3)))</f>
        <v>2</v>
      </c>
      <c r="E82" s="365">
        <f>K44</f>
        <v>1</v>
      </c>
      <c r="F82" s="366">
        <f>L44</f>
        <v>29</v>
      </c>
      <c r="G82" s="364" t="str">
        <f t="shared" si="26"/>
        <v>DROP 2</v>
      </c>
    </row>
    <row r="83" spans="1:7" ht="15.95" customHeight="1">
      <c r="A83" s="364">
        <f t="shared" si="27"/>
        <v>19</v>
      </c>
      <c r="B83" s="364" t="str">
        <f t="shared" si="28"/>
        <v>MARIO MIRON</v>
      </c>
      <c r="C83" s="364" t="str">
        <f t="shared" si="29"/>
        <v>L</v>
      </c>
      <c r="D83" s="364">
        <f>IF(C83="M",1,IF(C83="L",2,IF(C83="M, L",3)))</f>
        <v>2</v>
      </c>
      <c r="E83" s="365">
        <f>K45</f>
        <v>1</v>
      </c>
      <c r="F83" s="366">
        <f>L45</f>
        <v>49</v>
      </c>
      <c r="G83" s="364" t="str">
        <f t="shared" si="26"/>
        <v>DROP 2</v>
      </c>
    </row>
    <row r="84" spans="1:7" ht="17.100000000000001" customHeight="1">
      <c r="A84" s="364">
        <f t="shared" si="27"/>
        <v>20</v>
      </c>
      <c r="B84" s="364" t="str">
        <f t="shared" si="28"/>
        <v>CHIARRI</v>
      </c>
      <c r="C84" s="364" t="str">
        <f t="shared" si="29"/>
        <v>M</v>
      </c>
      <c r="D84" s="364">
        <f>IF(C84="M",1,IF(C84="L",2,IF(C84="M, L",3)))</f>
        <v>1</v>
      </c>
      <c r="E84" s="365">
        <f>K46</f>
        <v>1</v>
      </c>
      <c r="F84" s="366">
        <f>L46</f>
        <v>39</v>
      </c>
      <c r="G84" s="364" t="str">
        <f t="shared" si="26"/>
        <v>DROP 2</v>
      </c>
    </row>
    <row r="85" spans="1:7" ht="15.95" customHeight="1">
      <c r="A85" s="364">
        <f t="shared" si="27"/>
        <v>21</v>
      </c>
      <c r="B85" s="364" t="str">
        <f t="shared" si="28"/>
        <v>CHORVO</v>
      </c>
      <c r="C85" s="364" t="str">
        <f t="shared" si="29"/>
        <v>M</v>
      </c>
      <c r="D85" s="364">
        <f>IF(C85="M",1,IF(C85="L",2,IF(C85="M, L",3)))</f>
        <v>1</v>
      </c>
      <c r="E85" s="365">
        <f>K47</f>
        <v>1</v>
      </c>
      <c r="F85" s="366">
        <f>L47</f>
        <v>27</v>
      </c>
      <c r="G85" s="364" t="str">
        <f t="shared" si="26"/>
        <v>DROP 2</v>
      </c>
    </row>
    <row r="86" spans="1:7" ht="17.100000000000001" customHeight="1">
      <c r="A86" s="364">
        <f t="shared" si="27"/>
        <v>22</v>
      </c>
      <c r="B86" s="364" t="str">
        <f t="shared" si="28"/>
        <v>ALVARO NISTAL</v>
      </c>
      <c r="C86" s="364" t="str">
        <f t="shared" si="29"/>
        <v>L</v>
      </c>
      <c r="D86" s="364">
        <f>IF(C86="M",1,IF(C86="L",2,IF(C86="M, L",3)))</f>
        <v>2</v>
      </c>
      <c r="E86" s="365">
        <f>K48</f>
        <v>1</v>
      </c>
      <c r="F86" s="366">
        <f>L48</f>
        <v>39</v>
      </c>
      <c r="G86" s="364" t="str">
        <f t="shared" si="26"/>
        <v>DROP 2</v>
      </c>
    </row>
    <row r="87" spans="1:7" ht="15.95" customHeight="1">
      <c r="A87" s="364">
        <f t="shared" si="27"/>
        <v>23</v>
      </c>
      <c r="B87" s="364" t="str">
        <f>B49</f>
        <v>VINTED</v>
      </c>
      <c r="C87" s="364" t="str">
        <f t="shared" si="29"/>
        <v>M, L</v>
      </c>
      <c r="D87" s="364">
        <f>IF(C87="M",1,IF(C87="L",2,IF(C87="M, L",3)))</f>
        <v>3</v>
      </c>
      <c r="E87" s="365">
        <f>K49</f>
        <v>3</v>
      </c>
      <c r="F87" s="366">
        <f>L49</f>
        <v>73</v>
      </c>
      <c r="G87" s="364" t="str">
        <f t="shared" si="26"/>
        <v>DROP 2</v>
      </c>
    </row>
    <row r="88" spans="1:7" ht="17.100000000000001" customHeight="1">
      <c r="A88" s="364">
        <f t="shared" si="27"/>
        <v>24</v>
      </c>
      <c r="B88" s="364" t="str">
        <f>B50</f>
        <v>JAIME BUSTAMANTE</v>
      </c>
      <c r="C88" s="364" t="str">
        <f t="shared" si="29"/>
        <v>M, L</v>
      </c>
      <c r="D88" s="364">
        <f>IF(C88="M",1,IF(C88="L",2,IF(C88="M, L",3)))</f>
        <v>3</v>
      </c>
      <c r="E88" s="365">
        <f>K50</f>
        <v>4</v>
      </c>
      <c r="F88" s="366">
        <f>L50</f>
        <v>100</v>
      </c>
      <c r="G88" s="364" t="str">
        <f t="shared" si="26"/>
        <v>DROP 2</v>
      </c>
    </row>
    <row r="89" spans="1:7" ht="15.95" customHeight="1">
      <c r="A89" s="364">
        <f t="shared" si="27"/>
        <v>25</v>
      </c>
      <c r="B89" s="364" t="str">
        <f t="shared" si="28"/>
        <v>NICO RUIZ</v>
      </c>
      <c r="C89" s="364" t="str">
        <f t="shared" si="29"/>
        <v>M</v>
      </c>
      <c r="D89" s="364">
        <f>IF(C89="M",1,IF(C89="L",2,IF(C89="M, L",3)))</f>
        <v>1</v>
      </c>
      <c r="E89" s="365">
        <f>K51</f>
        <v>1</v>
      </c>
      <c r="F89" s="366">
        <f>L51</f>
        <v>25</v>
      </c>
      <c r="G89" s="364" t="str">
        <f t="shared" si="26"/>
        <v>DROP 2</v>
      </c>
    </row>
    <row r="90" spans="1:7" ht="17.100000000000001" customHeight="1">
      <c r="A90" s="364">
        <f t="shared" si="27"/>
        <v>26</v>
      </c>
      <c r="B90" s="364" t="str">
        <f t="shared" si="28"/>
        <v>QUINTANA</v>
      </c>
      <c r="C90" s="364" t="str">
        <f t="shared" si="29"/>
        <v>L</v>
      </c>
      <c r="D90" s="364">
        <f>IF(C90="M",1,IF(C90="L",2,IF(C90="M, L",3)))</f>
        <v>2</v>
      </c>
      <c r="E90" s="365">
        <f>K52</f>
        <v>1</v>
      </c>
      <c r="F90" s="366">
        <f>L52</f>
        <v>25</v>
      </c>
      <c r="G90" s="364" t="str">
        <f t="shared" si="26"/>
        <v>DROP 2</v>
      </c>
    </row>
    <row r="91" spans="1:7" ht="15.95" customHeight="1">
      <c r="A91" s="364">
        <f t="shared" si="27"/>
        <v>27</v>
      </c>
      <c r="B91" s="364" t="str">
        <f t="shared" si="28"/>
        <v>BARTA</v>
      </c>
      <c r="C91" s="364" t="str">
        <f t="shared" si="29"/>
        <v>M</v>
      </c>
      <c r="D91" s="364">
        <f>IF(C91="M",1,IF(C91="L",2,IF(C91="M, L",3)))</f>
        <v>1</v>
      </c>
      <c r="E91" s="365">
        <f>K53</f>
        <v>1</v>
      </c>
      <c r="F91" s="366">
        <f>L53</f>
        <v>25</v>
      </c>
      <c r="G91" s="364" t="str">
        <f t="shared" si="26"/>
        <v>DROP 2</v>
      </c>
    </row>
    <row r="92" spans="1:7" ht="17.100000000000001" customHeight="1">
      <c r="A92" s="364">
        <f t="shared" si="27"/>
        <v>28</v>
      </c>
      <c r="B92" s="364">
        <f t="shared" si="28"/>
        <v>0</v>
      </c>
      <c r="C92" s="364" t="str">
        <f t="shared" si="29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  <c r="G92" s="364" t="str">
        <f t="shared" si="26"/>
        <v>DROP 2</v>
      </c>
    </row>
    <row r="93" spans="1:7" ht="15.95" customHeight="1">
      <c r="A93" s="364">
        <f t="shared" si="27"/>
        <v>29</v>
      </c>
      <c r="B93" s="364">
        <f t="shared" si="28"/>
        <v>0</v>
      </c>
      <c r="C93" s="364" t="str">
        <f t="shared" si="29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  <c r="G93" s="364" t="str">
        <f t="shared" si="26"/>
        <v>DROP 2</v>
      </c>
    </row>
    <row r="94" spans="1:7" ht="17.100000000000001" customHeight="1">
      <c r="A94" s="364">
        <f t="shared" si="27"/>
        <v>30</v>
      </c>
      <c r="B94" s="364">
        <f t="shared" si="28"/>
        <v>0</v>
      </c>
      <c r="C94" s="364" t="str">
        <f t="shared" si="29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  <c r="G94" s="364" t="str">
        <f t="shared" si="26"/>
        <v>DROP 2</v>
      </c>
    </row>
    <row r="95" spans="1:7" ht="15.95" customHeight="1">
      <c r="A95" s="364">
        <f t="shared" si="27"/>
        <v>31</v>
      </c>
      <c r="B95" s="364">
        <f t="shared" si="28"/>
        <v>0</v>
      </c>
      <c r="C95" s="364" t="str">
        <f t="shared" si="29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  <c r="G95" s="364" t="str">
        <f t="shared" si="26"/>
        <v>DROP 2</v>
      </c>
    </row>
    <row r="96" spans="1:7" ht="17.100000000000001" customHeight="1">
      <c r="A96" s="364">
        <f t="shared" si="27"/>
        <v>32</v>
      </c>
      <c r="B96" s="364">
        <f t="shared" si="28"/>
        <v>0</v>
      </c>
      <c r="C96" s="364" t="str">
        <f t="shared" si="29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  <c r="G96" s="364" t="str">
        <f t="shared" si="26"/>
        <v>DROP 2</v>
      </c>
    </row>
    <row r="97" spans="1:7" ht="15.95" customHeight="1">
      <c r="A97" s="364">
        <f t="shared" si="27"/>
        <v>33</v>
      </c>
      <c r="B97" s="364">
        <f t="shared" si="28"/>
        <v>0</v>
      </c>
      <c r="C97" s="364" t="str">
        <f t="shared" si="29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26"/>
        <v>DROP 2</v>
      </c>
    </row>
    <row r="98" spans="1:7" ht="17.100000000000001" customHeight="1">
      <c r="A98" s="364">
        <f t="shared" si="27"/>
        <v>34</v>
      </c>
      <c r="B98" s="364">
        <f t="shared" si="28"/>
        <v>0</v>
      </c>
      <c r="C98" s="364" t="str">
        <f t="shared" si="29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26"/>
        <v>DROP 2</v>
      </c>
    </row>
    <row r="99" spans="1:7" ht="15.95" customHeight="1">
      <c r="A99" s="364">
        <f t="shared" si="27"/>
        <v>35</v>
      </c>
      <c r="B99" s="364">
        <f t="shared" si="28"/>
        <v>0</v>
      </c>
      <c r="C99" s="364" t="str">
        <f t="shared" si="29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26"/>
        <v>DROP 2</v>
      </c>
    </row>
    <row r="100" spans="1:7" ht="17.100000000000001" customHeight="1"/>
    <row r="101" spans="1:7" ht="15.95" customHeight="1"/>
    <row r="102" spans="1:7" ht="17.100000000000001" customHeight="1"/>
    <row r="103" spans="1:7" ht="15.95" customHeight="1"/>
    <row r="104" spans="1:7" ht="17.100000000000001" customHeight="1"/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A83940-68B5-0548-873A-B69C055728F8}">
          <x14:formula1>
            <xm:f>CLIENTES!$A$2:$A$1048576</xm:f>
          </x14:formula1>
          <xm:sqref>B27:B61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6370-9BC2-6348-A5BF-946F2DFE0C40}">
  <sheetPr>
    <tabColor theme="5"/>
  </sheetPr>
  <dimension ref="C2:DN111"/>
  <sheetViews>
    <sheetView topLeftCell="BK76" zoomScale="75" zoomScaleNormal="81" workbookViewId="0">
      <selection activeCell="CJ37" sqref="CJ37:CJ38"/>
    </sheetView>
  </sheetViews>
  <sheetFormatPr defaultColWidth="10.875" defaultRowHeight="15.95" customHeight="1"/>
  <cols>
    <col min="1" max="6" width="10.875" style="63"/>
    <col min="7" max="13" width="10.875" style="63" customWidth="1"/>
    <col min="14" max="17" width="10.875" style="63"/>
    <col min="18" max="24" width="10.875" style="63" customWidth="1"/>
    <col min="25" max="28" width="10.875" style="63"/>
    <col min="29" max="35" width="10.875" style="63" customWidth="1"/>
    <col min="36" max="41" width="10.875" style="63"/>
    <col min="42" max="45" width="10.875" style="63" customWidth="1"/>
    <col min="46" max="46" width="12.25" style="63" bestFit="1" customWidth="1"/>
    <col min="47" max="53" width="10.875" style="63"/>
    <col min="54" max="57" width="10.875" style="63" customWidth="1"/>
    <col min="58" max="58" width="14.125" style="63" bestFit="1" customWidth="1"/>
    <col min="59" max="63" width="10.875" style="63"/>
    <col min="64" max="67" width="10.875" style="63" customWidth="1"/>
    <col min="68" max="68" width="12.25" style="63" bestFit="1" customWidth="1"/>
    <col min="69" max="73" width="10.875" style="63"/>
    <col min="74" max="83" width="10.875" style="63" customWidth="1"/>
    <col min="84" max="86" width="10.875" style="63"/>
    <col min="87" max="89" width="10.875" style="63" customWidth="1"/>
    <col min="90" max="90" width="10.875" style="63"/>
    <col min="91" max="91" width="10.875" style="63" customWidth="1"/>
    <col min="92" max="93" width="10.875" style="63"/>
    <col min="94" max="95" width="10.875" style="63" customWidth="1"/>
    <col min="96" max="16384" width="10.875" style="63"/>
  </cols>
  <sheetData>
    <row r="2" spans="3:118" ht="15.95" customHeight="1" thickBot="1"/>
    <row r="3" spans="3:118" ht="15.95" customHeight="1">
      <c r="C3" s="784"/>
      <c r="D3" s="785"/>
      <c r="E3" s="785"/>
      <c r="F3" s="786"/>
      <c r="G3" s="523" t="s">
        <v>265</v>
      </c>
      <c r="H3" s="524"/>
      <c r="I3" s="524"/>
      <c r="J3" s="524"/>
      <c r="K3" s="524"/>
      <c r="L3" s="524"/>
      <c r="M3" s="525"/>
      <c r="R3" s="523" t="s">
        <v>266</v>
      </c>
      <c r="S3" s="524"/>
      <c r="T3" s="524"/>
      <c r="U3" s="524"/>
      <c r="V3" s="524"/>
      <c r="W3" s="524"/>
      <c r="X3" s="525"/>
      <c r="AC3" s="523" t="s">
        <v>267</v>
      </c>
      <c r="AD3" s="524"/>
      <c r="AE3" s="524"/>
      <c r="AF3" s="524"/>
      <c r="AG3" s="524"/>
      <c r="AH3" s="524"/>
      <c r="AI3" s="525"/>
      <c r="AL3" s="435" t="s">
        <v>268</v>
      </c>
      <c r="AM3" s="436"/>
      <c r="AN3" s="436"/>
      <c r="AO3" s="435" t="s">
        <v>269</v>
      </c>
      <c r="AP3" s="436"/>
      <c r="AQ3" s="437"/>
      <c r="AR3" s="435" t="s">
        <v>270</v>
      </c>
      <c r="AS3" s="436"/>
      <c r="AT3" s="437"/>
      <c r="AU3" s="435" t="s">
        <v>113</v>
      </c>
      <c r="AV3" s="436"/>
      <c r="AW3" s="437"/>
      <c r="AX3" s="435" t="s">
        <v>271</v>
      </c>
      <c r="AY3" s="436"/>
      <c r="AZ3" s="437"/>
      <c r="BA3" s="435" t="s">
        <v>139</v>
      </c>
      <c r="BB3" s="436"/>
      <c r="BC3" s="437"/>
      <c r="BD3" s="435" t="s">
        <v>272</v>
      </c>
      <c r="BE3" s="436"/>
      <c r="BF3" s="437"/>
      <c r="BI3" s="533" t="s">
        <v>98</v>
      </c>
      <c r="BJ3" s="534"/>
      <c r="BK3" s="534"/>
      <c r="BL3" s="534"/>
      <c r="BM3" s="535"/>
      <c r="BN3" s="488">
        <f>BF56</f>
        <v>1412</v>
      </c>
      <c r="BO3" s="489"/>
      <c r="BR3" s="492"/>
      <c r="BS3" s="493"/>
      <c r="BT3" s="493"/>
      <c r="BU3" s="494"/>
      <c r="BV3" s="770"/>
      <c r="BW3" s="771"/>
      <c r="BX3" s="770"/>
      <c r="BY3" s="771"/>
      <c r="BZ3" s="774"/>
      <c r="CA3" s="775"/>
      <c r="CB3" s="778"/>
      <c r="CC3" s="779"/>
      <c r="CP3" s="7"/>
      <c r="CQ3" s="7"/>
      <c r="DA3" s="22"/>
      <c r="DB3" s="22"/>
    </row>
    <row r="4" spans="3:118" ht="15.95" customHeight="1" thickBot="1">
      <c r="C4" s="787"/>
      <c r="D4" s="788"/>
      <c r="E4" s="788"/>
      <c r="F4" s="789"/>
      <c r="G4" s="526"/>
      <c r="H4" s="527"/>
      <c r="I4" s="527"/>
      <c r="J4" s="527"/>
      <c r="K4" s="527"/>
      <c r="L4" s="527"/>
      <c r="M4" s="528"/>
      <c r="R4" s="526"/>
      <c r="S4" s="527"/>
      <c r="T4" s="527"/>
      <c r="U4" s="527"/>
      <c r="V4" s="527"/>
      <c r="W4" s="527"/>
      <c r="X4" s="528"/>
      <c r="AC4" s="526"/>
      <c r="AD4" s="527"/>
      <c r="AE4" s="527"/>
      <c r="AF4" s="527"/>
      <c r="AG4" s="527"/>
      <c r="AH4" s="527"/>
      <c r="AI4" s="528"/>
      <c r="AL4" s="438"/>
      <c r="AM4" s="439"/>
      <c r="AN4" s="439"/>
      <c r="AO4" s="438"/>
      <c r="AP4" s="439"/>
      <c r="AQ4" s="440"/>
      <c r="AR4" s="438"/>
      <c r="AS4" s="439"/>
      <c r="AT4" s="440"/>
      <c r="AU4" s="438"/>
      <c r="AV4" s="439"/>
      <c r="AW4" s="440"/>
      <c r="AX4" s="438"/>
      <c r="AY4" s="439"/>
      <c r="AZ4" s="440"/>
      <c r="BA4" s="438"/>
      <c r="BB4" s="439"/>
      <c r="BC4" s="440"/>
      <c r="BD4" s="438"/>
      <c r="BE4" s="439"/>
      <c r="BF4" s="440"/>
      <c r="BI4" s="536"/>
      <c r="BJ4" s="537"/>
      <c r="BK4" s="537"/>
      <c r="BL4" s="537"/>
      <c r="BM4" s="538"/>
      <c r="BN4" s="490"/>
      <c r="BO4" s="491"/>
      <c r="BR4" s="495"/>
      <c r="BS4" s="496"/>
      <c r="BT4" s="496"/>
      <c r="BU4" s="497"/>
      <c r="BV4" s="772"/>
      <c r="BW4" s="773"/>
      <c r="BX4" s="772"/>
      <c r="BY4" s="773"/>
      <c r="BZ4" s="776"/>
      <c r="CA4" s="777"/>
      <c r="CB4" s="780"/>
      <c r="CC4" s="781"/>
      <c r="CP4" s="7"/>
      <c r="CQ4" s="7"/>
      <c r="DA4" s="22"/>
      <c r="DB4" s="22"/>
    </row>
    <row r="5" spans="3:118" ht="15.95" customHeight="1" thickBot="1">
      <c r="C5" s="787"/>
      <c r="D5" s="788"/>
      <c r="E5" s="788"/>
      <c r="F5" s="789"/>
      <c r="G5" s="486" t="s">
        <v>273</v>
      </c>
      <c r="H5" s="484" t="s">
        <v>274</v>
      </c>
      <c r="I5" s="484" t="s">
        <v>16</v>
      </c>
      <c r="J5" s="484" t="s">
        <v>13</v>
      </c>
      <c r="K5" s="484" t="s">
        <v>275</v>
      </c>
      <c r="L5" s="484" t="s">
        <v>276</v>
      </c>
      <c r="M5" s="484" t="s">
        <v>277</v>
      </c>
      <c r="R5" s="486" t="s">
        <v>273</v>
      </c>
      <c r="S5" s="484" t="s">
        <v>274</v>
      </c>
      <c r="T5" s="484" t="s">
        <v>16</v>
      </c>
      <c r="U5" s="484" t="s">
        <v>13</v>
      </c>
      <c r="V5" s="484" t="s">
        <v>275</v>
      </c>
      <c r="W5" s="484" t="s">
        <v>276</v>
      </c>
      <c r="X5" s="484" t="s">
        <v>277</v>
      </c>
      <c r="AC5" s="486" t="s">
        <v>273</v>
      </c>
      <c r="AD5" s="484" t="s">
        <v>274</v>
      </c>
      <c r="AE5" s="484" t="s">
        <v>16</v>
      </c>
      <c r="AF5" s="484" t="s">
        <v>13</v>
      </c>
      <c r="AG5" s="484" t="s">
        <v>275</v>
      </c>
      <c r="AH5" s="484" t="s">
        <v>276</v>
      </c>
      <c r="AI5" s="484" t="s">
        <v>277</v>
      </c>
      <c r="AL5" s="441"/>
      <c r="AM5" s="442"/>
      <c r="AN5" s="442"/>
      <c r="AO5" s="441"/>
      <c r="AP5" s="442"/>
      <c r="AQ5" s="443"/>
      <c r="AR5" s="441"/>
      <c r="AS5" s="442"/>
      <c r="AT5" s="443"/>
      <c r="AU5" s="441"/>
      <c r="AV5" s="442"/>
      <c r="AW5" s="443"/>
      <c r="AX5" s="441"/>
      <c r="AY5" s="442"/>
      <c r="AZ5" s="443"/>
      <c r="BA5" s="441"/>
      <c r="BB5" s="442"/>
      <c r="BC5" s="443"/>
      <c r="BD5" s="441"/>
      <c r="BE5" s="442"/>
      <c r="BF5" s="443"/>
      <c r="BN5" s="70"/>
      <c r="BO5" s="70"/>
      <c r="BR5" s="495"/>
      <c r="BS5" s="496"/>
      <c r="BT5" s="496"/>
      <c r="BU5" s="497"/>
      <c r="BV5" s="433">
        <f>BC48</f>
        <v>5</v>
      </c>
      <c r="BW5" s="433">
        <f>BD48</f>
        <v>7</v>
      </c>
      <c r="BX5" s="433">
        <f>BC50</f>
        <v>7</v>
      </c>
      <c r="BY5" s="433">
        <f>BD50</f>
        <v>7</v>
      </c>
      <c r="BZ5" s="433">
        <f>BC52</f>
        <v>4</v>
      </c>
      <c r="CA5" s="433">
        <f>BD52</f>
        <v>4</v>
      </c>
      <c r="CB5" s="433">
        <f>BC54</f>
        <v>2</v>
      </c>
      <c r="CC5" s="433">
        <f>BD54</f>
        <v>2</v>
      </c>
      <c r="CD5" s="444">
        <f>SUM(BV5:CC6)</f>
        <v>38</v>
      </c>
    </row>
    <row r="6" spans="3:118" ht="15.95" customHeight="1" thickBot="1">
      <c r="C6" s="790"/>
      <c r="D6" s="791"/>
      <c r="E6" s="791"/>
      <c r="F6" s="792"/>
      <c r="G6" s="487"/>
      <c r="H6" s="485"/>
      <c r="I6" s="485"/>
      <c r="J6" s="485"/>
      <c r="K6" s="485"/>
      <c r="L6" s="485"/>
      <c r="M6" s="485"/>
      <c r="R6" s="487"/>
      <c r="S6" s="485"/>
      <c r="T6" s="485"/>
      <c r="U6" s="485"/>
      <c r="V6" s="485"/>
      <c r="W6" s="485"/>
      <c r="X6" s="485"/>
      <c r="AC6" s="487"/>
      <c r="AD6" s="485"/>
      <c r="AE6" s="485"/>
      <c r="AF6" s="485"/>
      <c r="AG6" s="485"/>
      <c r="AH6" s="485"/>
      <c r="AI6" s="485"/>
      <c r="AL6" s="455">
        <f>L37+W37+AH37+L75+W75+AH75</f>
        <v>885.95</v>
      </c>
      <c r="AM6" s="456"/>
      <c r="AN6" s="457"/>
      <c r="AO6" s="560">
        <f>M37+X37+AI37+M75+X75+AI75</f>
        <v>695.09999999999991</v>
      </c>
      <c r="AP6" s="456"/>
      <c r="AQ6" s="457"/>
      <c r="AR6" s="446">
        <v>150</v>
      </c>
      <c r="AS6" s="447"/>
      <c r="AT6" s="448"/>
      <c r="AU6" s="455">
        <f>AL6+AR6</f>
        <v>1035.95</v>
      </c>
      <c r="AV6" s="456"/>
      <c r="AW6" s="457"/>
      <c r="AX6" s="582">
        <f>K37+V37+AG37+K75+V75+AG75</f>
        <v>49</v>
      </c>
      <c r="AY6" s="456"/>
      <c r="AZ6" s="457"/>
      <c r="BA6" s="559">
        <v>44497</v>
      </c>
      <c r="BB6" s="456"/>
      <c r="BC6" s="457"/>
      <c r="BD6" s="560">
        <v>887.43</v>
      </c>
      <c r="BE6" s="561"/>
      <c r="BF6" s="562"/>
      <c r="BI6" s="583" t="s">
        <v>278</v>
      </c>
      <c r="BJ6" s="594"/>
      <c r="BK6" s="594"/>
      <c r="BL6" s="594"/>
      <c r="BM6" s="584"/>
      <c r="BN6" s="427">
        <f>BD6</f>
        <v>887.43</v>
      </c>
      <c r="BO6" s="428"/>
      <c r="BR6" s="495"/>
      <c r="BS6" s="496"/>
      <c r="BT6" s="496"/>
      <c r="BU6" s="497"/>
      <c r="BV6" s="434"/>
      <c r="BW6" s="434"/>
      <c r="BX6" s="434"/>
      <c r="BY6" s="434"/>
      <c r="BZ6" s="434"/>
      <c r="CA6" s="434"/>
      <c r="CB6" s="434"/>
      <c r="CC6" s="434"/>
      <c r="CD6" s="445"/>
      <c r="CP6" s="87"/>
      <c r="CQ6" s="87"/>
      <c r="CR6" s="108"/>
      <c r="CS6" s="108"/>
      <c r="CT6" s="108"/>
      <c r="CU6" s="108"/>
      <c r="CV6" s="108"/>
      <c r="CW6" s="108"/>
      <c r="CX6" s="108"/>
      <c r="CY6" s="108"/>
      <c r="DE6" s="87"/>
      <c r="DF6" s="87"/>
      <c r="DG6" s="108"/>
      <c r="DH6" s="108"/>
      <c r="DI6" s="108"/>
      <c r="DJ6" s="108"/>
      <c r="DK6" s="108"/>
      <c r="DL6" s="108"/>
      <c r="DM6" s="108"/>
      <c r="DN6" s="108"/>
    </row>
    <row r="7" spans="3:118" ht="15.95" customHeight="1">
      <c r="C7" s="782"/>
      <c r="D7" s="547" t="s">
        <v>279</v>
      </c>
      <c r="E7" s="548"/>
      <c r="F7" s="549"/>
      <c r="G7" s="553">
        <v>32.950000000000003</v>
      </c>
      <c r="H7" s="517">
        <v>25.8</v>
      </c>
      <c r="I7" s="557"/>
      <c r="J7" s="557"/>
      <c r="K7" s="557">
        <f>I7+J7</f>
        <v>0</v>
      </c>
      <c r="L7" s="593">
        <f>G7*K7</f>
        <v>0</v>
      </c>
      <c r="M7" s="519">
        <f>H7*K7</f>
        <v>0</v>
      </c>
      <c r="N7" s="782"/>
      <c r="O7" s="547" t="s">
        <v>279</v>
      </c>
      <c r="P7" s="548"/>
      <c r="Q7" s="549"/>
      <c r="R7" s="553">
        <v>9.9499999999999993</v>
      </c>
      <c r="S7" s="517">
        <v>8.01</v>
      </c>
      <c r="T7" s="557"/>
      <c r="U7" s="557"/>
      <c r="V7" s="557">
        <f>T7+U7</f>
        <v>0</v>
      </c>
      <c r="W7" s="431">
        <f>R7*V7</f>
        <v>0</v>
      </c>
      <c r="X7" s="591">
        <f>S7*V7</f>
        <v>0</v>
      </c>
      <c r="Y7" s="782"/>
      <c r="Z7" s="547" t="s">
        <v>279</v>
      </c>
      <c r="AA7" s="548"/>
      <c r="AB7" s="549"/>
      <c r="AC7" s="569"/>
      <c r="AD7" s="571"/>
      <c r="AE7" s="557"/>
      <c r="AF7" s="557"/>
      <c r="AG7" s="557">
        <f>AE7+AF7</f>
        <v>0</v>
      </c>
      <c r="AH7" s="431">
        <f>AC7*AG7</f>
        <v>0</v>
      </c>
      <c r="AI7" s="519">
        <f>AD7*AG7</f>
        <v>0</v>
      </c>
      <c r="AL7" s="458"/>
      <c r="AM7" s="459"/>
      <c r="AN7" s="460"/>
      <c r="AO7" s="458"/>
      <c r="AP7" s="459"/>
      <c r="AQ7" s="460"/>
      <c r="AR7" s="449"/>
      <c r="AS7" s="450"/>
      <c r="AT7" s="451"/>
      <c r="AU7" s="458"/>
      <c r="AV7" s="459"/>
      <c r="AW7" s="460"/>
      <c r="AX7" s="458"/>
      <c r="AY7" s="459"/>
      <c r="AZ7" s="460"/>
      <c r="BA7" s="458"/>
      <c r="BB7" s="459"/>
      <c r="BC7" s="460"/>
      <c r="BD7" s="563"/>
      <c r="BE7" s="564"/>
      <c r="BF7" s="565"/>
      <c r="BI7" s="529"/>
      <c r="BJ7" s="530"/>
      <c r="BK7" s="530"/>
      <c r="BL7" s="530"/>
      <c r="BM7" s="531"/>
      <c r="BN7" s="429"/>
      <c r="BO7" s="430"/>
      <c r="BR7" s="495"/>
      <c r="BS7" s="496"/>
      <c r="BT7" s="496"/>
      <c r="BU7" s="497"/>
      <c r="BV7" s="521" t="s">
        <v>16</v>
      </c>
      <c r="BW7" s="521" t="s">
        <v>13</v>
      </c>
      <c r="BX7" s="521" t="s">
        <v>16</v>
      </c>
      <c r="BY7" s="521" t="s">
        <v>13</v>
      </c>
      <c r="BZ7" s="521" t="s">
        <v>16</v>
      </c>
      <c r="CA7" s="521" t="s">
        <v>13</v>
      </c>
      <c r="CB7" s="521" t="s">
        <v>16</v>
      </c>
      <c r="CC7" s="521" t="s">
        <v>13</v>
      </c>
      <c r="CD7" s="484" t="s">
        <v>275</v>
      </c>
      <c r="CE7" s="484" t="s">
        <v>277</v>
      </c>
      <c r="CF7" s="583" t="s">
        <v>280</v>
      </c>
      <c r="CG7" s="594"/>
      <c r="CH7" s="584"/>
      <c r="CI7" s="596" t="s">
        <v>281</v>
      </c>
      <c r="CJ7" s="596" t="s">
        <v>282</v>
      </c>
      <c r="CK7" s="583" t="s">
        <v>272</v>
      </c>
      <c r="CL7" s="584"/>
      <c r="CM7" s="587" t="s">
        <v>139</v>
      </c>
      <c r="CQ7" s="175"/>
      <c r="CR7" s="41"/>
      <c r="CS7" s="41"/>
      <c r="CT7" s="41"/>
      <c r="CU7" s="41"/>
      <c r="CV7" s="22"/>
      <c r="CW7" s="22"/>
      <c r="CX7" s="41"/>
      <c r="CY7" s="41"/>
      <c r="DA7" s="22"/>
      <c r="DB7" s="22"/>
      <c r="DF7" s="175"/>
      <c r="DG7" s="41"/>
      <c r="DH7" s="41"/>
      <c r="DI7" s="41"/>
      <c r="DJ7" s="41"/>
      <c r="DK7" s="22"/>
      <c r="DL7" s="22"/>
      <c r="DM7" s="22"/>
      <c r="DN7" s="22"/>
    </row>
    <row r="8" spans="3:118" ht="15.95" customHeight="1" thickBot="1">
      <c r="C8" s="783"/>
      <c r="D8" s="550"/>
      <c r="E8" s="551"/>
      <c r="F8" s="552"/>
      <c r="G8" s="554"/>
      <c r="H8" s="518"/>
      <c r="I8" s="558"/>
      <c r="J8" s="558"/>
      <c r="K8" s="558"/>
      <c r="L8" s="558"/>
      <c r="M8" s="520"/>
      <c r="N8" s="783"/>
      <c r="O8" s="550"/>
      <c r="P8" s="551"/>
      <c r="Q8" s="552"/>
      <c r="R8" s="554"/>
      <c r="S8" s="518"/>
      <c r="T8" s="558"/>
      <c r="U8" s="558"/>
      <c r="V8" s="558"/>
      <c r="W8" s="432"/>
      <c r="X8" s="592"/>
      <c r="Y8" s="783"/>
      <c r="Z8" s="550"/>
      <c r="AA8" s="551"/>
      <c r="AB8" s="552"/>
      <c r="AC8" s="570"/>
      <c r="AD8" s="572"/>
      <c r="AE8" s="558"/>
      <c r="AF8" s="558"/>
      <c r="AG8" s="558"/>
      <c r="AH8" s="432"/>
      <c r="AI8" s="520"/>
      <c r="AL8" s="461"/>
      <c r="AM8" s="462"/>
      <c r="AN8" s="463"/>
      <c r="AO8" s="461"/>
      <c r="AP8" s="462"/>
      <c r="AQ8" s="463"/>
      <c r="AR8" s="452"/>
      <c r="AS8" s="453"/>
      <c r="AT8" s="454"/>
      <c r="AU8" s="461"/>
      <c r="AV8" s="462"/>
      <c r="AW8" s="463"/>
      <c r="AX8" s="461"/>
      <c r="AY8" s="462"/>
      <c r="AZ8" s="463"/>
      <c r="BA8" s="461"/>
      <c r="BB8" s="462"/>
      <c r="BC8" s="463"/>
      <c r="BD8" s="566"/>
      <c r="BE8" s="567"/>
      <c r="BF8" s="568"/>
      <c r="BI8" s="529" t="s">
        <v>141</v>
      </c>
      <c r="BJ8" s="530"/>
      <c r="BK8" s="530"/>
      <c r="BL8" s="530"/>
      <c r="BM8" s="531"/>
      <c r="BN8" s="532">
        <f>AT24</f>
        <v>246.23500000000001</v>
      </c>
      <c r="BO8" s="430"/>
      <c r="BR8" s="498"/>
      <c r="BS8" s="499"/>
      <c r="BT8" s="499"/>
      <c r="BU8" s="500"/>
      <c r="BV8" s="522"/>
      <c r="BW8" s="522"/>
      <c r="BX8" s="522"/>
      <c r="BY8" s="522"/>
      <c r="BZ8" s="522"/>
      <c r="CA8" s="522"/>
      <c r="CB8" s="522"/>
      <c r="CC8" s="522"/>
      <c r="CD8" s="485"/>
      <c r="CE8" s="485"/>
      <c r="CF8" s="585"/>
      <c r="CG8" s="595"/>
      <c r="CH8" s="586"/>
      <c r="CI8" s="597"/>
      <c r="CJ8" s="597"/>
      <c r="CK8" s="585"/>
      <c r="CL8" s="586"/>
      <c r="CM8" s="588"/>
      <c r="CR8" s="41"/>
      <c r="CS8" s="41"/>
      <c r="CT8" s="41"/>
      <c r="CU8" s="41"/>
      <c r="CV8" s="41"/>
      <c r="CW8" s="41"/>
      <c r="CX8" s="22"/>
      <c r="CY8" s="22"/>
      <c r="DA8" s="22"/>
      <c r="DB8" s="22"/>
      <c r="DG8" s="41"/>
      <c r="DH8" s="41"/>
      <c r="DI8" s="41"/>
      <c r="DJ8" s="41"/>
      <c r="DK8" s="41"/>
      <c r="DL8" s="41"/>
      <c r="DM8" s="22"/>
      <c r="DN8" s="22"/>
    </row>
    <row r="9" spans="3:118" ht="15.95" customHeight="1">
      <c r="C9" s="793"/>
      <c r="D9" s="547" t="s">
        <v>283</v>
      </c>
      <c r="E9" s="548"/>
      <c r="F9" s="549"/>
      <c r="G9" s="553">
        <v>34.5</v>
      </c>
      <c r="H9" s="555">
        <v>27.5</v>
      </c>
      <c r="I9" s="557">
        <v>7</v>
      </c>
      <c r="J9" s="557">
        <v>7</v>
      </c>
      <c r="K9" s="557">
        <f>I9+J9</f>
        <v>14</v>
      </c>
      <c r="L9" s="593">
        <f>G9*K9</f>
        <v>483</v>
      </c>
      <c r="M9" s="519">
        <f>H9*K9</f>
        <v>385</v>
      </c>
      <c r="N9" s="793"/>
      <c r="O9" s="547" t="s">
        <v>283</v>
      </c>
      <c r="P9" s="548"/>
      <c r="Q9" s="549"/>
      <c r="R9" s="553">
        <v>11.45</v>
      </c>
      <c r="S9" s="517">
        <v>9.1999999999999993</v>
      </c>
      <c r="T9" s="557">
        <v>14</v>
      </c>
      <c r="U9" s="557">
        <v>7</v>
      </c>
      <c r="V9" s="557">
        <f>T9+U9</f>
        <v>21</v>
      </c>
      <c r="W9" s="593">
        <f>R9*V9</f>
        <v>240.45</v>
      </c>
      <c r="X9" s="519">
        <f>S9*V9</f>
        <v>193.2</v>
      </c>
      <c r="Y9" s="793"/>
      <c r="Z9" s="547" t="s">
        <v>283</v>
      </c>
      <c r="AA9" s="548"/>
      <c r="AB9" s="549"/>
      <c r="AC9" s="569"/>
      <c r="AD9" s="571"/>
      <c r="AE9" s="557"/>
      <c r="AF9" s="557"/>
      <c r="AG9" s="557">
        <f>AE9+AF9</f>
        <v>0</v>
      </c>
      <c r="AH9" s="593">
        <f>AC9*AG9</f>
        <v>0</v>
      </c>
      <c r="AI9" s="519">
        <f>AD9*AG9</f>
        <v>0</v>
      </c>
      <c r="BI9" s="529"/>
      <c r="BJ9" s="530"/>
      <c r="BK9" s="530"/>
      <c r="BL9" s="530"/>
      <c r="BM9" s="531"/>
      <c r="BN9" s="429"/>
      <c r="BO9" s="430"/>
      <c r="BR9" s="539" t="s">
        <v>338</v>
      </c>
      <c r="BS9" s="540"/>
      <c r="BT9" s="540"/>
      <c r="BU9" s="541"/>
      <c r="BV9" s="466">
        <v>0</v>
      </c>
      <c r="BW9" s="480">
        <v>1</v>
      </c>
      <c r="BX9" s="466">
        <v>0</v>
      </c>
      <c r="BY9" s="478">
        <v>0</v>
      </c>
      <c r="BZ9" s="480">
        <v>1</v>
      </c>
      <c r="CA9" s="480">
        <v>0</v>
      </c>
      <c r="CB9" s="466">
        <v>0</v>
      </c>
      <c r="CC9" s="478">
        <v>0</v>
      </c>
      <c r="CD9" s="795">
        <f>SUM(BV9:CC10)</f>
        <v>2</v>
      </c>
      <c r="CE9" s="797">
        <f>BV9*49+BW9*49+BX9*34+BY9*34+BZ9*29+CA9*29+CB9*29+CC9*29</f>
        <v>78</v>
      </c>
      <c r="CF9" s="468" t="s">
        <v>339</v>
      </c>
      <c r="CG9" s="469"/>
      <c r="CH9" s="470"/>
      <c r="CI9" s="474">
        <v>78</v>
      </c>
      <c r="CJ9" s="474"/>
      <c r="CK9" s="468" t="s">
        <v>286</v>
      </c>
      <c r="CL9" s="470"/>
      <c r="CM9" s="476"/>
    </row>
    <row r="10" spans="3:118" ht="15.95" customHeight="1" thickBot="1">
      <c r="C10" s="793"/>
      <c r="D10" s="550"/>
      <c r="E10" s="551"/>
      <c r="F10" s="552"/>
      <c r="G10" s="554"/>
      <c r="H10" s="556"/>
      <c r="I10" s="558"/>
      <c r="J10" s="558"/>
      <c r="K10" s="558"/>
      <c r="L10" s="599"/>
      <c r="M10" s="640"/>
      <c r="N10" s="793"/>
      <c r="O10" s="550"/>
      <c r="P10" s="551"/>
      <c r="Q10" s="552"/>
      <c r="R10" s="554"/>
      <c r="S10" s="518"/>
      <c r="T10" s="558"/>
      <c r="U10" s="558"/>
      <c r="V10" s="558"/>
      <c r="W10" s="599"/>
      <c r="X10" s="640"/>
      <c r="Y10" s="793"/>
      <c r="Z10" s="550"/>
      <c r="AA10" s="551"/>
      <c r="AB10" s="552"/>
      <c r="AC10" s="570"/>
      <c r="AD10" s="572"/>
      <c r="AE10" s="558"/>
      <c r="AF10" s="558"/>
      <c r="AG10" s="558"/>
      <c r="AH10" s="558"/>
      <c r="AI10" s="520"/>
      <c r="AV10" s="86"/>
      <c r="BI10" s="529" t="s">
        <v>287</v>
      </c>
      <c r="BJ10" s="530"/>
      <c r="BK10" s="530"/>
      <c r="BL10" s="530"/>
      <c r="BM10" s="531"/>
      <c r="BN10" s="532">
        <v>49.01</v>
      </c>
      <c r="BO10" s="430"/>
      <c r="BR10" s="542"/>
      <c r="BS10" s="543"/>
      <c r="BT10" s="543"/>
      <c r="BU10" s="544"/>
      <c r="BV10" s="467"/>
      <c r="BW10" s="481"/>
      <c r="BX10" s="467"/>
      <c r="BY10" s="479"/>
      <c r="BZ10" s="481"/>
      <c r="CA10" s="481"/>
      <c r="CB10" s="467"/>
      <c r="CC10" s="479"/>
      <c r="CD10" s="796"/>
      <c r="CE10" s="798"/>
      <c r="CF10" s="471"/>
      <c r="CG10" s="472"/>
      <c r="CH10" s="473"/>
      <c r="CI10" s="475"/>
      <c r="CJ10" s="475"/>
      <c r="CK10" s="471"/>
      <c r="CL10" s="473"/>
      <c r="CM10" s="477"/>
      <c r="CP10" s="87"/>
      <c r="CQ10" s="87"/>
      <c r="CR10" s="108"/>
      <c r="CS10" s="108"/>
      <c r="CT10" s="108"/>
      <c r="CU10" s="108"/>
      <c r="CV10" s="108"/>
      <c r="CW10" s="108"/>
      <c r="CX10" s="108"/>
      <c r="CY10" s="108"/>
    </row>
    <row r="11" spans="3:118" ht="15.95" customHeight="1" thickBot="1">
      <c r="C11" s="794"/>
      <c r="D11" s="547" t="s">
        <v>288</v>
      </c>
      <c r="E11" s="548"/>
      <c r="F11" s="549"/>
      <c r="G11" s="553"/>
      <c r="H11" s="555"/>
      <c r="I11" s="557"/>
      <c r="J11" s="557"/>
      <c r="K11" s="557">
        <f>I11+J11</f>
        <v>0</v>
      </c>
      <c r="L11" s="593">
        <f>G11*K11</f>
        <v>0</v>
      </c>
      <c r="M11" s="519">
        <f>H11*K11</f>
        <v>0</v>
      </c>
      <c r="N11" s="794"/>
      <c r="O11" s="547" t="s">
        <v>288</v>
      </c>
      <c r="P11" s="548"/>
      <c r="Q11" s="549"/>
      <c r="R11" s="553"/>
      <c r="S11" s="571"/>
      <c r="T11" s="557"/>
      <c r="U11" s="557"/>
      <c r="V11" s="557">
        <f>T11+U11</f>
        <v>0</v>
      </c>
      <c r="W11" s="593">
        <f>R11*V11</f>
        <v>0</v>
      </c>
      <c r="X11" s="519">
        <f>S11*V11</f>
        <v>0</v>
      </c>
      <c r="Y11" s="794"/>
      <c r="Z11" s="547" t="s">
        <v>288</v>
      </c>
      <c r="AA11" s="548"/>
      <c r="AB11" s="549"/>
      <c r="AC11" s="569"/>
      <c r="AD11" s="571"/>
      <c r="AE11" s="557"/>
      <c r="AF11" s="557"/>
      <c r="AG11" s="557">
        <f>AE11+AF11</f>
        <v>0</v>
      </c>
      <c r="AH11" s="593">
        <f>AC11*AG11</f>
        <v>0</v>
      </c>
      <c r="AI11" s="519">
        <f>AD11*AG11</f>
        <v>0</v>
      </c>
      <c r="BI11" s="529"/>
      <c r="BJ11" s="530"/>
      <c r="BK11" s="530"/>
      <c r="BL11" s="530"/>
      <c r="BM11" s="531"/>
      <c r="BN11" s="429"/>
      <c r="BO11" s="430"/>
      <c r="BR11" s="539" t="s">
        <v>316</v>
      </c>
      <c r="BS11" s="540"/>
      <c r="BT11" s="540"/>
      <c r="BU11" s="541"/>
      <c r="BV11" s="466">
        <v>0</v>
      </c>
      <c r="BW11" s="480">
        <v>0</v>
      </c>
      <c r="BX11" s="466">
        <v>0</v>
      </c>
      <c r="BY11" s="478">
        <v>1</v>
      </c>
      <c r="BZ11" s="480">
        <v>0</v>
      </c>
      <c r="CA11" s="480">
        <v>1</v>
      </c>
      <c r="CB11" s="466">
        <v>0</v>
      </c>
      <c r="CC11" s="478">
        <v>0</v>
      </c>
      <c r="CD11" s="795">
        <f>SUM(BV11:CC12)</f>
        <v>2</v>
      </c>
      <c r="CE11" s="797">
        <f>BV11*49+BW11*49+BX11*34+BY11*34+BZ11*29+CA11*29+CB11*29+CC11*29</f>
        <v>63</v>
      </c>
      <c r="CF11" s="468" t="s">
        <v>340</v>
      </c>
      <c r="CG11" s="469"/>
      <c r="CH11" s="470"/>
      <c r="CI11" s="474">
        <v>63</v>
      </c>
      <c r="CJ11" s="474"/>
      <c r="CK11" s="468" t="s">
        <v>286</v>
      </c>
      <c r="CL11" s="470"/>
      <c r="CM11" s="476"/>
      <c r="CQ11" s="175"/>
      <c r="CR11" s="41"/>
      <c r="CS11" s="41"/>
      <c r="CT11" s="41"/>
      <c r="CU11" s="41"/>
      <c r="CV11" s="22"/>
      <c r="CW11" s="22"/>
      <c r="CX11" s="41"/>
      <c r="CY11" s="41"/>
      <c r="DA11" s="22"/>
      <c r="DB11" s="22"/>
      <c r="DM11" s="176"/>
    </row>
    <row r="12" spans="3:118" ht="15.95" customHeight="1" thickBot="1">
      <c r="C12" s="794"/>
      <c r="D12" s="550"/>
      <c r="E12" s="551"/>
      <c r="F12" s="552"/>
      <c r="G12" s="554"/>
      <c r="H12" s="556"/>
      <c r="I12" s="558"/>
      <c r="J12" s="558"/>
      <c r="K12" s="558"/>
      <c r="L12" s="558"/>
      <c r="M12" s="520"/>
      <c r="N12" s="794"/>
      <c r="O12" s="550"/>
      <c r="P12" s="551"/>
      <c r="Q12" s="552"/>
      <c r="R12" s="554"/>
      <c r="S12" s="572"/>
      <c r="T12" s="558"/>
      <c r="U12" s="558"/>
      <c r="V12" s="558"/>
      <c r="W12" s="558"/>
      <c r="X12" s="520"/>
      <c r="Y12" s="794"/>
      <c r="Z12" s="550"/>
      <c r="AA12" s="551"/>
      <c r="AB12" s="552"/>
      <c r="AC12" s="570"/>
      <c r="AD12" s="572"/>
      <c r="AE12" s="558"/>
      <c r="AF12" s="558"/>
      <c r="AG12" s="558"/>
      <c r="AH12" s="558"/>
      <c r="AI12" s="520"/>
      <c r="AL12" s="608" t="s">
        <v>141</v>
      </c>
      <c r="AM12" s="609"/>
      <c r="AN12" s="609"/>
      <c r="AO12" s="610"/>
      <c r="AX12" s="492"/>
      <c r="AY12" s="493"/>
      <c r="AZ12" s="493"/>
      <c r="BA12" s="494"/>
      <c r="BI12" s="529" t="s">
        <v>341</v>
      </c>
      <c r="BJ12" s="530"/>
      <c r="BK12" s="530"/>
      <c r="BL12" s="530"/>
      <c r="BM12" s="531"/>
      <c r="BN12" s="532">
        <v>12.69</v>
      </c>
      <c r="BO12" s="430"/>
      <c r="BR12" s="542"/>
      <c r="BS12" s="543"/>
      <c r="BT12" s="543"/>
      <c r="BU12" s="544"/>
      <c r="BV12" s="467"/>
      <c r="BW12" s="481"/>
      <c r="BX12" s="467"/>
      <c r="BY12" s="479"/>
      <c r="BZ12" s="481"/>
      <c r="CA12" s="481"/>
      <c r="CB12" s="467"/>
      <c r="CC12" s="479"/>
      <c r="CD12" s="796"/>
      <c r="CE12" s="798"/>
      <c r="CF12" s="471"/>
      <c r="CG12" s="472"/>
      <c r="CH12" s="473"/>
      <c r="CI12" s="475"/>
      <c r="CJ12" s="475"/>
      <c r="CK12" s="471"/>
      <c r="CL12" s="473"/>
      <c r="CM12" s="477"/>
      <c r="CR12" s="41"/>
      <c r="CS12" s="41"/>
      <c r="CT12" s="41"/>
      <c r="CU12" s="41"/>
      <c r="CV12" s="41"/>
      <c r="CW12" s="41"/>
      <c r="CX12" s="22"/>
      <c r="CY12" s="22"/>
      <c r="DA12" s="22"/>
      <c r="DB12" s="22"/>
    </row>
    <row r="13" spans="3:118" ht="15.95" customHeight="1" thickBot="1">
      <c r="C13" s="799"/>
      <c r="D13" s="547" t="s">
        <v>290</v>
      </c>
      <c r="E13" s="548"/>
      <c r="F13" s="549"/>
      <c r="G13" s="553">
        <v>32.950000000000003</v>
      </c>
      <c r="H13" s="517">
        <v>25.8</v>
      </c>
      <c r="I13" s="557"/>
      <c r="J13" s="557"/>
      <c r="K13" s="557">
        <f>I13+J13</f>
        <v>0</v>
      </c>
      <c r="L13" s="593">
        <f>G13*K13</f>
        <v>0</v>
      </c>
      <c r="M13" s="519">
        <f>H13*K13</f>
        <v>0</v>
      </c>
      <c r="N13" s="799"/>
      <c r="O13" s="547" t="s">
        <v>290</v>
      </c>
      <c r="P13" s="548"/>
      <c r="Q13" s="549"/>
      <c r="R13" s="553">
        <v>9.9499999999999993</v>
      </c>
      <c r="S13" s="517">
        <v>8.01</v>
      </c>
      <c r="T13" s="557"/>
      <c r="U13" s="557"/>
      <c r="V13" s="557">
        <f>T13+U13</f>
        <v>0</v>
      </c>
      <c r="W13" s="593">
        <f>R13*V13</f>
        <v>0</v>
      </c>
      <c r="X13" s="519">
        <f>S13*V13</f>
        <v>0</v>
      </c>
      <c r="Y13" s="799"/>
      <c r="Z13" s="547" t="s">
        <v>290</v>
      </c>
      <c r="AA13" s="548"/>
      <c r="AB13" s="549"/>
      <c r="AC13" s="569"/>
      <c r="AD13" s="571"/>
      <c r="AE13" s="557"/>
      <c r="AF13" s="557"/>
      <c r="AG13" s="557">
        <f>AE13+AF13</f>
        <v>0</v>
      </c>
      <c r="AH13" s="593">
        <f>AC13*AG13</f>
        <v>0</v>
      </c>
      <c r="AI13" s="519">
        <f>AD13*AG13</f>
        <v>0</v>
      </c>
      <c r="AL13" s="611"/>
      <c r="AM13" s="612"/>
      <c r="AN13" s="612"/>
      <c r="AO13" s="613"/>
      <c r="AX13" s="495"/>
      <c r="AY13" s="496"/>
      <c r="AZ13" s="496"/>
      <c r="BA13" s="497"/>
      <c r="BI13" s="529"/>
      <c r="BJ13" s="530"/>
      <c r="BK13" s="530"/>
      <c r="BL13" s="530"/>
      <c r="BM13" s="531"/>
      <c r="BN13" s="429"/>
      <c r="BO13" s="430"/>
      <c r="BR13" s="539" t="s">
        <v>53</v>
      </c>
      <c r="BS13" s="540"/>
      <c r="BT13" s="540"/>
      <c r="BU13" s="541"/>
      <c r="BV13" s="466">
        <v>0</v>
      </c>
      <c r="BW13" s="480">
        <v>0</v>
      </c>
      <c r="BX13" s="466">
        <v>0</v>
      </c>
      <c r="BY13" s="478">
        <v>0</v>
      </c>
      <c r="BZ13" s="480">
        <v>0</v>
      </c>
      <c r="CA13" s="480">
        <v>0</v>
      </c>
      <c r="CB13" s="466">
        <v>1</v>
      </c>
      <c r="CC13" s="478">
        <v>0</v>
      </c>
      <c r="CD13" s="795">
        <f>SUM(BV13:CC14)</f>
        <v>1</v>
      </c>
      <c r="CE13" s="797">
        <f>BV13*49+BW13*49+BX13*34+BY13*34+BZ13*29+CA13*29+CB13*29+CC13*29</f>
        <v>29</v>
      </c>
      <c r="CF13" s="468" t="s">
        <v>342</v>
      </c>
      <c r="CG13" s="469"/>
      <c r="CH13" s="470"/>
      <c r="CI13" s="474">
        <v>29</v>
      </c>
      <c r="CJ13" s="474"/>
      <c r="CK13" s="468" t="s">
        <v>286</v>
      </c>
      <c r="CL13" s="470"/>
      <c r="CM13" s="476"/>
    </row>
    <row r="14" spans="3:118" ht="15.95" customHeight="1" thickBot="1">
      <c r="C14" s="799"/>
      <c r="D14" s="550"/>
      <c r="E14" s="551"/>
      <c r="F14" s="552"/>
      <c r="G14" s="554"/>
      <c r="H14" s="518"/>
      <c r="I14" s="558"/>
      <c r="J14" s="558"/>
      <c r="K14" s="558"/>
      <c r="L14" s="558"/>
      <c r="M14" s="520"/>
      <c r="N14" s="799"/>
      <c r="O14" s="550"/>
      <c r="P14" s="551"/>
      <c r="Q14" s="552"/>
      <c r="R14" s="554"/>
      <c r="S14" s="518"/>
      <c r="T14" s="558"/>
      <c r="U14" s="558"/>
      <c r="V14" s="558"/>
      <c r="W14" s="558"/>
      <c r="X14" s="520"/>
      <c r="Y14" s="799"/>
      <c r="Z14" s="550"/>
      <c r="AA14" s="551"/>
      <c r="AB14" s="552"/>
      <c r="AC14" s="570"/>
      <c r="AD14" s="572"/>
      <c r="AE14" s="558"/>
      <c r="AF14" s="558"/>
      <c r="AG14" s="558"/>
      <c r="AH14" s="558"/>
      <c r="AI14" s="520"/>
      <c r="AL14" s="611"/>
      <c r="AM14" s="612"/>
      <c r="AN14" s="612"/>
      <c r="AO14" s="613"/>
      <c r="AP14" s="484" t="s">
        <v>274</v>
      </c>
      <c r="AQ14" s="484" t="s">
        <v>275</v>
      </c>
      <c r="AR14" s="484" t="s">
        <v>102</v>
      </c>
      <c r="AS14" s="605" t="s">
        <v>292</v>
      </c>
      <c r="AT14" s="484" t="s">
        <v>277</v>
      </c>
      <c r="AX14" s="495"/>
      <c r="AY14" s="496"/>
      <c r="AZ14" s="496"/>
      <c r="BA14" s="497"/>
      <c r="BB14" s="484" t="s">
        <v>293</v>
      </c>
      <c r="BC14" s="484" t="s">
        <v>16</v>
      </c>
      <c r="BD14" s="484" t="s">
        <v>13</v>
      </c>
      <c r="BE14" s="484" t="s">
        <v>275</v>
      </c>
      <c r="BF14" s="484" t="s">
        <v>277</v>
      </c>
      <c r="BI14" s="529" t="s">
        <v>343</v>
      </c>
      <c r="BJ14" s="530"/>
      <c r="BK14" s="530"/>
      <c r="BL14" s="530"/>
      <c r="BM14" s="531"/>
      <c r="BN14" s="532">
        <v>26.33</v>
      </c>
      <c r="BO14" s="430"/>
      <c r="BR14" s="542"/>
      <c r="BS14" s="543"/>
      <c r="BT14" s="543"/>
      <c r="BU14" s="544"/>
      <c r="BV14" s="467"/>
      <c r="BW14" s="481"/>
      <c r="BX14" s="467"/>
      <c r="BY14" s="479"/>
      <c r="BZ14" s="481"/>
      <c r="CA14" s="481"/>
      <c r="CB14" s="467"/>
      <c r="CC14" s="479"/>
      <c r="CD14" s="796"/>
      <c r="CE14" s="798"/>
      <c r="CF14" s="471"/>
      <c r="CG14" s="472"/>
      <c r="CH14" s="473"/>
      <c r="CI14" s="475"/>
      <c r="CJ14" s="475"/>
      <c r="CK14" s="471"/>
      <c r="CL14" s="473"/>
      <c r="CM14" s="477"/>
      <c r="CP14" s="87"/>
      <c r="CQ14" s="87"/>
      <c r="CR14" s="108"/>
      <c r="CS14" s="108"/>
      <c r="CT14" s="108"/>
      <c r="CU14" s="108"/>
      <c r="CV14" s="108"/>
      <c r="CW14" s="108"/>
      <c r="CX14" s="108"/>
      <c r="CY14" s="108"/>
    </row>
    <row r="15" spans="3:118" ht="15.95" customHeight="1" thickBot="1">
      <c r="C15" s="802"/>
      <c r="D15" s="547" t="s">
        <v>294</v>
      </c>
      <c r="E15" s="548"/>
      <c r="F15" s="549"/>
      <c r="G15" s="553">
        <v>32.950000000000003</v>
      </c>
      <c r="H15" s="517">
        <v>25.8</v>
      </c>
      <c r="I15" s="557"/>
      <c r="J15" s="557"/>
      <c r="K15" s="557">
        <f>I15+J15</f>
        <v>0</v>
      </c>
      <c r="L15" s="593">
        <f>G15*K15</f>
        <v>0</v>
      </c>
      <c r="M15" s="519">
        <f>H15*K15</f>
        <v>0</v>
      </c>
      <c r="N15" s="802"/>
      <c r="O15" s="547" t="s">
        <v>294</v>
      </c>
      <c r="P15" s="548"/>
      <c r="Q15" s="549"/>
      <c r="R15" s="553">
        <v>9.9499999999999993</v>
      </c>
      <c r="S15" s="517">
        <v>8.01</v>
      </c>
      <c r="T15" s="557">
        <v>6</v>
      </c>
      <c r="U15" s="557">
        <v>4</v>
      </c>
      <c r="V15" s="557">
        <f>T15+U15</f>
        <v>10</v>
      </c>
      <c r="W15" s="593">
        <f>R15*V15</f>
        <v>99.5</v>
      </c>
      <c r="X15" s="519">
        <f>S15*V15</f>
        <v>80.099999999999994</v>
      </c>
      <c r="Y15" s="802"/>
      <c r="Z15" s="547" t="s">
        <v>294</v>
      </c>
      <c r="AA15" s="548"/>
      <c r="AB15" s="549"/>
      <c r="AC15" s="569"/>
      <c r="AD15" s="571"/>
      <c r="AE15" s="557"/>
      <c r="AF15" s="557"/>
      <c r="AG15" s="557">
        <f>AE15+AF15</f>
        <v>0</v>
      </c>
      <c r="AH15" s="593">
        <f>AC15*AG15</f>
        <v>0</v>
      </c>
      <c r="AI15" s="519">
        <f>AD15*AG15</f>
        <v>0</v>
      </c>
      <c r="AL15" s="614"/>
      <c r="AM15" s="615"/>
      <c r="AN15" s="615"/>
      <c r="AO15" s="616"/>
      <c r="AP15" s="485"/>
      <c r="AQ15" s="485"/>
      <c r="AR15" s="485"/>
      <c r="AS15" s="606"/>
      <c r="AT15" s="485"/>
      <c r="AX15" s="498"/>
      <c r="AY15" s="499"/>
      <c r="AZ15" s="499"/>
      <c r="BA15" s="500"/>
      <c r="BB15" s="485"/>
      <c r="BC15" s="485"/>
      <c r="BD15" s="485"/>
      <c r="BE15" s="485"/>
      <c r="BF15" s="485"/>
      <c r="BI15" s="529"/>
      <c r="BJ15" s="530"/>
      <c r="BK15" s="530"/>
      <c r="BL15" s="530"/>
      <c r="BM15" s="531"/>
      <c r="BN15" s="429"/>
      <c r="BO15" s="430"/>
      <c r="BR15" s="539" t="s">
        <v>35</v>
      </c>
      <c r="BS15" s="540"/>
      <c r="BT15" s="540"/>
      <c r="BU15" s="541"/>
      <c r="BV15" s="466">
        <v>0</v>
      </c>
      <c r="BW15" s="480">
        <v>0</v>
      </c>
      <c r="BX15" s="466">
        <v>1</v>
      </c>
      <c r="BY15" s="478">
        <v>0</v>
      </c>
      <c r="BZ15" s="480">
        <v>1</v>
      </c>
      <c r="CA15" s="480">
        <v>0</v>
      </c>
      <c r="CB15" s="466">
        <v>0</v>
      </c>
      <c r="CC15" s="478">
        <v>0</v>
      </c>
      <c r="CD15" s="795">
        <f>SUM(BV15:CC16)</f>
        <v>2</v>
      </c>
      <c r="CE15" s="797">
        <f>BV15*49+BW15*49+BX15*34+BY15*34+BZ15*29+CA15*29+CB15*29+CC15*29</f>
        <v>63</v>
      </c>
      <c r="CF15" s="468" t="s">
        <v>344</v>
      </c>
      <c r="CG15" s="469"/>
      <c r="CH15" s="470"/>
      <c r="CI15" s="474"/>
      <c r="CJ15" s="474">
        <v>63</v>
      </c>
      <c r="CK15" s="468" t="s">
        <v>286</v>
      </c>
      <c r="CL15" s="470"/>
      <c r="CM15" s="476"/>
      <c r="CQ15" s="175"/>
      <c r="CR15" s="41"/>
      <c r="CS15" s="41"/>
      <c r="CT15" s="41"/>
      <c r="CU15" s="41"/>
      <c r="CV15" s="22"/>
      <c r="CW15" s="22"/>
      <c r="CX15" s="41"/>
      <c r="CY15" s="41"/>
      <c r="DA15" s="22"/>
      <c r="DB15" s="22"/>
    </row>
    <row r="16" spans="3:118" ht="15.95" customHeight="1" thickBot="1">
      <c r="C16" s="802"/>
      <c r="D16" s="550"/>
      <c r="E16" s="551"/>
      <c r="F16" s="552"/>
      <c r="G16" s="554"/>
      <c r="H16" s="518"/>
      <c r="I16" s="558"/>
      <c r="J16" s="558"/>
      <c r="K16" s="558"/>
      <c r="L16" s="558"/>
      <c r="M16" s="520"/>
      <c r="N16" s="802"/>
      <c r="O16" s="550"/>
      <c r="P16" s="551"/>
      <c r="Q16" s="552"/>
      <c r="R16" s="554"/>
      <c r="S16" s="518"/>
      <c r="T16" s="558"/>
      <c r="U16" s="558"/>
      <c r="V16" s="558"/>
      <c r="W16" s="558"/>
      <c r="X16" s="520"/>
      <c r="Y16" s="802"/>
      <c r="Z16" s="550"/>
      <c r="AA16" s="551"/>
      <c r="AB16" s="552"/>
      <c r="AC16" s="570"/>
      <c r="AD16" s="572"/>
      <c r="AE16" s="558"/>
      <c r="AF16" s="558"/>
      <c r="AG16" s="558"/>
      <c r="AH16" s="558"/>
      <c r="AI16" s="520"/>
      <c r="AL16" s="800"/>
      <c r="AM16" s="547" t="s">
        <v>335</v>
      </c>
      <c r="AN16" s="548"/>
      <c r="AO16" s="549"/>
      <c r="AP16" s="645">
        <v>3</v>
      </c>
      <c r="AQ16" s="557">
        <f>K9</f>
        <v>14</v>
      </c>
      <c r="AR16" s="647">
        <f>((AP16*AQ16)*0.21)/AQ16</f>
        <v>0.63</v>
      </c>
      <c r="AS16" s="647">
        <f>AP16+AR16</f>
        <v>3.63</v>
      </c>
      <c r="AT16" s="519">
        <f>AQ16*AS16</f>
        <v>50.82</v>
      </c>
      <c r="AX16" s="800"/>
      <c r="AY16" s="547" t="s">
        <v>335</v>
      </c>
      <c r="AZ16" s="548"/>
      <c r="BA16" s="549"/>
      <c r="BB16" s="641">
        <f>AP48</f>
        <v>49</v>
      </c>
      <c r="BC16" s="643">
        <f>I9</f>
        <v>7</v>
      </c>
      <c r="BD16" s="643">
        <f>J9</f>
        <v>7</v>
      </c>
      <c r="BE16" s="643">
        <f>BC16+BD16</f>
        <v>14</v>
      </c>
      <c r="BF16" s="650">
        <f>BB16*BE16</f>
        <v>686</v>
      </c>
      <c r="BI16" s="529" t="s">
        <v>345</v>
      </c>
      <c r="BJ16" s="530"/>
      <c r="BK16" s="530"/>
      <c r="BL16" s="530"/>
      <c r="BM16" s="531"/>
      <c r="BN16" s="532">
        <v>40</v>
      </c>
      <c r="BO16" s="600"/>
      <c r="BR16" s="542"/>
      <c r="BS16" s="543"/>
      <c r="BT16" s="543"/>
      <c r="BU16" s="544"/>
      <c r="BV16" s="467"/>
      <c r="BW16" s="481"/>
      <c r="BX16" s="467"/>
      <c r="BY16" s="479"/>
      <c r="BZ16" s="481"/>
      <c r="CA16" s="481"/>
      <c r="CB16" s="467"/>
      <c r="CC16" s="479"/>
      <c r="CD16" s="796"/>
      <c r="CE16" s="798"/>
      <c r="CF16" s="471"/>
      <c r="CG16" s="472"/>
      <c r="CH16" s="473"/>
      <c r="CI16" s="475"/>
      <c r="CJ16" s="475"/>
      <c r="CK16" s="471"/>
      <c r="CL16" s="473"/>
      <c r="CM16" s="477"/>
      <c r="CR16" s="41"/>
      <c r="CS16" s="41"/>
      <c r="CT16" s="41"/>
      <c r="CU16" s="41"/>
      <c r="CV16" s="41"/>
      <c r="CW16" s="41"/>
      <c r="CX16" s="22"/>
      <c r="CY16" s="22"/>
      <c r="DA16" s="22"/>
      <c r="DB16" s="22"/>
    </row>
    <row r="17" spans="3:106" ht="15.95" customHeight="1" thickBot="1">
      <c r="C17" s="801"/>
      <c r="D17" s="547" t="s">
        <v>298</v>
      </c>
      <c r="E17" s="548"/>
      <c r="F17" s="549"/>
      <c r="G17" s="553">
        <v>34.5</v>
      </c>
      <c r="H17" s="555">
        <v>27.5</v>
      </c>
      <c r="I17" s="557"/>
      <c r="J17" s="557"/>
      <c r="K17" s="557">
        <f>I17+J17</f>
        <v>0</v>
      </c>
      <c r="L17" s="593">
        <f>G17*K17</f>
        <v>0</v>
      </c>
      <c r="M17" s="519">
        <f>H17*K17</f>
        <v>0</v>
      </c>
      <c r="N17" s="801"/>
      <c r="O17" s="547" t="s">
        <v>298</v>
      </c>
      <c r="P17" s="548"/>
      <c r="Q17" s="549"/>
      <c r="R17" s="553">
        <v>15.75</v>
      </c>
      <c r="S17" s="517">
        <v>9.1999999999999993</v>
      </c>
      <c r="T17" s="557">
        <v>2</v>
      </c>
      <c r="U17" s="557">
        <v>2</v>
      </c>
      <c r="V17" s="557">
        <f>T17+U17</f>
        <v>4</v>
      </c>
      <c r="W17" s="593">
        <f>R17*V17</f>
        <v>63</v>
      </c>
      <c r="X17" s="519">
        <f>S17*V17</f>
        <v>36.799999999999997</v>
      </c>
      <c r="Y17" s="801"/>
      <c r="Z17" s="547" t="s">
        <v>298</v>
      </c>
      <c r="AA17" s="548"/>
      <c r="AB17" s="549"/>
      <c r="AC17" s="569"/>
      <c r="AD17" s="571"/>
      <c r="AE17" s="557"/>
      <c r="AF17" s="557"/>
      <c r="AG17" s="557">
        <f>AE17+AF17</f>
        <v>0</v>
      </c>
      <c r="AH17" s="593">
        <f>AC17*AG17</f>
        <v>0</v>
      </c>
      <c r="AI17" s="519">
        <f>AD17*AG17</f>
        <v>0</v>
      </c>
      <c r="AL17" s="793"/>
      <c r="AM17" s="550"/>
      <c r="AN17" s="551"/>
      <c r="AO17" s="552"/>
      <c r="AP17" s="646"/>
      <c r="AQ17" s="558"/>
      <c r="AR17" s="648"/>
      <c r="AS17" s="648"/>
      <c r="AT17" s="640"/>
      <c r="AX17" s="793"/>
      <c r="AY17" s="550"/>
      <c r="AZ17" s="551"/>
      <c r="BA17" s="552"/>
      <c r="BB17" s="642"/>
      <c r="BC17" s="644"/>
      <c r="BD17" s="644"/>
      <c r="BE17" s="644"/>
      <c r="BF17" s="651"/>
      <c r="BI17" s="585"/>
      <c r="BJ17" s="595"/>
      <c r="BK17" s="595"/>
      <c r="BL17" s="595"/>
      <c r="BM17" s="586"/>
      <c r="BN17" s="601"/>
      <c r="BO17" s="602"/>
      <c r="BR17" s="539" t="s">
        <v>55</v>
      </c>
      <c r="BS17" s="540"/>
      <c r="BT17" s="540"/>
      <c r="BU17" s="541"/>
      <c r="BV17" s="466">
        <v>1</v>
      </c>
      <c r="BW17" s="480">
        <v>0</v>
      </c>
      <c r="BX17" s="466">
        <v>0</v>
      </c>
      <c r="BY17" s="478">
        <v>0</v>
      </c>
      <c r="BZ17" s="480">
        <v>0</v>
      </c>
      <c r="CA17" s="480">
        <v>0</v>
      </c>
      <c r="CB17" s="466">
        <v>0</v>
      </c>
      <c r="CC17" s="478">
        <v>0</v>
      </c>
      <c r="CD17" s="795">
        <f>SUM(BV17:CC18)</f>
        <v>1</v>
      </c>
      <c r="CE17" s="797">
        <f>BV17*49+BW17*49+BX17*34+BY17*34+BZ17*29+CA17*29+CB17*29+CC17*29</f>
        <v>49</v>
      </c>
      <c r="CF17" s="468" t="s">
        <v>346</v>
      </c>
      <c r="CG17" s="469"/>
      <c r="CH17" s="470"/>
      <c r="CI17" s="474"/>
      <c r="CJ17" s="474">
        <v>49</v>
      </c>
      <c r="CK17" s="468" t="s">
        <v>286</v>
      </c>
      <c r="CL17" s="470"/>
      <c r="CM17" s="476"/>
    </row>
    <row r="18" spans="3:106" ht="15.95" customHeight="1" thickBot="1">
      <c r="C18" s="801"/>
      <c r="D18" s="550"/>
      <c r="E18" s="551"/>
      <c r="F18" s="552"/>
      <c r="G18" s="554"/>
      <c r="H18" s="556"/>
      <c r="I18" s="558"/>
      <c r="J18" s="558"/>
      <c r="K18" s="558"/>
      <c r="L18" s="558"/>
      <c r="M18" s="520"/>
      <c r="N18" s="801"/>
      <c r="O18" s="550"/>
      <c r="P18" s="551"/>
      <c r="Q18" s="552"/>
      <c r="R18" s="554"/>
      <c r="S18" s="518"/>
      <c r="T18" s="558"/>
      <c r="U18" s="558"/>
      <c r="V18" s="558"/>
      <c r="W18" s="558"/>
      <c r="X18" s="520"/>
      <c r="Y18" s="801"/>
      <c r="Z18" s="550"/>
      <c r="AA18" s="551"/>
      <c r="AB18" s="552"/>
      <c r="AC18" s="570"/>
      <c r="AD18" s="572"/>
      <c r="AE18" s="558"/>
      <c r="AF18" s="558"/>
      <c r="AG18" s="558"/>
      <c r="AH18" s="558"/>
      <c r="AI18" s="520"/>
      <c r="AL18" s="793"/>
      <c r="AM18" s="547" t="s">
        <v>261</v>
      </c>
      <c r="AN18" s="548"/>
      <c r="AO18" s="549"/>
      <c r="AP18" s="571">
        <v>3</v>
      </c>
      <c r="AQ18" s="557">
        <v>34</v>
      </c>
      <c r="AR18" s="557">
        <f>((AP18*AQ18)*0.21)/AQ18</f>
        <v>0.62999999999999989</v>
      </c>
      <c r="AS18" s="647">
        <f>AP18+AR18</f>
        <v>3.63</v>
      </c>
      <c r="AT18" s="519">
        <f>AQ18*AS18</f>
        <v>123.42</v>
      </c>
      <c r="AX18" s="793"/>
      <c r="AY18" s="547" t="s">
        <v>261</v>
      </c>
      <c r="AZ18" s="548"/>
      <c r="BA18" s="549"/>
      <c r="BB18" s="641">
        <f>AP50</f>
        <v>34</v>
      </c>
      <c r="BC18" s="649">
        <f>T9-4</f>
        <v>10</v>
      </c>
      <c r="BD18" s="649">
        <f>U9</f>
        <v>7</v>
      </c>
      <c r="BE18" s="643">
        <f>BC18+BD18</f>
        <v>17</v>
      </c>
      <c r="BF18" s="650">
        <f>BB18*BE18</f>
        <v>578</v>
      </c>
      <c r="BI18" s="617" t="s">
        <v>145</v>
      </c>
      <c r="BJ18" s="618"/>
      <c r="BK18" s="618"/>
      <c r="BL18" s="618"/>
      <c r="BM18" s="619"/>
      <c r="BN18" s="623">
        <f>SUM(BN6:BO17)</f>
        <v>1261.6949999999999</v>
      </c>
      <c r="BO18" s="624"/>
      <c r="BR18" s="542"/>
      <c r="BS18" s="543"/>
      <c r="BT18" s="543"/>
      <c r="BU18" s="544"/>
      <c r="BV18" s="467"/>
      <c r="BW18" s="481"/>
      <c r="BX18" s="467"/>
      <c r="BY18" s="479"/>
      <c r="BZ18" s="481"/>
      <c r="CA18" s="481"/>
      <c r="CB18" s="467"/>
      <c r="CC18" s="479"/>
      <c r="CD18" s="796"/>
      <c r="CE18" s="798"/>
      <c r="CF18" s="471"/>
      <c r="CG18" s="472"/>
      <c r="CH18" s="473"/>
      <c r="CI18" s="475"/>
      <c r="CJ18" s="475"/>
      <c r="CK18" s="471"/>
      <c r="CL18" s="473"/>
      <c r="CM18" s="477"/>
      <c r="CP18" s="87"/>
      <c r="CQ18" s="87"/>
      <c r="CR18" s="108"/>
      <c r="CS18" s="108"/>
      <c r="CT18" s="108"/>
      <c r="CU18" s="108"/>
      <c r="CV18" s="108"/>
      <c r="CW18" s="108"/>
      <c r="CX18" s="108"/>
      <c r="CY18" s="108"/>
    </row>
    <row r="19" spans="3:106" ht="15.95" customHeight="1" thickBot="1">
      <c r="C19" s="803"/>
      <c r="D19" s="547" t="s">
        <v>300</v>
      </c>
      <c r="E19" s="548"/>
      <c r="F19" s="549"/>
      <c r="G19" s="553"/>
      <c r="H19" s="555"/>
      <c r="I19" s="557"/>
      <c r="J19" s="557"/>
      <c r="K19" s="557">
        <f>I19+J19</f>
        <v>0</v>
      </c>
      <c r="L19" s="593">
        <f>G19*K19</f>
        <v>0</v>
      </c>
      <c r="M19" s="519">
        <f>H19*K19</f>
        <v>0</v>
      </c>
      <c r="N19" s="803"/>
      <c r="O19" s="547" t="s">
        <v>300</v>
      </c>
      <c r="P19" s="548"/>
      <c r="Q19" s="549"/>
      <c r="R19" s="553"/>
      <c r="S19" s="571"/>
      <c r="T19" s="557"/>
      <c r="U19" s="557"/>
      <c r="V19" s="557">
        <f>T19+U19</f>
        <v>0</v>
      </c>
      <c r="W19" s="593">
        <f>R19*V19</f>
        <v>0</v>
      </c>
      <c r="X19" s="519">
        <f>S19*V19</f>
        <v>0</v>
      </c>
      <c r="Y19" s="803"/>
      <c r="Z19" s="547" t="s">
        <v>300</v>
      </c>
      <c r="AA19" s="548"/>
      <c r="AB19" s="549"/>
      <c r="AC19" s="569"/>
      <c r="AD19" s="571"/>
      <c r="AE19" s="557"/>
      <c r="AF19" s="557"/>
      <c r="AG19" s="557">
        <f>AE19+AF19</f>
        <v>0</v>
      </c>
      <c r="AH19" s="593">
        <f>AC19*AG19</f>
        <v>0</v>
      </c>
      <c r="AI19" s="519">
        <f>AD19*AG19</f>
        <v>0</v>
      </c>
      <c r="AL19" s="793"/>
      <c r="AM19" s="550"/>
      <c r="AN19" s="551"/>
      <c r="AO19" s="552"/>
      <c r="AP19" s="572"/>
      <c r="AQ19" s="558"/>
      <c r="AR19" s="648"/>
      <c r="AS19" s="648"/>
      <c r="AT19" s="640"/>
      <c r="AU19" s="71"/>
      <c r="AX19" s="793"/>
      <c r="AY19" s="550"/>
      <c r="AZ19" s="551"/>
      <c r="BA19" s="552"/>
      <c r="BB19" s="642"/>
      <c r="BC19" s="520"/>
      <c r="BD19" s="520"/>
      <c r="BE19" s="644"/>
      <c r="BF19" s="651"/>
      <c r="BI19" s="620"/>
      <c r="BJ19" s="621"/>
      <c r="BK19" s="621"/>
      <c r="BL19" s="621"/>
      <c r="BM19" s="622"/>
      <c r="BN19" s="625"/>
      <c r="BO19" s="626"/>
      <c r="BR19" s="539" t="s">
        <v>347</v>
      </c>
      <c r="BS19" s="540"/>
      <c r="BT19" s="540"/>
      <c r="BU19" s="541"/>
      <c r="BV19" s="466">
        <v>0</v>
      </c>
      <c r="BW19" s="480">
        <v>0</v>
      </c>
      <c r="BX19" s="466">
        <v>0</v>
      </c>
      <c r="BY19" s="478">
        <v>1</v>
      </c>
      <c r="BZ19" s="480">
        <v>0</v>
      </c>
      <c r="CA19" s="480">
        <v>0</v>
      </c>
      <c r="CB19" s="466">
        <v>0</v>
      </c>
      <c r="CC19" s="478">
        <v>0</v>
      </c>
      <c r="CD19" s="795">
        <f>SUM(BV19:CC20)</f>
        <v>1</v>
      </c>
      <c r="CE19" s="797">
        <f>BV19*49+BW19*49+BX19*34+BY19*34+BZ19*29+CA19*29+CB19*29+CC19*29</f>
        <v>34</v>
      </c>
      <c r="CF19" s="468" t="s">
        <v>348</v>
      </c>
      <c r="CG19" s="469"/>
      <c r="CH19" s="470"/>
      <c r="CI19" s="474">
        <v>34</v>
      </c>
      <c r="CJ19" s="474"/>
      <c r="CK19" s="468" t="s">
        <v>286</v>
      </c>
      <c r="CL19" s="470"/>
      <c r="CM19" s="476"/>
      <c r="CQ19" s="175"/>
      <c r="CR19" s="41"/>
      <c r="CS19" s="41"/>
      <c r="CT19" s="41"/>
      <c r="CU19" s="41"/>
      <c r="CV19" s="22"/>
      <c r="CW19" s="22"/>
      <c r="CX19" s="41"/>
      <c r="CY19" s="41"/>
      <c r="DA19" s="22"/>
      <c r="DB19" s="22"/>
    </row>
    <row r="20" spans="3:106" ht="15.95" customHeight="1" thickBot="1">
      <c r="C20" s="803"/>
      <c r="D20" s="550"/>
      <c r="E20" s="551"/>
      <c r="F20" s="552"/>
      <c r="G20" s="554"/>
      <c r="H20" s="556"/>
      <c r="I20" s="558"/>
      <c r="J20" s="558"/>
      <c r="K20" s="558"/>
      <c r="L20" s="558"/>
      <c r="M20" s="520"/>
      <c r="N20" s="803"/>
      <c r="O20" s="550"/>
      <c r="P20" s="551"/>
      <c r="Q20" s="552"/>
      <c r="R20" s="554"/>
      <c r="S20" s="572"/>
      <c r="T20" s="558"/>
      <c r="U20" s="558"/>
      <c r="V20" s="558"/>
      <c r="W20" s="558"/>
      <c r="X20" s="520"/>
      <c r="Y20" s="803"/>
      <c r="Z20" s="550"/>
      <c r="AA20" s="551"/>
      <c r="AB20" s="552"/>
      <c r="AC20" s="570"/>
      <c r="AD20" s="572"/>
      <c r="AE20" s="558"/>
      <c r="AF20" s="558"/>
      <c r="AG20" s="558"/>
      <c r="AH20" s="558"/>
      <c r="AI20" s="520"/>
      <c r="AL20" s="802"/>
      <c r="AM20" s="547" t="s">
        <v>336</v>
      </c>
      <c r="AN20" s="548"/>
      <c r="AO20" s="549"/>
      <c r="AP20" s="571">
        <v>2.5</v>
      </c>
      <c r="AQ20" s="557">
        <f>V15+1</f>
        <v>11</v>
      </c>
      <c r="AR20" s="647">
        <f>((AP20*AQ20)*0.21)/AQ20</f>
        <v>0.52499999999999991</v>
      </c>
      <c r="AS20" s="647">
        <f>AP20+AR20</f>
        <v>3.0249999999999999</v>
      </c>
      <c r="AT20" s="519">
        <f>AQ20*AS20</f>
        <v>33.274999999999999</v>
      </c>
      <c r="AU20" s="71"/>
      <c r="AX20" s="802"/>
      <c r="AY20" s="547" t="s">
        <v>336</v>
      </c>
      <c r="AZ20" s="548"/>
      <c r="BA20" s="549"/>
      <c r="BB20" s="641">
        <f>AP52</f>
        <v>29</v>
      </c>
      <c r="BC20" s="649">
        <f>T15</f>
        <v>6</v>
      </c>
      <c r="BD20" s="649">
        <f>U15</f>
        <v>4</v>
      </c>
      <c r="BE20" s="643">
        <f>BC20+BD20</f>
        <v>10</v>
      </c>
      <c r="BF20" s="650">
        <f>BB20*BE20</f>
        <v>290</v>
      </c>
      <c r="BN20" s="70"/>
      <c r="BO20" s="70"/>
      <c r="BR20" s="542"/>
      <c r="BS20" s="543"/>
      <c r="BT20" s="543"/>
      <c r="BU20" s="544"/>
      <c r="BV20" s="467"/>
      <c r="BW20" s="481"/>
      <c r="BX20" s="467"/>
      <c r="BY20" s="479"/>
      <c r="BZ20" s="481"/>
      <c r="CA20" s="481"/>
      <c r="CB20" s="467"/>
      <c r="CC20" s="479"/>
      <c r="CD20" s="796"/>
      <c r="CE20" s="798"/>
      <c r="CF20" s="471"/>
      <c r="CG20" s="472"/>
      <c r="CH20" s="473"/>
      <c r="CI20" s="475"/>
      <c r="CJ20" s="475"/>
      <c r="CK20" s="471"/>
      <c r="CL20" s="473"/>
      <c r="CM20" s="477"/>
      <c r="CR20" s="41"/>
      <c r="CS20" s="41"/>
      <c r="CT20" s="41"/>
      <c r="CU20" s="41"/>
      <c r="CV20" s="41"/>
      <c r="CW20" s="41"/>
      <c r="CX20" s="22"/>
      <c r="CY20" s="22"/>
      <c r="DA20" s="22"/>
      <c r="DB20" s="22"/>
    </row>
    <row r="21" spans="3:106" ht="15.95" customHeight="1" thickBot="1">
      <c r="C21" s="804"/>
      <c r="D21" s="547" t="s">
        <v>302</v>
      </c>
      <c r="E21" s="548"/>
      <c r="F21" s="549"/>
      <c r="G21" s="553"/>
      <c r="H21" s="555"/>
      <c r="I21" s="557"/>
      <c r="J21" s="557"/>
      <c r="K21" s="557">
        <f>I21+J21</f>
        <v>0</v>
      </c>
      <c r="L21" s="593">
        <f>G21*K21</f>
        <v>0</v>
      </c>
      <c r="M21" s="519">
        <f>H21*K21</f>
        <v>0</v>
      </c>
      <c r="N21" s="804"/>
      <c r="O21" s="547" t="s">
        <v>302</v>
      </c>
      <c r="P21" s="548"/>
      <c r="Q21" s="549"/>
      <c r="R21" s="553"/>
      <c r="S21" s="571"/>
      <c r="T21" s="557"/>
      <c r="U21" s="557"/>
      <c r="V21" s="557">
        <f>T21+U21</f>
        <v>0</v>
      </c>
      <c r="W21" s="593">
        <f>R21*V21</f>
        <v>0</v>
      </c>
      <c r="X21" s="519">
        <f>S21*V21</f>
        <v>0</v>
      </c>
      <c r="Y21" s="804"/>
      <c r="Z21" s="547" t="s">
        <v>302</v>
      </c>
      <c r="AA21" s="548"/>
      <c r="AB21" s="549"/>
      <c r="AC21" s="569"/>
      <c r="AD21" s="571"/>
      <c r="AE21" s="557"/>
      <c r="AF21" s="557"/>
      <c r="AG21" s="557">
        <f>AE21+AF21</f>
        <v>0</v>
      </c>
      <c r="AH21" s="593">
        <f>AC21*AG21</f>
        <v>0</v>
      </c>
      <c r="AI21" s="519">
        <f>AD21*AG21</f>
        <v>0</v>
      </c>
      <c r="AL21" s="802"/>
      <c r="AM21" s="550"/>
      <c r="AN21" s="551"/>
      <c r="AO21" s="552"/>
      <c r="AP21" s="572"/>
      <c r="AQ21" s="558"/>
      <c r="AR21" s="648"/>
      <c r="AS21" s="648"/>
      <c r="AT21" s="640"/>
      <c r="AU21" s="71"/>
      <c r="AX21" s="802"/>
      <c r="AY21" s="550"/>
      <c r="AZ21" s="551"/>
      <c r="BA21" s="552"/>
      <c r="BB21" s="642"/>
      <c r="BC21" s="520"/>
      <c r="BD21" s="520"/>
      <c r="BE21" s="644"/>
      <c r="BF21" s="651"/>
      <c r="BI21" s="628" t="s">
        <v>295</v>
      </c>
      <c r="BJ21" s="629"/>
      <c r="BK21" s="629"/>
      <c r="BL21" s="629"/>
      <c r="BM21" s="630"/>
      <c r="BN21" s="634">
        <f>BN3-BN18</f>
        <v>150.30500000000006</v>
      </c>
      <c r="BO21" s="635"/>
      <c r="BR21" s="539" t="s">
        <v>12</v>
      </c>
      <c r="BS21" s="540"/>
      <c r="BT21" s="540"/>
      <c r="BU21" s="541"/>
      <c r="BV21" s="466">
        <v>0</v>
      </c>
      <c r="BW21" s="480">
        <v>0</v>
      </c>
      <c r="BX21" s="466">
        <v>1</v>
      </c>
      <c r="BY21" s="478">
        <v>0</v>
      </c>
      <c r="BZ21" s="480">
        <v>0</v>
      </c>
      <c r="CA21" s="480">
        <v>0</v>
      </c>
      <c r="CB21" s="466">
        <v>0</v>
      </c>
      <c r="CC21" s="478">
        <v>0</v>
      </c>
      <c r="CD21" s="795">
        <f>SUM(BV21:CC22)</f>
        <v>1</v>
      </c>
      <c r="CE21" s="797">
        <f>BV21*49+BW21*49+BX21*34+BY21*34+BZ21*29+CA21*29+CB21*29+CC21*29</f>
        <v>34</v>
      </c>
      <c r="CF21" s="468" t="s">
        <v>349</v>
      </c>
      <c r="CG21" s="469"/>
      <c r="CH21" s="470"/>
      <c r="CI21" s="474"/>
      <c r="CJ21" s="474">
        <v>34</v>
      </c>
      <c r="CK21" s="468" t="s">
        <v>286</v>
      </c>
      <c r="CL21" s="470"/>
      <c r="CM21" s="476"/>
    </row>
    <row r="22" spans="3:106" ht="15.95" customHeight="1" thickBot="1">
      <c r="C22" s="804"/>
      <c r="D22" s="550"/>
      <c r="E22" s="551"/>
      <c r="F22" s="552"/>
      <c r="G22" s="554"/>
      <c r="H22" s="556"/>
      <c r="I22" s="558"/>
      <c r="J22" s="558"/>
      <c r="K22" s="558"/>
      <c r="L22" s="558"/>
      <c r="M22" s="520"/>
      <c r="N22" s="804"/>
      <c r="O22" s="550"/>
      <c r="P22" s="551"/>
      <c r="Q22" s="552"/>
      <c r="R22" s="554"/>
      <c r="S22" s="572"/>
      <c r="T22" s="558"/>
      <c r="U22" s="558"/>
      <c r="V22" s="558"/>
      <c r="W22" s="558"/>
      <c r="X22" s="520"/>
      <c r="Y22" s="804"/>
      <c r="Z22" s="550"/>
      <c r="AA22" s="551"/>
      <c r="AB22" s="552"/>
      <c r="AC22" s="570"/>
      <c r="AD22" s="572"/>
      <c r="AE22" s="558"/>
      <c r="AF22" s="558"/>
      <c r="AG22" s="558"/>
      <c r="AH22" s="558"/>
      <c r="AI22" s="520"/>
      <c r="AL22" s="801"/>
      <c r="AM22" s="547" t="s">
        <v>337</v>
      </c>
      <c r="AN22" s="548"/>
      <c r="AO22" s="549"/>
      <c r="AP22" s="666">
        <v>8</v>
      </c>
      <c r="AQ22" s="557">
        <f>V17</f>
        <v>4</v>
      </c>
      <c r="AR22" s="647">
        <f>((AP22*AQ22)*0.21)/AQ22</f>
        <v>1.68</v>
      </c>
      <c r="AS22" s="519">
        <f>AP22+AR22</f>
        <v>9.68</v>
      </c>
      <c r="AT22" s="519">
        <f>AQ22*AS22</f>
        <v>38.72</v>
      </c>
      <c r="AU22" s="71"/>
      <c r="AX22" s="801"/>
      <c r="AY22" s="547" t="s">
        <v>337</v>
      </c>
      <c r="AZ22" s="548"/>
      <c r="BA22" s="549"/>
      <c r="BB22" s="641">
        <f>AP54</f>
        <v>29</v>
      </c>
      <c r="BC22" s="649">
        <f>T17</f>
        <v>2</v>
      </c>
      <c r="BD22" s="649">
        <f>U17</f>
        <v>2</v>
      </c>
      <c r="BE22" s="643">
        <f>BC22+BD22</f>
        <v>4</v>
      </c>
      <c r="BF22" s="650">
        <f>BB22*BE22</f>
        <v>116</v>
      </c>
      <c r="BI22" s="631"/>
      <c r="BJ22" s="632"/>
      <c r="BK22" s="632"/>
      <c r="BL22" s="632"/>
      <c r="BM22" s="633"/>
      <c r="BN22" s="636"/>
      <c r="BO22" s="637"/>
      <c r="BR22" s="542"/>
      <c r="BS22" s="543"/>
      <c r="BT22" s="543"/>
      <c r="BU22" s="544"/>
      <c r="BV22" s="467"/>
      <c r="BW22" s="481"/>
      <c r="BX22" s="467"/>
      <c r="BY22" s="479"/>
      <c r="BZ22" s="481"/>
      <c r="CA22" s="481"/>
      <c r="CB22" s="467"/>
      <c r="CC22" s="479"/>
      <c r="CD22" s="796"/>
      <c r="CE22" s="798"/>
      <c r="CF22" s="471"/>
      <c r="CG22" s="472"/>
      <c r="CH22" s="473"/>
      <c r="CI22" s="475"/>
      <c r="CJ22" s="475"/>
      <c r="CK22" s="471"/>
      <c r="CL22" s="473"/>
      <c r="CM22" s="477"/>
      <c r="CP22" s="87"/>
      <c r="CQ22" s="87"/>
      <c r="CR22" s="108"/>
      <c r="CS22" s="108"/>
      <c r="CT22" s="108"/>
      <c r="CU22" s="108"/>
      <c r="CV22" s="108"/>
      <c r="CW22" s="108"/>
      <c r="CX22" s="108"/>
      <c r="CY22" s="108"/>
    </row>
    <row r="23" spans="3:106" ht="15.95" customHeight="1" thickBot="1">
      <c r="C23" s="806"/>
      <c r="D23" s="547" t="s">
        <v>305</v>
      </c>
      <c r="E23" s="548"/>
      <c r="F23" s="549"/>
      <c r="G23" s="553">
        <v>32.950000000000003</v>
      </c>
      <c r="H23" s="517">
        <v>25.8</v>
      </c>
      <c r="I23" s="557"/>
      <c r="J23" s="557"/>
      <c r="K23" s="557">
        <f>I23+J23</f>
        <v>0</v>
      </c>
      <c r="L23" s="593">
        <f>G23*K23</f>
        <v>0</v>
      </c>
      <c r="M23" s="519">
        <f>H23*K23</f>
        <v>0</v>
      </c>
      <c r="N23" s="806"/>
      <c r="O23" s="547" t="s">
        <v>305</v>
      </c>
      <c r="P23" s="548"/>
      <c r="Q23" s="549"/>
      <c r="R23" s="553">
        <v>9.9499999999999993</v>
      </c>
      <c r="S23" s="517">
        <v>8.01</v>
      </c>
      <c r="T23" s="557"/>
      <c r="U23" s="557"/>
      <c r="V23" s="557">
        <f>T23+U23</f>
        <v>0</v>
      </c>
      <c r="W23" s="593">
        <f>R23*V23</f>
        <v>0</v>
      </c>
      <c r="X23" s="519">
        <f>S23*V23</f>
        <v>0</v>
      </c>
      <c r="Y23" s="806"/>
      <c r="Z23" s="547" t="s">
        <v>305</v>
      </c>
      <c r="AA23" s="548"/>
      <c r="AB23" s="549"/>
      <c r="AC23" s="569"/>
      <c r="AD23" s="571"/>
      <c r="AE23" s="557"/>
      <c r="AF23" s="557"/>
      <c r="AG23" s="557">
        <f>AE23+AF23</f>
        <v>0</v>
      </c>
      <c r="AH23" s="593">
        <f>AC23*AG23</f>
        <v>0</v>
      </c>
      <c r="AI23" s="519">
        <f>AD23*AG23</f>
        <v>0</v>
      </c>
      <c r="AL23" s="805"/>
      <c r="AM23" s="550"/>
      <c r="AN23" s="551"/>
      <c r="AO23" s="552"/>
      <c r="AP23" s="667"/>
      <c r="AQ23" s="668"/>
      <c r="AR23" s="648"/>
      <c r="AS23" s="669"/>
      <c r="AT23" s="640"/>
      <c r="AX23" s="805"/>
      <c r="AY23" s="550"/>
      <c r="AZ23" s="551"/>
      <c r="BA23" s="552"/>
      <c r="BB23" s="656"/>
      <c r="BC23" s="657"/>
      <c r="BD23" s="657"/>
      <c r="BE23" s="644"/>
      <c r="BF23" s="651"/>
      <c r="BR23" s="539" t="s">
        <v>34</v>
      </c>
      <c r="BS23" s="540"/>
      <c r="BT23" s="540"/>
      <c r="BU23" s="541"/>
      <c r="BV23" s="466">
        <v>0</v>
      </c>
      <c r="BW23" s="480">
        <v>0</v>
      </c>
      <c r="BX23" s="466">
        <v>0</v>
      </c>
      <c r="BY23" s="478">
        <v>0</v>
      </c>
      <c r="BZ23" s="480">
        <v>0</v>
      </c>
      <c r="CA23" s="480">
        <v>1</v>
      </c>
      <c r="CB23" s="466">
        <v>0</v>
      </c>
      <c r="CC23" s="478">
        <v>0</v>
      </c>
      <c r="CD23" s="795">
        <f>SUM(BV23:CC24)</f>
        <v>1</v>
      </c>
      <c r="CE23" s="797">
        <f>BV23*49+BW23*49+BX23*34+BY23*34+BZ23*29+CA23*29+CB23*29+CC23*29</f>
        <v>29</v>
      </c>
      <c r="CF23" s="468" t="s">
        <v>350</v>
      </c>
      <c r="CG23" s="469"/>
      <c r="CH23" s="470"/>
      <c r="CI23" s="474"/>
      <c r="CJ23" s="474">
        <v>29</v>
      </c>
      <c r="CK23" s="468" t="s">
        <v>286</v>
      </c>
      <c r="CL23" s="470"/>
      <c r="CM23" s="476"/>
      <c r="CQ23" s="175"/>
      <c r="CR23" s="41"/>
      <c r="CS23" s="41"/>
      <c r="CT23" s="41"/>
      <c r="CU23" s="41"/>
      <c r="CV23" s="22"/>
      <c r="CW23" s="22"/>
      <c r="CX23" s="41"/>
      <c r="CY23" s="41"/>
      <c r="DA23" s="22"/>
      <c r="DB23" s="22"/>
    </row>
    <row r="24" spans="3:106" ht="15.95" customHeight="1" thickBot="1">
      <c r="C24" s="806"/>
      <c r="D24" s="550"/>
      <c r="E24" s="551"/>
      <c r="F24" s="552"/>
      <c r="G24" s="554"/>
      <c r="H24" s="518"/>
      <c r="I24" s="558"/>
      <c r="J24" s="558"/>
      <c r="K24" s="558"/>
      <c r="L24" s="558"/>
      <c r="M24" s="520"/>
      <c r="N24" s="806"/>
      <c r="O24" s="550"/>
      <c r="P24" s="551"/>
      <c r="Q24" s="552"/>
      <c r="R24" s="554"/>
      <c r="S24" s="518"/>
      <c r="T24" s="558"/>
      <c r="U24" s="558"/>
      <c r="V24" s="558"/>
      <c r="W24" s="558"/>
      <c r="X24" s="520"/>
      <c r="Y24" s="806"/>
      <c r="Z24" s="550"/>
      <c r="AA24" s="551"/>
      <c r="AB24" s="552"/>
      <c r="AC24" s="570"/>
      <c r="AD24" s="572"/>
      <c r="AE24" s="558"/>
      <c r="AF24" s="558"/>
      <c r="AG24" s="558"/>
      <c r="AH24" s="558"/>
      <c r="AI24" s="520"/>
      <c r="AP24" s="72"/>
      <c r="AQ24" s="660">
        <f>SUM(AQ16:AQ23)</f>
        <v>63</v>
      </c>
      <c r="AR24" s="662">
        <f>SUM(AR16:AR23)</f>
        <v>3.4649999999999999</v>
      </c>
      <c r="AS24" s="77"/>
      <c r="AT24" s="662">
        <f>SUM(AT16:AT23)</f>
        <v>246.23500000000001</v>
      </c>
      <c r="BB24" s="72"/>
      <c r="BC24" s="72"/>
      <c r="BD24" s="72"/>
      <c r="BE24" s="643">
        <f>SUM(BE16:BE23)</f>
        <v>45</v>
      </c>
      <c r="BF24" s="650">
        <f>SUM(BF16:BF23)</f>
        <v>1670</v>
      </c>
      <c r="BR24" s="542"/>
      <c r="BS24" s="543"/>
      <c r="BT24" s="543"/>
      <c r="BU24" s="544"/>
      <c r="BV24" s="467"/>
      <c r="BW24" s="481"/>
      <c r="BX24" s="467"/>
      <c r="BY24" s="479"/>
      <c r="BZ24" s="481"/>
      <c r="CA24" s="481"/>
      <c r="CB24" s="467"/>
      <c r="CC24" s="479"/>
      <c r="CD24" s="796"/>
      <c r="CE24" s="798"/>
      <c r="CF24" s="471"/>
      <c r="CG24" s="472"/>
      <c r="CH24" s="473"/>
      <c r="CI24" s="475"/>
      <c r="CJ24" s="475"/>
      <c r="CK24" s="471"/>
      <c r="CL24" s="473"/>
      <c r="CM24" s="477"/>
      <c r="CR24" s="41"/>
      <c r="CS24" s="41"/>
      <c r="CT24" s="41"/>
      <c r="CU24" s="41"/>
      <c r="CV24" s="41"/>
      <c r="CW24" s="41"/>
      <c r="CX24" s="22"/>
      <c r="CY24" s="22"/>
      <c r="DA24" s="22"/>
      <c r="DB24" s="22"/>
    </row>
    <row r="25" spans="3:106" ht="15.95" customHeight="1" thickBot="1">
      <c r="C25" s="807"/>
      <c r="D25" s="547" t="s">
        <v>306</v>
      </c>
      <c r="E25" s="548"/>
      <c r="F25" s="549"/>
      <c r="G25" s="553">
        <v>32.950000000000003</v>
      </c>
      <c r="H25" s="517">
        <v>25.8</v>
      </c>
      <c r="I25" s="557"/>
      <c r="J25" s="557"/>
      <c r="K25" s="557">
        <f>I25+J25</f>
        <v>0</v>
      </c>
      <c r="L25" s="593">
        <f>G25*K25</f>
        <v>0</v>
      </c>
      <c r="M25" s="519">
        <f>H25*K25</f>
        <v>0</v>
      </c>
      <c r="N25" s="807"/>
      <c r="O25" s="547" t="s">
        <v>306</v>
      </c>
      <c r="P25" s="548"/>
      <c r="Q25" s="549"/>
      <c r="R25" s="553">
        <v>9.9499999999999993</v>
      </c>
      <c r="S25" s="517">
        <v>8.01</v>
      </c>
      <c r="T25" s="557"/>
      <c r="U25" s="557"/>
      <c r="V25" s="557">
        <f>T25+U25</f>
        <v>0</v>
      </c>
      <c r="W25" s="593">
        <f>R25*V25</f>
        <v>0</v>
      </c>
      <c r="X25" s="519">
        <f>S25*V25</f>
        <v>0</v>
      </c>
      <c r="Y25" s="807"/>
      <c r="Z25" s="547" t="s">
        <v>306</v>
      </c>
      <c r="AA25" s="548"/>
      <c r="AB25" s="549"/>
      <c r="AC25" s="569"/>
      <c r="AD25" s="571"/>
      <c r="AE25" s="557"/>
      <c r="AF25" s="557"/>
      <c r="AG25" s="557">
        <f>AE25+AF25</f>
        <v>0</v>
      </c>
      <c r="AH25" s="593">
        <f>AC25*AG25</f>
        <v>0</v>
      </c>
      <c r="AI25" s="519">
        <f>AD25*AG25</f>
        <v>0</v>
      </c>
      <c r="AP25" s="72"/>
      <c r="AQ25" s="661"/>
      <c r="AR25" s="663"/>
      <c r="AS25" s="77"/>
      <c r="AT25" s="663"/>
      <c r="BB25" s="72"/>
      <c r="BC25" s="72"/>
      <c r="BD25" s="72"/>
      <c r="BE25" s="664"/>
      <c r="BF25" s="665"/>
      <c r="BR25" s="539" t="s">
        <v>303</v>
      </c>
      <c r="BS25" s="540"/>
      <c r="BT25" s="540"/>
      <c r="BU25" s="541"/>
      <c r="BV25" s="466">
        <v>1</v>
      </c>
      <c r="BW25" s="480">
        <v>0</v>
      </c>
      <c r="BX25" s="466">
        <v>0</v>
      </c>
      <c r="BY25" s="478">
        <v>0</v>
      </c>
      <c r="BZ25" s="480">
        <v>0</v>
      </c>
      <c r="CA25" s="480">
        <v>0</v>
      </c>
      <c r="CB25" s="466">
        <v>1</v>
      </c>
      <c r="CC25" s="478">
        <v>0</v>
      </c>
      <c r="CD25" s="795">
        <f>SUM(BV25:CC26)</f>
        <v>2</v>
      </c>
      <c r="CE25" s="797">
        <f>BV25*49+BW25*49+BX25*34+BY25*34+BZ25*29+CA25*29+CB25*29+CC25*29</f>
        <v>78</v>
      </c>
      <c r="CF25" s="468" t="s">
        <v>351</v>
      </c>
      <c r="CG25" s="469"/>
      <c r="CH25" s="470"/>
      <c r="CI25" s="474"/>
      <c r="CJ25" s="474">
        <v>78</v>
      </c>
      <c r="CK25" s="468" t="s">
        <v>286</v>
      </c>
      <c r="CL25" s="470"/>
      <c r="CM25" s="476">
        <v>44517</v>
      </c>
    </row>
    <row r="26" spans="3:106" ht="15.95" customHeight="1" thickBot="1">
      <c r="C26" s="807"/>
      <c r="D26" s="550"/>
      <c r="E26" s="551"/>
      <c r="F26" s="552"/>
      <c r="G26" s="554"/>
      <c r="H26" s="518"/>
      <c r="I26" s="558"/>
      <c r="J26" s="558"/>
      <c r="K26" s="558"/>
      <c r="L26" s="558"/>
      <c r="M26" s="520"/>
      <c r="N26" s="807"/>
      <c r="O26" s="550"/>
      <c r="P26" s="551"/>
      <c r="Q26" s="552"/>
      <c r="R26" s="554"/>
      <c r="S26" s="518"/>
      <c r="T26" s="558"/>
      <c r="U26" s="558"/>
      <c r="V26" s="558"/>
      <c r="W26" s="558"/>
      <c r="X26" s="520"/>
      <c r="Y26" s="807"/>
      <c r="Z26" s="550"/>
      <c r="AA26" s="551"/>
      <c r="AB26" s="552"/>
      <c r="AC26" s="570"/>
      <c r="AD26" s="572"/>
      <c r="AE26" s="558"/>
      <c r="AF26" s="558"/>
      <c r="AG26" s="558"/>
      <c r="AH26" s="558"/>
      <c r="AI26" s="520"/>
      <c r="BB26" s="72"/>
      <c r="BC26" s="72"/>
      <c r="BD26" s="72"/>
      <c r="BE26" s="72"/>
      <c r="BF26" s="72"/>
      <c r="BR26" s="542"/>
      <c r="BS26" s="543"/>
      <c r="BT26" s="543"/>
      <c r="BU26" s="544"/>
      <c r="BV26" s="467"/>
      <c r="BW26" s="481"/>
      <c r="BX26" s="467"/>
      <c r="BY26" s="479"/>
      <c r="BZ26" s="481"/>
      <c r="CA26" s="481"/>
      <c r="CB26" s="467"/>
      <c r="CC26" s="479"/>
      <c r="CD26" s="796"/>
      <c r="CE26" s="798"/>
      <c r="CF26" s="471"/>
      <c r="CG26" s="472"/>
      <c r="CH26" s="473"/>
      <c r="CI26" s="475"/>
      <c r="CJ26" s="475"/>
      <c r="CK26" s="471"/>
      <c r="CL26" s="473"/>
      <c r="CM26" s="477"/>
      <c r="CP26" s="87"/>
      <c r="CQ26" s="87"/>
      <c r="CR26" s="108"/>
      <c r="CS26" s="108"/>
      <c r="CT26" s="108"/>
      <c r="CU26" s="108"/>
      <c r="CV26" s="108"/>
      <c r="CW26" s="108"/>
      <c r="CX26" s="108"/>
      <c r="CY26" s="108"/>
    </row>
    <row r="27" spans="3:106" ht="15.95" customHeight="1" thickBot="1">
      <c r="C27" s="808"/>
      <c r="D27" s="547" t="s">
        <v>307</v>
      </c>
      <c r="E27" s="548"/>
      <c r="F27" s="549"/>
      <c r="G27" s="553">
        <v>32.950000000000003</v>
      </c>
      <c r="H27" s="517">
        <v>25.8</v>
      </c>
      <c r="I27" s="557"/>
      <c r="J27" s="557"/>
      <c r="K27" s="557">
        <f>I27+J27</f>
        <v>0</v>
      </c>
      <c r="L27" s="593">
        <f>G27*K27</f>
        <v>0</v>
      </c>
      <c r="M27" s="519">
        <f>H27*K27</f>
        <v>0</v>
      </c>
      <c r="N27" s="808"/>
      <c r="O27" s="547" t="s">
        <v>307</v>
      </c>
      <c r="P27" s="548"/>
      <c r="Q27" s="549"/>
      <c r="R27" s="553">
        <v>9.9499999999999993</v>
      </c>
      <c r="S27" s="517">
        <v>8.01</v>
      </c>
      <c r="T27" s="557"/>
      <c r="U27" s="557"/>
      <c r="V27" s="557">
        <f>T27+U27</f>
        <v>0</v>
      </c>
      <c r="W27" s="593">
        <f>R27*V27</f>
        <v>0</v>
      </c>
      <c r="X27" s="519">
        <f>S27*V27</f>
        <v>0</v>
      </c>
      <c r="Y27" s="808"/>
      <c r="Z27" s="547" t="s">
        <v>307</v>
      </c>
      <c r="AA27" s="548"/>
      <c r="AB27" s="549"/>
      <c r="AC27" s="569"/>
      <c r="AD27" s="571"/>
      <c r="AE27" s="557"/>
      <c r="AF27" s="557"/>
      <c r="AG27" s="557">
        <f>AE27+AF27</f>
        <v>0</v>
      </c>
      <c r="AH27" s="593">
        <f>AC27*AG27</f>
        <v>0</v>
      </c>
      <c r="AI27" s="519">
        <f>AD27*AG27</f>
        <v>0</v>
      </c>
      <c r="BB27" s="72"/>
      <c r="BC27" s="72"/>
      <c r="BD27" s="72"/>
      <c r="BE27" s="72"/>
      <c r="BF27" s="72"/>
      <c r="BR27" s="539" t="s">
        <v>63</v>
      </c>
      <c r="BS27" s="540"/>
      <c r="BT27" s="540"/>
      <c r="BU27" s="541"/>
      <c r="BV27" s="466">
        <v>1</v>
      </c>
      <c r="BW27" s="480">
        <v>0</v>
      </c>
      <c r="BX27" s="466">
        <v>0</v>
      </c>
      <c r="BY27" s="478">
        <v>0</v>
      </c>
      <c r="BZ27" s="480">
        <v>0</v>
      </c>
      <c r="CA27" s="480">
        <v>0</v>
      </c>
      <c r="CB27" s="466">
        <v>0</v>
      </c>
      <c r="CC27" s="478">
        <v>0</v>
      </c>
      <c r="CD27" s="795">
        <f>SUM(BV27:CC28)</f>
        <v>1</v>
      </c>
      <c r="CE27" s="797">
        <f>BV27*49+BW27*49+BX27*34+BY27*34+BZ27*29+CA27*29+CB27*29+CC27*29</f>
        <v>49</v>
      </c>
      <c r="CF27" s="468" t="s">
        <v>346</v>
      </c>
      <c r="CG27" s="469"/>
      <c r="CH27" s="470"/>
      <c r="CI27" s="474"/>
      <c r="CJ27" s="474">
        <v>49</v>
      </c>
      <c r="CK27" s="468" t="s">
        <v>286</v>
      </c>
      <c r="CL27" s="470"/>
      <c r="CM27" s="476">
        <v>44536</v>
      </c>
      <c r="CQ27" s="175"/>
      <c r="CR27" s="41"/>
      <c r="CS27" s="41"/>
      <c r="CT27" s="41"/>
      <c r="CU27" s="41"/>
      <c r="CV27" s="22"/>
      <c r="CW27" s="22"/>
      <c r="CX27" s="41"/>
      <c r="CY27" s="41"/>
      <c r="DA27" s="22"/>
      <c r="DB27" s="22"/>
    </row>
    <row r="28" spans="3:106" ht="15.95" customHeight="1" thickBot="1">
      <c r="C28" s="808"/>
      <c r="D28" s="550"/>
      <c r="E28" s="551"/>
      <c r="F28" s="552"/>
      <c r="G28" s="554"/>
      <c r="H28" s="518"/>
      <c r="I28" s="558"/>
      <c r="J28" s="558"/>
      <c r="K28" s="558"/>
      <c r="L28" s="558"/>
      <c r="M28" s="520"/>
      <c r="N28" s="808"/>
      <c r="O28" s="550"/>
      <c r="P28" s="551"/>
      <c r="Q28" s="552"/>
      <c r="R28" s="554"/>
      <c r="S28" s="518"/>
      <c r="T28" s="558"/>
      <c r="U28" s="558"/>
      <c r="V28" s="558"/>
      <c r="W28" s="558"/>
      <c r="X28" s="520"/>
      <c r="Y28" s="808"/>
      <c r="Z28" s="550"/>
      <c r="AA28" s="551"/>
      <c r="AB28" s="552"/>
      <c r="AC28" s="570"/>
      <c r="AD28" s="572"/>
      <c r="AE28" s="558"/>
      <c r="AF28" s="558"/>
      <c r="AG28" s="558"/>
      <c r="AH28" s="558"/>
      <c r="AI28" s="520"/>
      <c r="AL28" s="608" t="s">
        <v>308</v>
      </c>
      <c r="AM28" s="609"/>
      <c r="AN28" s="609"/>
      <c r="AO28" s="610"/>
      <c r="AX28" s="673" t="s">
        <v>309</v>
      </c>
      <c r="AY28" s="674"/>
      <c r="AZ28" s="674"/>
      <c r="BA28" s="675"/>
      <c r="BB28" s="72"/>
      <c r="BC28" s="72"/>
      <c r="BD28" s="72"/>
      <c r="BE28" s="72"/>
      <c r="BF28" s="72"/>
      <c r="BR28" s="542"/>
      <c r="BS28" s="543"/>
      <c r="BT28" s="543"/>
      <c r="BU28" s="544"/>
      <c r="BV28" s="467"/>
      <c r="BW28" s="481"/>
      <c r="BX28" s="467"/>
      <c r="BY28" s="479"/>
      <c r="BZ28" s="481"/>
      <c r="CA28" s="481"/>
      <c r="CB28" s="467"/>
      <c r="CC28" s="479"/>
      <c r="CD28" s="796"/>
      <c r="CE28" s="798"/>
      <c r="CF28" s="471"/>
      <c r="CG28" s="472"/>
      <c r="CH28" s="473"/>
      <c r="CI28" s="475"/>
      <c r="CJ28" s="475"/>
      <c r="CK28" s="471"/>
      <c r="CL28" s="473"/>
      <c r="CM28" s="477"/>
      <c r="CR28" s="41"/>
      <c r="CS28" s="41"/>
      <c r="CT28" s="41"/>
      <c r="CU28" s="41"/>
      <c r="CV28" s="41"/>
      <c r="CW28" s="41"/>
      <c r="CX28" s="22"/>
      <c r="CY28" s="22"/>
      <c r="DA28" s="22"/>
      <c r="DB28" s="22"/>
    </row>
    <row r="29" spans="3:106" ht="15.95" customHeight="1" thickBot="1">
      <c r="C29" s="810"/>
      <c r="D29" s="547" t="s">
        <v>310</v>
      </c>
      <c r="E29" s="548"/>
      <c r="F29" s="549"/>
      <c r="G29" s="553"/>
      <c r="H29" s="555"/>
      <c r="I29" s="557"/>
      <c r="J29" s="557"/>
      <c r="K29" s="557">
        <f>I29+J29</f>
        <v>0</v>
      </c>
      <c r="L29" s="593">
        <f>G29*K29</f>
        <v>0</v>
      </c>
      <c r="M29" s="519">
        <f>H29*K29</f>
        <v>0</v>
      </c>
      <c r="N29" s="810"/>
      <c r="O29" s="547" t="s">
        <v>310</v>
      </c>
      <c r="P29" s="548"/>
      <c r="Q29" s="549"/>
      <c r="R29" s="553"/>
      <c r="S29" s="571"/>
      <c r="T29" s="557"/>
      <c r="U29" s="557"/>
      <c r="V29" s="557">
        <f>T29+U29</f>
        <v>0</v>
      </c>
      <c r="W29" s="593">
        <f>R29*V29</f>
        <v>0</v>
      </c>
      <c r="X29" s="519">
        <f>S29*V29</f>
        <v>0</v>
      </c>
      <c r="Y29" s="810"/>
      <c r="Z29" s="547" t="s">
        <v>310</v>
      </c>
      <c r="AA29" s="548"/>
      <c r="AB29" s="549"/>
      <c r="AC29" s="569"/>
      <c r="AD29" s="571"/>
      <c r="AE29" s="557"/>
      <c r="AF29" s="557"/>
      <c r="AG29" s="557">
        <f>AE29+AF29</f>
        <v>0</v>
      </c>
      <c r="AH29" s="593">
        <f>AC29*AG29</f>
        <v>0</v>
      </c>
      <c r="AI29" s="519">
        <f>AD29*AG29</f>
        <v>0</v>
      </c>
      <c r="AL29" s="611"/>
      <c r="AM29" s="612"/>
      <c r="AN29" s="612"/>
      <c r="AO29" s="613"/>
      <c r="AX29" s="676"/>
      <c r="AY29" s="677"/>
      <c r="AZ29" s="677"/>
      <c r="BA29" s="678"/>
      <c r="BB29" s="72"/>
      <c r="BC29" s="72"/>
      <c r="BD29" s="72"/>
      <c r="BE29" s="72"/>
      <c r="BF29" s="72"/>
      <c r="BR29" s="539" t="s">
        <v>46</v>
      </c>
      <c r="BS29" s="540"/>
      <c r="BT29" s="540"/>
      <c r="BU29" s="541"/>
      <c r="BV29" s="466">
        <v>0</v>
      </c>
      <c r="BW29" s="480">
        <v>0</v>
      </c>
      <c r="BX29" s="466">
        <v>0</v>
      </c>
      <c r="BY29" s="478">
        <v>1</v>
      </c>
      <c r="BZ29" s="480">
        <v>0</v>
      </c>
      <c r="CA29" s="480">
        <v>1</v>
      </c>
      <c r="CB29" s="466">
        <v>0</v>
      </c>
      <c r="CC29" s="478">
        <v>0</v>
      </c>
      <c r="CD29" s="795">
        <f>SUM(BV29:CC30)</f>
        <v>2</v>
      </c>
      <c r="CE29" s="797">
        <f>BV29*49+BW29*49+BX29*34+BY29*34+BZ29*29+CA29*29+CB29*29+CC29*29</f>
        <v>63</v>
      </c>
      <c r="CF29" s="468" t="s">
        <v>344</v>
      </c>
      <c r="CG29" s="469"/>
      <c r="CH29" s="470"/>
      <c r="CI29" s="474"/>
      <c r="CJ29" s="474">
        <v>63</v>
      </c>
      <c r="CK29" s="468" t="s">
        <v>286</v>
      </c>
      <c r="CL29" s="470"/>
      <c r="CM29" s="476">
        <v>44514</v>
      </c>
    </row>
    <row r="30" spans="3:106" ht="15.95" customHeight="1" thickBot="1">
      <c r="C30" s="810"/>
      <c r="D30" s="550"/>
      <c r="E30" s="551"/>
      <c r="F30" s="552"/>
      <c r="G30" s="554"/>
      <c r="H30" s="556"/>
      <c r="I30" s="558"/>
      <c r="J30" s="558"/>
      <c r="K30" s="558"/>
      <c r="L30" s="558"/>
      <c r="M30" s="520"/>
      <c r="N30" s="810"/>
      <c r="O30" s="550"/>
      <c r="P30" s="551"/>
      <c r="Q30" s="552"/>
      <c r="R30" s="554"/>
      <c r="S30" s="572"/>
      <c r="T30" s="558"/>
      <c r="U30" s="558"/>
      <c r="V30" s="558"/>
      <c r="W30" s="558"/>
      <c r="X30" s="520"/>
      <c r="Y30" s="810"/>
      <c r="Z30" s="550"/>
      <c r="AA30" s="551"/>
      <c r="AB30" s="552"/>
      <c r="AC30" s="570"/>
      <c r="AD30" s="572"/>
      <c r="AE30" s="558"/>
      <c r="AF30" s="558"/>
      <c r="AG30" s="558"/>
      <c r="AH30" s="558"/>
      <c r="AI30" s="520"/>
      <c r="AL30" s="611"/>
      <c r="AM30" s="612"/>
      <c r="AN30" s="612"/>
      <c r="AO30" s="613"/>
      <c r="AP30" s="484" t="s">
        <v>313</v>
      </c>
      <c r="AQ30" s="671" t="s">
        <v>141</v>
      </c>
      <c r="AR30" s="484" t="s">
        <v>119</v>
      </c>
      <c r="AS30" s="484" t="s">
        <v>277</v>
      </c>
      <c r="AX30" s="676"/>
      <c r="AY30" s="677"/>
      <c r="AZ30" s="677"/>
      <c r="BA30" s="678"/>
      <c r="BB30" s="484" t="s">
        <v>16</v>
      </c>
      <c r="BC30" s="484" t="s">
        <v>13</v>
      </c>
      <c r="BD30" s="484" t="s">
        <v>275</v>
      </c>
      <c r="BE30" s="484" t="s">
        <v>314</v>
      </c>
      <c r="BF30" s="484" t="s">
        <v>277</v>
      </c>
      <c r="BR30" s="542"/>
      <c r="BS30" s="543"/>
      <c r="BT30" s="543"/>
      <c r="BU30" s="544"/>
      <c r="BV30" s="467"/>
      <c r="BW30" s="481"/>
      <c r="BX30" s="467"/>
      <c r="BY30" s="479"/>
      <c r="BZ30" s="481"/>
      <c r="CA30" s="481"/>
      <c r="CB30" s="467"/>
      <c r="CC30" s="479"/>
      <c r="CD30" s="796"/>
      <c r="CE30" s="798"/>
      <c r="CF30" s="471"/>
      <c r="CG30" s="472"/>
      <c r="CH30" s="473"/>
      <c r="CI30" s="475"/>
      <c r="CJ30" s="475"/>
      <c r="CK30" s="471"/>
      <c r="CL30" s="473"/>
      <c r="CM30" s="477"/>
      <c r="CP30" s="87"/>
      <c r="CQ30" s="87"/>
      <c r="CR30" s="108"/>
      <c r="CS30" s="108"/>
      <c r="CT30" s="108"/>
      <c r="CU30" s="108"/>
      <c r="CV30" s="108"/>
      <c r="CW30" s="108"/>
      <c r="CX30" s="108"/>
      <c r="CY30" s="108"/>
    </row>
    <row r="31" spans="3:106" ht="15.95" customHeight="1" thickBot="1">
      <c r="C31" s="809"/>
      <c r="D31" s="547" t="s">
        <v>315</v>
      </c>
      <c r="E31" s="548"/>
      <c r="F31" s="549"/>
      <c r="G31" s="553">
        <v>32.950000000000003</v>
      </c>
      <c r="H31" s="517">
        <v>25.8</v>
      </c>
      <c r="I31" s="557"/>
      <c r="J31" s="557"/>
      <c r="K31" s="557">
        <f>I31+J31</f>
        <v>0</v>
      </c>
      <c r="L31" s="593">
        <f>G31*K31</f>
        <v>0</v>
      </c>
      <c r="M31" s="519">
        <f>H31*K31</f>
        <v>0</v>
      </c>
      <c r="N31" s="809"/>
      <c r="O31" s="547" t="s">
        <v>315</v>
      </c>
      <c r="P31" s="548"/>
      <c r="Q31" s="549"/>
      <c r="R31" s="553">
        <v>9.9499999999999993</v>
      </c>
      <c r="S31" s="517">
        <v>8.01</v>
      </c>
      <c r="T31" s="557"/>
      <c r="U31" s="557"/>
      <c r="V31" s="557">
        <f>T31+U31</f>
        <v>0</v>
      </c>
      <c r="W31" s="593">
        <f>R31*V31</f>
        <v>0</v>
      </c>
      <c r="X31" s="519">
        <f>S31*V31</f>
        <v>0</v>
      </c>
      <c r="Y31" s="809"/>
      <c r="Z31" s="547" t="s">
        <v>315</v>
      </c>
      <c r="AA31" s="548"/>
      <c r="AB31" s="549"/>
      <c r="AC31" s="569"/>
      <c r="AD31" s="571"/>
      <c r="AE31" s="557"/>
      <c r="AF31" s="557"/>
      <c r="AG31" s="557">
        <f>AE31+AF31</f>
        <v>0</v>
      </c>
      <c r="AH31" s="593">
        <f>AC31*AG31</f>
        <v>0</v>
      </c>
      <c r="AI31" s="519">
        <f>AD31*AG31</f>
        <v>0</v>
      </c>
      <c r="AL31" s="614"/>
      <c r="AM31" s="615"/>
      <c r="AN31" s="615"/>
      <c r="AO31" s="616"/>
      <c r="AP31" s="485"/>
      <c r="AQ31" s="672"/>
      <c r="AR31" s="485"/>
      <c r="AS31" s="485"/>
      <c r="AX31" s="679"/>
      <c r="AY31" s="680"/>
      <c r="AZ31" s="680"/>
      <c r="BA31" s="681"/>
      <c r="BB31" s="485"/>
      <c r="BC31" s="485"/>
      <c r="BD31" s="485"/>
      <c r="BE31" s="485"/>
      <c r="BF31" s="485"/>
      <c r="BR31" s="539" t="s">
        <v>59</v>
      </c>
      <c r="BS31" s="540"/>
      <c r="BT31" s="540"/>
      <c r="BU31" s="541"/>
      <c r="BV31" s="466">
        <v>0</v>
      </c>
      <c r="BW31" s="480">
        <v>1</v>
      </c>
      <c r="BX31" s="466">
        <v>0</v>
      </c>
      <c r="BY31" s="478">
        <v>0</v>
      </c>
      <c r="BZ31" s="480">
        <v>0</v>
      </c>
      <c r="CA31" s="480">
        <v>0</v>
      </c>
      <c r="CB31" s="466">
        <v>0</v>
      </c>
      <c r="CC31" s="478">
        <v>0</v>
      </c>
      <c r="CD31" s="795">
        <f>SUM(BV31:CC32)</f>
        <v>1</v>
      </c>
      <c r="CE31" s="797">
        <f>BV31*49+BW31*49+BX31*34+BY31*34+BZ31*29+CA31*29+CB31*29+CC31*29</f>
        <v>49</v>
      </c>
      <c r="CF31" s="468" t="s">
        <v>322</v>
      </c>
      <c r="CG31" s="469"/>
      <c r="CH31" s="470"/>
      <c r="CI31" s="474"/>
      <c r="CJ31" s="474">
        <v>40</v>
      </c>
      <c r="CK31" s="468" t="s">
        <v>286</v>
      </c>
      <c r="CL31" s="470"/>
      <c r="CM31" s="476">
        <v>44658</v>
      </c>
      <c r="CQ31" s="175"/>
      <c r="CR31" s="41"/>
      <c r="CS31" s="41"/>
      <c r="CT31" s="41"/>
      <c r="CU31" s="41"/>
      <c r="CV31" s="22"/>
      <c r="CW31" s="22"/>
      <c r="CX31" s="41"/>
      <c r="CY31" s="41"/>
      <c r="DA31" s="22"/>
      <c r="DB31" s="22"/>
    </row>
    <row r="32" spans="3:106" ht="15.95" customHeight="1" thickBot="1">
      <c r="C32" s="809"/>
      <c r="D32" s="550"/>
      <c r="E32" s="551"/>
      <c r="F32" s="552"/>
      <c r="G32" s="554"/>
      <c r="H32" s="518"/>
      <c r="I32" s="558"/>
      <c r="J32" s="558"/>
      <c r="K32" s="558"/>
      <c r="L32" s="558"/>
      <c r="M32" s="520"/>
      <c r="N32" s="809"/>
      <c r="O32" s="550"/>
      <c r="P32" s="551"/>
      <c r="Q32" s="552"/>
      <c r="R32" s="554"/>
      <c r="S32" s="518"/>
      <c r="T32" s="558"/>
      <c r="U32" s="558"/>
      <c r="V32" s="558"/>
      <c r="W32" s="558"/>
      <c r="X32" s="520"/>
      <c r="Y32" s="809"/>
      <c r="Z32" s="550"/>
      <c r="AA32" s="551"/>
      <c r="AB32" s="552"/>
      <c r="AC32" s="570"/>
      <c r="AD32" s="572"/>
      <c r="AE32" s="558"/>
      <c r="AF32" s="558"/>
      <c r="AG32" s="558"/>
      <c r="AH32" s="558"/>
      <c r="AI32" s="520"/>
      <c r="AL32" s="800"/>
      <c r="AM32" s="547" t="s">
        <v>335</v>
      </c>
      <c r="AN32" s="548"/>
      <c r="AO32" s="549"/>
      <c r="AP32" s="813"/>
      <c r="AQ32" s="650">
        <f>AS16</f>
        <v>3.63</v>
      </c>
      <c r="AR32" s="650"/>
      <c r="AS32" s="650">
        <f>SUM(AP32:AR33)</f>
        <v>3.63</v>
      </c>
      <c r="AX32" s="800"/>
      <c r="AY32" s="547" t="s">
        <v>335</v>
      </c>
      <c r="AZ32" s="548"/>
      <c r="BA32" s="549"/>
      <c r="BB32" s="643">
        <v>2</v>
      </c>
      <c r="BC32" s="643">
        <v>0</v>
      </c>
      <c r="BD32" s="643">
        <f>BB32+BC32</f>
        <v>2</v>
      </c>
      <c r="BE32" s="643">
        <f>AS32</f>
        <v>3.63</v>
      </c>
      <c r="BF32" s="650">
        <f>BE32*BD32</f>
        <v>7.26</v>
      </c>
      <c r="BR32" s="542"/>
      <c r="BS32" s="543"/>
      <c r="BT32" s="543"/>
      <c r="BU32" s="544"/>
      <c r="BV32" s="467"/>
      <c r="BW32" s="481"/>
      <c r="BX32" s="467"/>
      <c r="BY32" s="479"/>
      <c r="BZ32" s="481"/>
      <c r="CA32" s="481"/>
      <c r="CB32" s="467"/>
      <c r="CC32" s="479"/>
      <c r="CD32" s="796"/>
      <c r="CE32" s="798"/>
      <c r="CF32" s="471"/>
      <c r="CG32" s="472"/>
      <c r="CH32" s="473"/>
      <c r="CI32" s="475"/>
      <c r="CJ32" s="475"/>
      <c r="CK32" s="471"/>
      <c r="CL32" s="473"/>
      <c r="CM32" s="477"/>
      <c r="CR32" s="41"/>
      <c r="CS32" s="41"/>
      <c r="CT32" s="41"/>
      <c r="CU32" s="41"/>
      <c r="CV32" s="41"/>
      <c r="CW32" s="41"/>
      <c r="CX32" s="22"/>
      <c r="CY32" s="22"/>
      <c r="DA32" s="22"/>
      <c r="DB32" s="22"/>
    </row>
    <row r="33" spans="3:106" ht="15.95" customHeight="1" thickBot="1">
      <c r="C33" s="818"/>
      <c r="D33" s="547" t="s">
        <v>317</v>
      </c>
      <c r="E33" s="548"/>
      <c r="F33" s="549"/>
      <c r="G33" s="553"/>
      <c r="H33" s="555"/>
      <c r="I33" s="557"/>
      <c r="J33" s="557"/>
      <c r="K33" s="557">
        <f>I33+J33</f>
        <v>0</v>
      </c>
      <c r="L33" s="593">
        <f>G33*K33</f>
        <v>0</v>
      </c>
      <c r="M33" s="519">
        <f>H33*K33</f>
        <v>0</v>
      </c>
      <c r="N33" s="817"/>
      <c r="O33" s="547" t="s">
        <v>317</v>
      </c>
      <c r="P33" s="548"/>
      <c r="Q33" s="549"/>
      <c r="R33" s="553">
        <v>9.9499999999999993</v>
      </c>
      <c r="S33" s="517">
        <v>8.01</v>
      </c>
      <c r="T33" s="557"/>
      <c r="U33" s="557"/>
      <c r="V33" s="557">
        <f>T33+U33</f>
        <v>0</v>
      </c>
      <c r="W33" s="593">
        <f>R33*V33</f>
        <v>0</v>
      </c>
      <c r="X33" s="519">
        <f>S33*V33</f>
        <v>0</v>
      </c>
      <c r="Y33" s="818"/>
      <c r="Z33" s="547" t="s">
        <v>317</v>
      </c>
      <c r="AA33" s="548"/>
      <c r="AB33" s="549"/>
      <c r="AC33" s="569"/>
      <c r="AD33" s="571"/>
      <c r="AE33" s="557"/>
      <c r="AF33" s="557"/>
      <c r="AG33" s="557">
        <f>AE33+AF33</f>
        <v>0</v>
      </c>
      <c r="AH33" s="593">
        <f>AC33*AG33</f>
        <v>0</v>
      </c>
      <c r="AI33" s="519">
        <f>AD33*AG33</f>
        <v>0</v>
      </c>
      <c r="AL33" s="793"/>
      <c r="AM33" s="550"/>
      <c r="AN33" s="551"/>
      <c r="AO33" s="552"/>
      <c r="AP33" s="814"/>
      <c r="AQ33" s="644"/>
      <c r="AR33" s="651"/>
      <c r="AS33" s="651"/>
      <c r="AX33" s="793"/>
      <c r="AY33" s="550"/>
      <c r="AZ33" s="551"/>
      <c r="BA33" s="552"/>
      <c r="BB33" s="644"/>
      <c r="BC33" s="644"/>
      <c r="BD33" s="644"/>
      <c r="BE33" s="644"/>
      <c r="BF33" s="651"/>
      <c r="BR33" s="539" t="s">
        <v>33</v>
      </c>
      <c r="BS33" s="540"/>
      <c r="BT33" s="540"/>
      <c r="BU33" s="541"/>
      <c r="BV33" s="466">
        <v>0</v>
      </c>
      <c r="BW33" s="480">
        <v>0</v>
      </c>
      <c r="BX33" s="466">
        <v>0</v>
      </c>
      <c r="BY33" s="478">
        <v>0</v>
      </c>
      <c r="BZ33" s="480">
        <v>0</v>
      </c>
      <c r="CA33" s="480">
        <v>0</v>
      </c>
      <c r="CB33" s="466">
        <v>0</v>
      </c>
      <c r="CC33" s="478">
        <v>1</v>
      </c>
      <c r="CD33" s="795">
        <f>SUM(BV33:CC34)</f>
        <v>1</v>
      </c>
      <c r="CE33" s="797">
        <f>BV33*49+BW33*49+BX33*34+BY33*34+BZ33*29+CA33*29+CB33*29+CC33*29</f>
        <v>29</v>
      </c>
      <c r="CF33" s="468" t="s">
        <v>350</v>
      </c>
      <c r="CG33" s="469"/>
      <c r="CH33" s="470"/>
      <c r="CI33" s="474"/>
      <c r="CJ33" s="474">
        <v>29</v>
      </c>
      <c r="CK33" s="468" t="s">
        <v>286</v>
      </c>
      <c r="CL33" s="470"/>
      <c r="CM33" s="476">
        <v>44540</v>
      </c>
    </row>
    <row r="34" spans="3:106" ht="15.95" customHeight="1" thickBot="1">
      <c r="C34" s="818"/>
      <c r="D34" s="550"/>
      <c r="E34" s="551"/>
      <c r="F34" s="552"/>
      <c r="G34" s="554"/>
      <c r="H34" s="556"/>
      <c r="I34" s="558"/>
      <c r="J34" s="558"/>
      <c r="K34" s="558"/>
      <c r="L34" s="558"/>
      <c r="M34" s="657"/>
      <c r="N34" s="817"/>
      <c r="O34" s="550"/>
      <c r="P34" s="551"/>
      <c r="Q34" s="552"/>
      <c r="R34" s="554"/>
      <c r="S34" s="518"/>
      <c r="T34" s="558"/>
      <c r="U34" s="558"/>
      <c r="V34" s="558"/>
      <c r="W34" s="558"/>
      <c r="X34" s="520"/>
      <c r="Y34" s="818"/>
      <c r="Z34" s="550"/>
      <c r="AA34" s="551"/>
      <c r="AB34" s="552"/>
      <c r="AC34" s="570"/>
      <c r="AD34" s="572"/>
      <c r="AE34" s="558"/>
      <c r="AF34" s="558"/>
      <c r="AG34" s="558"/>
      <c r="AH34" s="558"/>
      <c r="AI34" s="520"/>
      <c r="AL34" s="793"/>
      <c r="AM34" s="547" t="s">
        <v>261</v>
      </c>
      <c r="AN34" s="548"/>
      <c r="AO34" s="549"/>
      <c r="AP34" s="811"/>
      <c r="AQ34" s="519">
        <f>AS18</f>
        <v>3.63</v>
      </c>
      <c r="AR34" s="519"/>
      <c r="AS34" s="650">
        <f>SUM(AP34:AR35)</f>
        <v>3.63</v>
      </c>
      <c r="AX34" s="793"/>
      <c r="AY34" s="547" t="s">
        <v>261</v>
      </c>
      <c r="AZ34" s="548"/>
      <c r="BA34" s="549"/>
      <c r="BB34" s="649">
        <v>3</v>
      </c>
      <c r="BC34" s="649">
        <v>0</v>
      </c>
      <c r="BD34" s="643">
        <f>BB34+BC34</f>
        <v>3</v>
      </c>
      <c r="BE34" s="650">
        <f>AS34</f>
        <v>3.63</v>
      </c>
      <c r="BF34" s="650">
        <f>BE34*BD34</f>
        <v>10.89</v>
      </c>
      <c r="BR34" s="542"/>
      <c r="BS34" s="543"/>
      <c r="BT34" s="543"/>
      <c r="BU34" s="544"/>
      <c r="BV34" s="467"/>
      <c r="BW34" s="481"/>
      <c r="BX34" s="467"/>
      <c r="BY34" s="479"/>
      <c r="BZ34" s="481"/>
      <c r="CA34" s="481"/>
      <c r="CB34" s="467"/>
      <c r="CC34" s="479"/>
      <c r="CD34" s="796"/>
      <c r="CE34" s="798"/>
      <c r="CF34" s="471"/>
      <c r="CG34" s="472"/>
      <c r="CH34" s="473"/>
      <c r="CI34" s="475"/>
      <c r="CJ34" s="475"/>
      <c r="CK34" s="471"/>
      <c r="CL34" s="473"/>
      <c r="CM34" s="477"/>
      <c r="CP34" s="87"/>
      <c r="CQ34" s="87"/>
      <c r="CR34" s="108"/>
      <c r="CS34" s="108"/>
      <c r="CT34" s="108"/>
      <c r="CU34" s="108"/>
      <c r="CV34" s="108"/>
      <c r="CW34" s="108"/>
      <c r="CX34" s="108"/>
      <c r="CY34" s="108"/>
    </row>
    <row r="35" spans="3:106" ht="15.95" customHeight="1" thickBot="1">
      <c r="C35" s="815"/>
      <c r="D35" s="547" t="s">
        <v>318</v>
      </c>
      <c r="E35" s="548"/>
      <c r="F35" s="548"/>
      <c r="G35" s="553">
        <v>32.950000000000003</v>
      </c>
      <c r="H35" s="517">
        <v>25.8</v>
      </c>
      <c r="I35" s="557"/>
      <c r="J35" s="557"/>
      <c r="K35" s="649">
        <f>I35+J35</f>
        <v>0</v>
      </c>
      <c r="L35" s="693">
        <f>G35*K35</f>
        <v>0</v>
      </c>
      <c r="M35" s="519">
        <f>H35*K35</f>
        <v>0</v>
      </c>
      <c r="N35" s="819"/>
      <c r="O35" s="547" t="s">
        <v>319</v>
      </c>
      <c r="P35" s="548"/>
      <c r="Q35" s="549"/>
      <c r="R35" s="553">
        <v>9.9499999999999993</v>
      </c>
      <c r="S35" s="517">
        <v>8.01</v>
      </c>
      <c r="T35" s="557"/>
      <c r="U35" s="557"/>
      <c r="V35" s="649">
        <f>T35+U35</f>
        <v>0</v>
      </c>
      <c r="W35" s="693">
        <f>R35*V35</f>
        <v>0</v>
      </c>
      <c r="X35" s="519">
        <f>S35*V35</f>
        <v>0</v>
      </c>
      <c r="Y35" s="815"/>
      <c r="Z35" s="547" t="s">
        <v>318</v>
      </c>
      <c r="AA35" s="548"/>
      <c r="AB35" s="549"/>
      <c r="AC35" s="569"/>
      <c r="AD35" s="571"/>
      <c r="AE35" s="557"/>
      <c r="AF35" s="557"/>
      <c r="AG35" s="649">
        <f>AE35+AF35</f>
        <v>0</v>
      </c>
      <c r="AH35" s="693">
        <f>AC35*AG35</f>
        <v>0</v>
      </c>
      <c r="AI35" s="519">
        <f>AD35*AG35</f>
        <v>0</v>
      </c>
      <c r="AL35" s="793"/>
      <c r="AM35" s="550"/>
      <c r="AN35" s="551"/>
      <c r="AO35" s="552"/>
      <c r="AP35" s="812"/>
      <c r="AQ35" s="640"/>
      <c r="AR35" s="640"/>
      <c r="AS35" s="651"/>
      <c r="AX35" s="793"/>
      <c r="AY35" s="550"/>
      <c r="AZ35" s="551"/>
      <c r="BA35" s="552"/>
      <c r="BB35" s="520"/>
      <c r="BC35" s="520"/>
      <c r="BD35" s="644"/>
      <c r="BE35" s="644"/>
      <c r="BF35" s="651"/>
      <c r="BR35" s="539" t="s">
        <v>67</v>
      </c>
      <c r="BS35" s="540"/>
      <c r="BT35" s="540"/>
      <c r="BU35" s="541"/>
      <c r="BV35" s="466">
        <v>0</v>
      </c>
      <c r="BW35" s="480">
        <v>1</v>
      </c>
      <c r="BX35" s="466">
        <v>0</v>
      </c>
      <c r="BY35" s="478">
        <v>0</v>
      </c>
      <c r="BZ35" s="480">
        <v>0</v>
      </c>
      <c r="CA35" s="480">
        <v>0</v>
      </c>
      <c r="CB35" s="466">
        <v>0</v>
      </c>
      <c r="CC35" s="478">
        <v>0</v>
      </c>
      <c r="CD35" s="795">
        <f>SUM(BV35:CC36)</f>
        <v>1</v>
      </c>
      <c r="CE35" s="797">
        <f>BV35*49+BW35*49+BX35*34+BY35*34+BZ35*29+CA35*29+CB35*29+CC35*29</f>
        <v>49</v>
      </c>
      <c r="CF35" s="468" t="s">
        <v>346</v>
      </c>
      <c r="CG35" s="469"/>
      <c r="CH35" s="470"/>
      <c r="CI35" s="474"/>
      <c r="CJ35" s="474">
        <v>45</v>
      </c>
      <c r="CK35" s="468" t="s">
        <v>286</v>
      </c>
      <c r="CL35" s="470"/>
      <c r="CM35" s="476">
        <v>44549</v>
      </c>
      <c r="CQ35" s="175"/>
      <c r="CR35" s="41"/>
      <c r="CS35" s="41"/>
      <c r="CT35" s="41"/>
      <c r="CU35" s="41"/>
      <c r="CV35" s="22"/>
      <c r="CW35" s="22"/>
      <c r="CX35" s="41"/>
      <c r="CY35" s="41"/>
      <c r="DA35" s="22"/>
      <c r="DB35" s="22"/>
    </row>
    <row r="36" spans="3:106" ht="15.95" customHeight="1" thickBot="1">
      <c r="C36" s="816"/>
      <c r="D36" s="550"/>
      <c r="E36" s="551"/>
      <c r="F36" s="551"/>
      <c r="G36" s="554"/>
      <c r="H36" s="518"/>
      <c r="I36" s="668"/>
      <c r="J36" s="668"/>
      <c r="K36" s="657"/>
      <c r="L36" s="657"/>
      <c r="M36" s="657"/>
      <c r="N36" s="820"/>
      <c r="O36" s="550"/>
      <c r="P36" s="551"/>
      <c r="Q36" s="552"/>
      <c r="R36" s="554"/>
      <c r="S36" s="518"/>
      <c r="T36" s="668"/>
      <c r="U36" s="668"/>
      <c r="V36" s="657"/>
      <c r="W36" s="657"/>
      <c r="X36" s="657"/>
      <c r="Y36" s="816"/>
      <c r="Z36" s="550"/>
      <c r="AA36" s="551"/>
      <c r="AB36" s="552"/>
      <c r="AC36" s="698"/>
      <c r="AD36" s="699"/>
      <c r="AE36" s="668"/>
      <c r="AF36" s="668"/>
      <c r="AG36" s="657"/>
      <c r="AH36" s="657"/>
      <c r="AI36" s="657"/>
      <c r="AL36" s="802"/>
      <c r="AM36" s="547" t="s">
        <v>336</v>
      </c>
      <c r="AN36" s="548"/>
      <c r="AO36" s="549"/>
      <c r="AP36" s="811"/>
      <c r="AQ36" s="519">
        <f>AS20</f>
        <v>3.0249999999999999</v>
      </c>
      <c r="AR36" s="519"/>
      <c r="AS36" s="650">
        <f>SUM(AP36:AR37)</f>
        <v>3.0249999999999999</v>
      </c>
      <c r="AX36" s="802"/>
      <c r="AY36" s="547" t="s">
        <v>336</v>
      </c>
      <c r="AZ36" s="548"/>
      <c r="BA36" s="549"/>
      <c r="BB36" s="649">
        <v>2</v>
      </c>
      <c r="BC36" s="649">
        <v>0</v>
      </c>
      <c r="BD36" s="643">
        <f>BB36+BC36</f>
        <v>2</v>
      </c>
      <c r="BE36" s="650">
        <f>AS36</f>
        <v>3.0249999999999999</v>
      </c>
      <c r="BF36" s="650">
        <f>BE36*BD36</f>
        <v>6.05</v>
      </c>
      <c r="BR36" s="542"/>
      <c r="BS36" s="543"/>
      <c r="BT36" s="543"/>
      <c r="BU36" s="544"/>
      <c r="BV36" s="467"/>
      <c r="BW36" s="481"/>
      <c r="BX36" s="467"/>
      <c r="BY36" s="479"/>
      <c r="BZ36" s="481"/>
      <c r="CA36" s="481"/>
      <c r="CB36" s="467"/>
      <c r="CC36" s="479"/>
      <c r="CD36" s="796"/>
      <c r="CE36" s="798"/>
      <c r="CF36" s="471"/>
      <c r="CG36" s="472"/>
      <c r="CH36" s="473"/>
      <c r="CI36" s="475"/>
      <c r="CJ36" s="475"/>
      <c r="CK36" s="471"/>
      <c r="CL36" s="473"/>
      <c r="CM36" s="477"/>
      <c r="CR36" s="41"/>
      <c r="CS36" s="41"/>
      <c r="CT36" s="41"/>
      <c r="CU36" s="41"/>
      <c r="CV36" s="41"/>
      <c r="CW36" s="41"/>
      <c r="CX36" s="22"/>
      <c r="CY36" s="22"/>
      <c r="DA36" s="22"/>
      <c r="DB36" s="22"/>
    </row>
    <row r="37" spans="3:106" ht="15.95" customHeight="1" thickBot="1">
      <c r="G37" s="72"/>
      <c r="H37" s="72"/>
      <c r="I37" s="660">
        <f>SUM(I7:I36)</f>
        <v>7</v>
      </c>
      <c r="J37" s="660">
        <f>SUM(J7:J36)</f>
        <v>7</v>
      </c>
      <c r="K37" s="660">
        <f>SUM(K7:K36)</f>
        <v>14</v>
      </c>
      <c r="L37" s="696">
        <f>SUM(L7:L36)</f>
        <v>483</v>
      </c>
      <c r="M37" s="662">
        <f>SUM(M7:M36)</f>
        <v>385</v>
      </c>
      <c r="R37" s="72"/>
      <c r="S37" s="72"/>
      <c r="T37" s="660">
        <f>SUM(T7:T36)</f>
        <v>22</v>
      </c>
      <c r="U37" s="660">
        <f>SUM(U7:U36)</f>
        <v>13</v>
      </c>
      <c r="V37" s="660">
        <f>SUM(V7:V36)</f>
        <v>35</v>
      </c>
      <c r="W37" s="696">
        <f>SUM(W7:W36)</f>
        <v>402.95</v>
      </c>
      <c r="X37" s="694">
        <f>SUM(X7:X36)</f>
        <v>310.09999999999997</v>
      </c>
      <c r="AC37" s="72"/>
      <c r="AD37" s="72"/>
      <c r="AE37" s="660">
        <f>SUM(AE7:AE36)</f>
        <v>0</v>
      </c>
      <c r="AF37" s="660">
        <f>SUM(AF7:AF36)</f>
        <v>0</v>
      </c>
      <c r="AG37" s="660">
        <f>SUM(AG7:AG36)</f>
        <v>0</v>
      </c>
      <c r="AH37" s="696">
        <f>SUM(AH7:AH36)</f>
        <v>0</v>
      </c>
      <c r="AI37" s="662">
        <f>SUM(AI7:AI36)</f>
        <v>0</v>
      </c>
      <c r="AL37" s="802"/>
      <c r="AM37" s="550"/>
      <c r="AN37" s="551"/>
      <c r="AO37" s="552"/>
      <c r="AP37" s="812"/>
      <c r="AQ37" s="640"/>
      <c r="AR37" s="640"/>
      <c r="AS37" s="651"/>
      <c r="AX37" s="802"/>
      <c r="AY37" s="550"/>
      <c r="AZ37" s="551"/>
      <c r="BA37" s="552"/>
      <c r="BB37" s="520"/>
      <c r="BC37" s="520"/>
      <c r="BD37" s="644"/>
      <c r="BE37" s="644"/>
      <c r="BF37" s="651"/>
      <c r="BR37" s="539" t="s">
        <v>47</v>
      </c>
      <c r="BS37" s="540"/>
      <c r="BT37" s="540"/>
      <c r="BU37" s="541"/>
      <c r="BV37" s="466">
        <v>0</v>
      </c>
      <c r="BW37" s="480">
        <v>1</v>
      </c>
      <c r="BX37" s="466">
        <v>0</v>
      </c>
      <c r="BY37" s="478">
        <v>0</v>
      </c>
      <c r="BZ37" s="480">
        <v>0</v>
      </c>
      <c r="CA37" s="480">
        <v>0</v>
      </c>
      <c r="CB37" s="466">
        <v>0</v>
      </c>
      <c r="CC37" s="478">
        <v>0</v>
      </c>
      <c r="CD37" s="795">
        <f>SUM(BV37:CC38)</f>
        <v>1</v>
      </c>
      <c r="CE37" s="797">
        <f>BV37*49+BW37*49+BX37*34+BY37*34+BZ37*29+CA37*29+CB37*29+CC37*29</f>
        <v>49</v>
      </c>
      <c r="CF37" s="468" t="s">
        <v>352</v>
      </c>
      <c r="CG37" s="469"/>
      <c r="CH37" s="470"/>
      <c r="CI37" s="474"/>
      <c r="CJ37" s="474">
        <v>52.7</v>
      </c>
      <c r="CK37" s="468" t="s">
        <v>286</v>
      </c>
      <c r="CL37" s="470"/>
      <c r="CM37" s="476">
        <v>44537</v>
      </c>
    </row>
    <row r="38" spans="3:106" ht="15.95" customHeight="1" thickBot="1">
      <c r="G38" s="72"/>
      <c r="H38" s="72"/>
      <c r="I38" s="661"/>
      <c r="J38" s="661"/>
      <c r="K38" s="661"/>
      <c r="L38" s="661"/>
      <c r="M38" s="697"/>
      <c r="R38" s="72"/>
      <c r="S38" s="72"/>
      <c r="T38" s="661"/>
      <c r="U38" s="661"/>
      <c r="V38" s="661"/>
      <c r="W38" s="700"/>
      <c r="X38" s="695"/>
      <c r="AC38" s="72"/>
      <c r="AD38" s="72"/>
      <c r="AE38" s="661"/>
      <c r="AF38" s="661"/>
      <c r="AG38" s="661"/>
      <c r="AH38" s="661"/>
      <c r="AI38" s="697"/>
      <c r="AL38" s="801"/>
      <c r="AM38" s="547" t="s">
        <v>337</v>
      </c>
      <c r="AN38" s="548"/>
      <c r="AO38" s="549"/>
      <c r="AP38" s="811"/>
      <c r="AQ38" s="519">
        <f>AS22</f>
        <v>9.68</v>
      </c>
      <c r="AR38" s="519"/>
      <c r="AS38" s="650">
        <f>SUM(AP38:AR39)</f>
        <v>9.68</v>
      </c>
      <c r="AX38" s="801"/>
      <c r="AY38" s="547" t="s">
        <v>337</v>
      </c>
      <c r="AZ38" s="548"/>
      <c r="BA38" s="549"/>
      <c r="BB38" s="649">
        <v>0</v>
      </c>
      <c r="BC38" s="649">
        <v>0</v>
      </c>
      <c r="BD38" s="643">
        <f>BB38+BC38</f>
        <v>0</v>
      </c>
      <c r="BE38" s="650">
        <f>AS38</f>
        <v>9.68</v>
      </c>
      <c r="BF38" s="650">
        <f>BE38*BD38</f>
        <v>0</v>
      </c>
      <c r="BR38" s="542"/>
      <c r="BS38" s="543"/>
      <c r="BT38" s="543"/>
      <c r="BU38" s="544"/>
      <c r="BV38" s="467"/>
      <c r="BW38" s="481"/>
      <c r="BX38" s="467"/>
      <c r="BY38" s="479"/>
      <c r="BZ38" s="481"/>
      <c r="CA38" s="481"/>
      <c r="CB38" s="467"/>
      <c r="CC38" s="479"/>
      <c r="CD38" s="796"/>
      <c r="CE38" s="798"/>
      <c r="CF38" s="471"/>
      <c r="CG38" s="472"/>
      <c r="CH38" s="473"/>
      <c r="CI38" s="475"/>
      <c r="CJ38" s="475"/>
      <c r="CK38" s="471"/>
      <c r="CL38" s="473"/>
      <c r="CM38" s="477"/>
      <c r="CP38" s="87"/>
      <c r="CQ38" s="87"/>
      <c r="CR38" s="108"/>
      <c r="CS38" s="108"/>
      <c r="CT38" s="108"/>
      <c r="CU38" s="108"/>
      <c r="CV38" s="108"/>
      <c r="CW38" s="108"/>
      <c r="CX38" s="108"/>
      <c r="CY38" s="108"/>
    </row>
    <row r="39" spans="3:106" ht="15.95" customHeight="1" thickBot="1">
      <c r="AL39" s="805"/>
      <c r="AM39" s="550"/>
      <c r="AN39" s="551"/>
      <c r="AO39" s="552"/>
      <c r="AP39" s="821"/>
      <c r="AQ39" s="669"/>
      <c r="AR39" s="669"/>
      <c r="AS39" s="665"/>
      <c r="AX39" s="805"/>
      <c r="AY39" s="550"/>
      <c r="AZ39" s="551"/>
      <c r="BA39" s="552"/>
      <c r="BB39" s="657"/>
      <c r="BC39" s="657"/>
      <c r="BD39" s="644"/>
      <c r="BE39" s="664"/>
      <c r="BF39" s="665"/>
      <c r="BR39" s="539" t="s">
        <v>71</v>
      </c>
      <c r="BS39" s="540"/>
      <c r="BT39" s="540"/>
      <c r="BU39" s="541"/>
      <c r="BV39" s="466">
        <v>0</v>
      </c>
      <c r="BW39" s="480">
        <v>1</v>
      </c>
      <c r="BX39" s="466">
        <v>0</v>
      </c>
      <c r="BY39" s="478">
        <v>0</v>
      </c>
      <c r="BZ39" s="480">
        <v>0</v>
      </c>
      <c r="CA39" s="480">
        <v>0</v>
      </c>
      <c r="CB39" s="466">
        <v>0</v>
      </c>
      <c r="CC39" s="478">
        <v>0</v>
      </c>
      <c r="CD39" s="795">
        <f>SUM(BV39:CC40)</f>
        <v>1</v>
      </c>
      <c r="CE39" s="797">
        <f>BV39*49+BW39*49+BX39*34+BY39*34+BZ39*29+CA39*29+CB39*29+CC39*29</f>
        <v>49</v>
      </c>
      <c r="CF39" s="468" t="s">
        <v>353</v>
      </c>
      <c r="CG39" s="469"/>
      <c r="CH39" s="470"/>
      <c r="CI39" s="474"/>
      <c r="CJ39" s="474">
        <v>54.3</v>
      </c>
      <c r="CK39" s="468" t="s">
        <v>286</v>
      </c>
      <c r="CL39" s="470"/>
      <c r="CM39" s="476">
        <v>44545</v>
      </c>
      <c r="CQ39" s="175"/>
      <c r="CR39" s="41"/>
      <c r="CS39" s="41"/>
      <c r="CT39" s="41"/>
      <c r="CU39" s="41"/>
      <c r="CV39" s="22"/>
      <c r="CW39" s="22"/>
      <c r="CX39" s="41"/>
      <c r="CY39" s="41"/>
      <c r="DA39" s="22"/>
      <c r="DB39" s="22"/>
    </row>
    <row r="40" spans="3:106" ht="15.95" customHeight="1" thickBot="1">
      <c r="BB40" s="72"/>
      <c r="BC40" s="72"/>
      <c r="BD40" s="643">
        <f>SUM(BD32:BD39)</f>
        <v>7</v>
      </c>
      <c r="BE40" s="72"/>
      <c r="BF40" s="650">
        <f>SUM(BF32:BF39)</f>
        <v>24.2</v>
      </c>
      <c r="BR40" s="542"/>
      <c r="BS40" s="543"/>
      <c r="BT40" s="543"/>
      <c r="BU40" s="544"/>
      <c r="BV40" s="467"/>
      <c r="BW40" s="481"/>
      <c r="BX40" s="467"/>
      <c r="BY40" s="479"/>
      <c r="BZ40" s="481"/>
      <c r="CA40" s="481"/>
      <c r="CB40" s="467"/>
      <c r="CC40" s="479"/>
      <c r="CD40" s="796"/>
      <c r="CE40" s="798"/>
      <c r="CF40" s="471"/>
      <c r="CG40" s="472"/>
      <c r="CH40" s="473"/>
      <c r="CI40" s="475"/>
      <c r="CJ40" s="475"/>
      <c r="CK40" s="471"/>
      <c r="CL40" s="473"/>
      <c r="CM40" s="477"/>
      <c r="CR40" s="41"/>
      <c r="CS40" s="41"/>
      <c r="CT40" s="41"/>
      <c r="CU40" s="41"/>
      <c r="CV40" s="41"/>
      <c r="CW40" s="41"/>
      <c r="CX40" s="22"/>
      <c r="CY40" s="22"/>
      <c r="DA40" s="22"/>
      <c r="DB40" s="22"/>
    </row>
    <row r="41" spans="3:106" ht="15.95" customHeight="1" thickBot="1">
      <c r="G41" s="523" t="s">
        <v>323</v>
      </c>
      <c r="H41" s="524"/>
      <c r="I41" s="524"/>
      <c r="J41" s="524"/>
      <c r="K41" s="524"/>
      <c r="L41" s="524"/>
      <c r="M41" s="525"/>
      <c r="R41" s="523" t="s">
        <v>324</v>
      </c>
      <c r="S41" s="524"/>
      <c r="T41" s="524"/>
      <c r="U41" s="524"/>
      <c r="V41" s="524"/>
      <c r="W41" s="524"/>
      <c r="X41" s="525"/>
      <c r="AC41" s="523" t="s">
        <v>325</v>
      </c>
      <c r="AD41" s="524"/>
      <c r="AE41" s="524"/>
      <c r="AF41" s="524"/>
      <c r="AG41" s="524"/>
      <c r="AH41" s="524"/>
      <c r="AI41" s="525"/>
      <c r="BB41" s="72"/>
      <c r="BC41" s="72"/>
      <c r="BD41" s="664"/>
      <c r="BE41" s="72"/>
      <c r="BF41" s="665"/>
      <c r="BR41" s="539" t="s">
        <v>354</v>
      </c>
      <c r="BS41" s="540"/>
      <c r="BT41" s="540"/>
      <c r="BU41" s="541"/>
      <c r="BV41" s="466">
        <v>1</v>
      </c>
      <c r="BW41" s="480">
        <v>0</v>
      </c>
      <c r="BX41" s="466">
        <v>0</v>
      </c>
      <c r="BY41" s="478">
        <v>0</v>
      </c>
      <c r="BZ41" s="480">
        <v>0</v>
      </c>
      <c r="CA41" s="480">
        <v>0</v>
      </c>
      <c r="CB41" s="466">
        <v>0</v>
      </c>
      <c r="CC41" s="478">
        <v>0</v>
      </c>
      <c r="CD41" s="795">
        <f>SUM(BV41:CC42)</f>
        <v>1</v>
      </c>
      <c r="CE41" s="797">
        <f>BV41*49+BW41*49+BX41*34+BY41*34+BZ41*29+CA41*29+CB41*29+CC41*29</f>
        <v>49</v>
      </c>
      <c r="CF41" s="468" t="s">
        <v>346</v>
      </c>
      <c r="CG41" s="469"/>
      <c r="CH41" s="470"/>
      <c r="CI41" s="474"/>
      <c r="CJ41" s="474">
        <v>49</v>
      </c>
      <c r="CK41" s="468" t="s">
        <v>286</v>
      </c>
      <c r="CL41" s="470"/>
      <c r="CM41" s="476">
        <v>44561</v>
      </c>
    </row>
    <row r="42" spans="3:106" ht="15.95" customHeight="1" thickBot="1">
      <c r="G42" s="526"/>
      <c r="H42" s="527"/>
      <c r="I42" s="527"/>
      <c r="J42" s="527"/>
      <c r="K42" s="527"/>
      <c r="L42" s="527"/>
      <c r="M42" s="528"/>
      <c r="R42" s="526"/>
      <c r="S42" s="527"/>
      <c r="T42" s="527"/>
      <c r="U42" s="527"/>
      <c r="V42" s="527"/>
      <c r="W42" s="527"/>
      <c r="X42" s="528"/>
      <c r="AC42" s="526"/>
      <c r="AD42" s="527"/>
      <c r="AE42" s="527"/>
      <c r="AF42" s="527"/>
      <c r="AG42" s="527"/>
      <c r="AH42" s="527"/>
      <c r="AI42" s="528"/>
      <c r="BB42" s="72"/>
      <c r="BC42" s="72"/>
      <c r="BD42" s="72"/>
      <c r="BE42" s="72"/>
      <c r="BF42" s="72"/>
      <c r="BR42" s="542"/>
      <c r="BS42" s="543"/>
      <c r="BT42" s="543"/>
      <c r="BU42" s="544"/>
      <c r="BV42" s="467"/>
      <c r="BW42" s="481"/>
      <c r="BX42" s="467"/>
      <c r="BY42" s="479"/>
      <c r="BZ42" s="481"/>
      <c r="CA42" s="481"/>
      <c r="CB42" s="467"/>
      <c r="CC42" s="479"/>
      <c r="CD42" s="796"/>
      <c r="CE42" s="798"/>
      <c r="CF42" s="471"/>
      <c r="CG42" s="472"/>
      <c r="CH42" s="473"/>
      <c r="CI42" s="475"/>
      <c r="CJ42" s="475"/>
      <c r="CK42" s="471"/>
      <c r="CL42" s="473"/>
      <c r="CM42" s="477"/>
      <c r="CP42" s="87"/>
      <c r="CQ42" s="87"/>
      <c r="CR42" s="108"/>
      <c r="CS42" s="108"/>
      <c r="CT42" s="108"/>
      <c r="CU42" s="108"/>
      <c r="CV42" s="108"/>
      <c r="CW42" s="108"/>
      <c r="CX42" s="108"/>
      <c r="CY42" s="108"/>
    </row>
    <row r="43" spans="3:106" ht="15.95" customHeight="1" thickBot="1">
      <c r="G43" s="486" t="s">
        <v>273</v>
      </c>
      <c r="H43" s="484" t="s">
        <v>274</v>
      </c>
      <c r="I43" s="484" t="s">
        <v>16</v>
      </c>
      <c r="J43" s="484" t="s">
        <v>13</v>
      </c>
      <c r="K43" s="484" t="s">
        <v>275</v>
      </c>
      <c r="L43" s="484" t="s">
        <v>276</v>
      </c>
      <c r="M43" s="484" t="s">
        <v>277</v>
      </c>
      <c r="R43" s="486" t="s">
        <v>273</v>
      </c>
      <c r="S43" s="484" t="s">
        <v>274</v>
      </c>
      <c r="T43" s="484" t="s">
        <v>16</v>
      </c>
      <c r="U43" s="484" t="s">
        <v>13</v>
      </c>
      <c r="V43" s="484" t="s">
        <v>275</v>
      </c>
      <c r="W43" s="484" t="s">
        <v>276</v>
      </c>
      <c r="X43" s="484" t="s">
        <v>277</v>
      </c>
      <c r="AC43" s="486" t="s">
        <v>273</v>
      </c>
      <c r="AD43" s="484" t="s">
        <v>274</v>
      </c>
      <c r="AE43" s="484" t="s">
        <v>16</v>
      </c>
      <c r="AF43" s="484" t="s">
        <v>13</v>
      </c>
      <c r="AG43" s="484" t="s">
        <v>275</v>
      </c>
      <c r="AH43" s="484" t="s">
        <v>276</v>
      </c>
      <c r="AI43" s="484" t="s">
        <v>277</v>
      </c>
      <c r="BB43" s="72"/>
      <c r="BC43" s="72"/>
      <c r="BD43" s="72"/>
      <c r="BE43" s="72"/>
      <c r="BF43" s="72"/>
      <c r="BR43" s="539" t="s">
        <v>355</v>
      </c>
      <c r="BS43" s="540"/>
      <c r="BT43" s="540"/>
      <c r="BU43" s="541"/>
      <c r="BV43" s="466">
        <v>0</v>
      </c>
      <c r="BW43" s="480">
        <v>0</v>
      </c>
      <c r="BX43" s="466">
        <v>0</v>
      </c>
      <c r="BY43" s="478">
        <v>1</v>
      </c>
      <c r="BZ43" s="480">
        <v>0</v>
      </c>
      <c r="CA43" s="480">
        <v>0</v>
      </c>
      <c r="CB43" s="466">
        <v>0</v>
      </c>
      <c r="CC43" s="478">
        <v>0</v>
      </c>
      <c r="CD43" s="795">
        <f>SUM(BV43:CC44)</f>
        <v>1</v>
      </c>
      <c r="CE43" s="797">
        <f>BV43*49+BW43*49+BX43*34+BY43*34+BZ43*29+CA43*29+CB43*29+CC43*29</f>
        <v>34</v>
      </c>
      <c r="CF43" s="468" t="s">
        <v>349</v>
      </c>
      <c r="CG43" s="469"/>
      <c r="CH43" s="470"/>
      <c r="CI43" s="474"/>
      <c r="CJ43" s="474">
        <v>34</v>
      </c>
      <c r="CK43" s="468" t="s">
        <v>286</v>
      </c>
      <c r="CL43" s="470"/>
      <c r="CM43" s="476">
        <v>44549</v>
      </c>
      <c r="CQ43" s="175"/>
      <c r="CR43" s="41"/>
      <c r="CS43" s="41"/>
      <c r="CT43" s="41"/>
      <c r="CU43" s="41"/>
      <c r="CV43" s="22"/>
      <c r="CW43" s="22"/>
      <c r="CX43" s="41"/>
      <c r="CY43" s="41"/>
      <c r="DA43" s="22"/>
      <c r="DB43" s="22"/>
    </row>
    <row r="44" spans="3:106" ht="15.95" customHeight="1" thickBot="1">
      <c r="G44" s="487"/>
      <c r="H44" s="485"/>
      <c r="I44" s="485"/>
      <c r="J44" s="485"/>
      <c r="K44" s="485"/>
      <c r="L44" s="485"/>
      <c r="M44" s="485"/>
      <c r="R44" s="487"/>
      <c r="S44" s="485"/>
      <c r="T44" s="485"/>
      <c r="U44" s="485"/>
      <c r="V44" s="485"/>
      <c r="W44" s="485"/>
      <c r="X44" s="485"/>
      <c r="AC44" s="487"/>
      <c r="AD44" s="485"/>
      <c r="AE44" s="485"/>
      <c r="AF44" s="485"/>
      <c r="AG44" s="485"/>
      <c r="AH44" s="485"/>
      <c r="AI44" s="485"/>
      <c r="AL44" s="705" t="s">
        <v>328</v>
      </c>
      <c r="AM44" s="706"/>
      <c r="AN44" s="706"/>
      <c r="AO44" s="707"/>
      <c r="AX44" s="492"/>
      <c r="AY44" s="493"/>
      <c r="AZ44" s="493"/>
      <c r="BA44" s="494"/>
      <c r="BB44" s="72"/>
      <c r="BC44" s="72"/>
      <c r="BD44" s="72"/>
      <c r="BE44" s="72"/>
      <c r="BF44" s="72"/>
      <c r="BH44" s="78"/>
      <c r="BI44" s="78"/>
      <c r="BJ44" s="78"/>
      <c r="BK44" s="78"/>
      <c r="BL44" s="72"/>
      <c r="BM44" s="72"/>
      <c r="BN44" s="72"/>
      <c r="BO44" s="72"/>
      <c r="BP44" s="72"/>
      <c r="BR44" s="542"/>
      <c r="BS44" s="543"/>
      <c r="BT44" s="543"/>
      <c r="BU44" s="544"/>
      <c r="BV44" s="467"/>
      <c r="BW44" s="481"/>
      <c r="BX44" s="467"/>
      <c r="BY44" s="479"/>
      <c r="BZ44" s="481"/>
      <c r="CA44" s="481"/>
      <c r="CB44" s="467"/>
      <c r="CC44" s="479"/>
      <c r="CD44" s="796"/>
      <c r="CE44" s="798"/>
      <c r="CF44" s="471"/>
      <c r="CG44" s="472"/>
      <c r="CH44" s="473"/>
      <c r="CI44" s="475"/>
      <c r="CJ44" s="475"/>
      <c r="CK44" s="471"/>
      <c r="CL44" s="473"/>
      <c r="CM44" s="477"/>
      <c r="CR44" s="41"/>
      <c r="CS44" s="41"/>
      <c r="CT44" s="41"/>
      <c r="CU44" s="41"/>
      <c r="CV44" s="41"/>
      <c r="CW44" s="41"/>
      <c r="CX44" s="22"/>
      <c r="CY44" s="22"/>
      <c r="DA44" s="22"/>
      <c r="DB44" s="22"/>
    </row>
    <row r="45" spans="3:106" ht="15.95" customHeight="1" thickBot="1">
      <c r="C45" s="782"/>
      <c r="D45" s="547" t="s">
        <v>279</v>
      </c>
      <c r="E45" s="548"/>
      <c r="F45" s="549"/>
      <c r="G45" s="569"/>
      <c r="H45" s="571"/>
      <c r="I45" s="557"/>
      <c r="J45" s="557"/>
      <c r="K45" s="557">
        <f>I45+J45</f>
        <v>0</v>
      </c>
      <c r="L45" s="593">
        <f>G45*K45</f>
        <v>0</v>
      </c>
      <c r="M45" s="519">
        <f>H45*K45</f>
        <v>0</v>
      </c>
      <c r="N45" s="782"/>
      <c r="O45" s="547" t="s">
        <v>279</v>
      </c>
      <c r="P45" s="548"/>
      <c r="Q45" s="549"/>
      <c r="R45" s="569"/>
      <c r="S45" s="571"/>
      <c r="T45" s="557"/>
      <c r="U45" s="557"/>
      <c r="V45" s="557">
        <f>T45+U45</f>
        <v>0</v>
      </c>
      <c r="W45" s="593">
        <f>R45*V45</f>
        <v>0</v>
      </c>
      <c r="X45" s="519">
        <f>S45*V45</f>
        <v>0</v>
      </c>
      <c r="Y45" s="782"/>
      <c r="Z45" s="547" t="s">
        <v>279</v>
      </c>
      <c r="AA45" s="548"/>
      <c r="AB45" s="549"/>
      <c r="AC45" s="569"/>
      <c r="AD45" s="571"/>
      <c r="AE45" s="557"/>
      <c r="AF45" s="557"/>
      <c r="AG45" s="557">
        <f>AE45+AF45</f>
        <v>0</v>
      </c>
      <c r="AH45" s="593">
        <f>AC45*AG45</f>
        <v>0</v>
      </c>
      <c r="AI45" s="519">
        <f>AD45*AG45</f>
        <v>0</v>
      </c>
      <c r="AL45" s="708"/>
      <c r="AM45" s="709"/>
      <c r="AN45" s="709"/>
      <c r="AO45" s="710"/>
      <c r="AX45" s="495"/>
      <c r="AY45" s="496"/>
      <c r="AZ45" s="496"/>
      <c r="BA45" s="497"/>
      <c r="BB45" s="72"/>
      <c r="BC45" s="72"/>
      <c r="BD45" s="72"/>
      <c r="BE45" s="72"/>
      <c r="BF45" s="72"/>
      <c r="BH45" s="78"/>
      <c r="BI45" s="78"/>
      <c r="BJ45" s="78"/>
      <c r="BK45" s="78"/>
      <c r="BL45" s="72"/>
      <c r="BM45" s="72"/>
      <c r="BN45" s="72"/>
      <c r="BO45" s="72"/>
      <c r="BP45" s="72"/>
      <c r="BR45" s="539" t="s">
        <v>48</v>
      </c>
      <c r="BS45" s="540"/>
      <c r="BT45" s="540"/>
      <c r="BU45" s="541"/>
      <c r="BV45" s="466">
        <v>0</v>
      </c>
      <c r="BW45" s="480">
        <v>0</v>
      </c>
      <c r="BX45" s="466">
        <v>0</v>
      </c>
      <c r="BY45" s="478">
        <v>0</v>
      </c>
      <c r="BZ45" s="480">
        <v>0</v>
      </c>
      <c r="CA45" s="480">
        <v>0</v>
      </c>
      <c r="CB45" s="466">
        <v>0</v>
      </c>
      <c r="CC45" s="478">
        <v>1</v>
      </c>
      <c r="CD45" s="795">
        <f>SUM(BV45:CC46)</f>
        <v>1</v>
      </c>
      <c r="CE45" s="797">
        <f>BV45*49+BW45*49+BX45*34+BY45*34+BZ45*29+CA45*29+CB45*29+CC45*29</f>
        <v>29</v>
      </c>
      <c r="CF45" s="468" t="s">
        <v>350</v>
      </c>
      <c r="CG45" s="469"/>
      <c r="CH45" s="470"/>
      <c r="CI45" s="474"/>
      <c r="CJ45" s="474">
        <v>29</v>
      </c>
      <c r="CK45" s="468" t="s">
        <v>286</v>
      </c>
      <c r="CL45" s="470"/>
      <c r="CM45" s="476">
        <v>44783</v>
      </c>
    </row>
    <row r="46" spans="3:106" ht="15.95" customHeight="1" thickBot="1">
      <c r="C46" s="783"/>
      <c r="D46" s="550"/>
      <c r="E46" s="551"/>
      <c r="F46" s="552"/>
      <c r="G46" s="570"/>
      <c r="H46" s="572"/>
      <c r="I46" s="558"/>
      <c r="J46" s="558"/>
      <c r="K46" s="558"/>
      <c r="L46" s="558"/>
      <c r="M46" s="520"/>
      <c r="N46" s="783"/>
      <c r="O46" s="550"/>
      <c r="P46" s="551"/>
      <c r="Q46" s="552"/>
      <c r="R46" s="570"/>
      <c r="S46" s="572"/>
      <c r="T46" s="558"/>
      <c r="U46" s="558"/>
      <c r="V46" s="558"/>
      <c r="W46" s="558"/>
      <c r="X46" s="520"/>
      <c r="Y46" s="783"/>
      <c r="Z46" s="550"/>
      <c r="AA46" s="551"/>
      <c r="AB46" s="552"/>
      <c r="AC46" s="570"/>
      <c r="AD46" s="572"/>
      <c r="AE46" s="558"/>
      <c r="AF46" s="558"/>
      <c r="AG46" s="558"/>
      <c r="AH46" s="558"/>
      <c r="AI46" s="520"/>
      <c r="AL46" s="708"/>
      <c r="AM46" s="709"/>
      <c r="AN46" s="709"/>
      <c r="AO46" s="710"/>
      <c r="AP46" s="484" t="s">
        <v>329</v>
      </c>
      <c r="AQ46" s="484" t="s">
        <v>330</v>
      </c>
      <c r="AR46" s="484" t="s">
        <v>331</v>
      </c>
      <c r="AS46" s="484" t="s">
        <v>332</v>
      </c>
      <c r="AX46" s="495"/>
      <c r="AY46" s="496"/>
      <c r="AZ46" s="496"/>
      <c r="BA46" s="497"/>
      <c r="BB46" s="484" t="s">
        <v>293</v>
      </c>
      <c r="BC46" s="484" t="s">
        <v>16</v>
      </c>
      <c r="BD46" s="484" t="s">
        <v>13</v>
      </c>
      <c r="BE46" s="484" t="s">
        <v>275</v>
      </c>
      <c r="BF46" s="484" t="s">
        <v>277</v>
      </c>
      <c r="BH46" s="78"/>
      <c r="BI46" s="78"/>
      <c r="BJ46" s="78"/>
      <c r="BK46" s="78"/>
      <c r="BL46" s="72"/>
      <c r="BM46" s="72"/>
      <c r="BN46" s="72"/>
      <c r="BO46" s="72"/>
      <c r="BP46" s="72"/>
      <c r="BR46" s="542"/>
      <c r="BS46" s="543"/>
      <c r="BT46" s="543"/>
      <c r="BU46" s="544"/>
      <c r="BV46" s="467"/>
      <c r="BW46" s="481"/>
      <c r="BX46" s="467"/>
      <c r="BY46" s="479"/>
      <c r="BZ46" s="481"/>
      <c r="CA46" s="481"/>
      <c r="CB46" s="467"/>
      <c r="CC46" s="479"/>
      <c r="CD46" s="796"/>
      <c r="CE46" s="798"/>
      <c r="CF46" s="471"/>
      <c r="CG46" s="472"/>
      <c r="CH46" s="473"/>
      <c r="CI46" s="475"/>
      <c r="CJ46" s="475"/>
      <c r="CK46" s="471"/>
      <c r="CL46" s="473"/>
      <c r="CM46" s="477"/>
      <c r="CP46" s="87"/>
      <c r="CQ46" s="87"/>
      <c r="CR46" s="108"/>
      <c r="CS46" s="108"/>
      <c r="CT46" s="108"/>
      <c r="CU46" s="108"/>
      <c r="CV46" s="108"/>
      <c r="CW46" s="108"/>
      <c r="CX46" s="108"/>
      <c r="CY46" s="108"/>
    </row>
    <row r="47" spans="3:106" ht="15.95" customHeight="1" thickBot="1">
      <c r="C47" s="793"/>
      <c r="D47" s="547" t="s">
        <v>283</v>
      </c>
      <c r="E47" s="548"/>
      <c r="F47" s="549"/>
      <c r="G47" s="569"/>
      <c r="H47" s="571"/>
      <c r="I47" s="557"/>
      <c r="J47" s="557"/>
      <c r="K47" s="557">
        <f>I47+J47</f>
        <v>0</v>
      </c>
      <c r="L47" s="593">
        <f>G47*K47</f>
        <v>0</v>
      </c>
      <c r="M47" s="519">
        <f>H47*K47</f>
        <v>0</v>
      </c>
      <c r="N47" s="793"/>
      <c r="O47" s="547" t="s">
        <v>283</v>
      </c>
      <c r="P47" s="548"/>
      <c r="Q47" s="549"/>
      <c r="R47" s="569"/>
      <c r="S47" s="571"/>
      <c r="T47" s="557"/>
      <c r="U47" s="557"/>
      <c r="V47" s="557">
        <f>T47+U47</f>
        <v>0</v>
      </c>
      <c r="W47" s="593">
        <f>R47*V47</f>
        <v>0</v>
      </c>
      <c r="X47" s="519">
        <f>S47*V47</f>
        <v>0</v>
      </c>
      <c r="Y47" s="793"/>
      <c r="Z47" s="547" t="s">
        <v>283</v>
      </c>
      <c r="AA47" s="548"/>
      <c r="AB47" s="549"/>
      <c r="AC47" s="569"/>
      <c r="AD47" s="571"/>
      <c r="AE47" s="557"/>
      <c r="AF47" s="557"/>
      <c r="AG47" s="557">
        <f>AE47+AF47</f>
        <v>0</v>
      </c>
      <c r="AH47" s="593">
        <f>AC47*AG47</f>
        <v>0</v>
      </c>
      <c r="AI47" s="519">
        <f>AD47*AG47</f>
        <v>0</v>
      </c>
      <c r="AL47" s="711"/>
      <c r="AM47" s="712"/>
      <c r="AN47" s="712"/>
      <c r="AO47" s="713"/>
      <c r="AP47" s="485"/>
      <c r="AQ47" s="485"/>
      <c r="AR47" s="485"/>
      <c r="AS47" s="485"/>
      <c r="AX47" s="498"/>
      <c r="AY47" s="499"/>
      <c r="AZ47" s="499"/>
      <c r="BA47" s="500"/>
      <c r="BB47" s="485"/>
      <c r="BC47" s="485"/>
      <c r="BD47" s="485"/>
      <c r="BE47" s="485"/>
      <c r="BF47" s="485"/>
      <c r="BH47" s="78"/>
      <c r="BI47" s="78"/>
      <c r="BJ47" s="78"/>
      <c r="BK47" s="78"/>
      <c r="BL47" s="72"/>
      <c r="BM47" s="72"/>
      <c r="BN47" s="72"/>
      <c r="BO47" s="72"/>
      <c r="BP47" s="72"/>
      <c r="BR47" s="539" t="s">
        <v>356</v>
      </c>
      <c r="BS47" s="540"/>
      <c r="BT47" s="540"/>
      <c r="BU47" s="541"/>
      <c r="BV47" s="466">
        <v>0</v>
      </c>
      <c r="BW47" s="480">
        <v>1</v>
      </c>
      <c r="BX47" s="466">
        <v>0</v>
      </c>
      <c r="BY47" s="478">
        <v>0</v>
      </c>
      <c r="BZ47" s="480">
        <v>0</v>
      </c>
      <c r="CA47" s="480">
        <v>0</v>
      </c>
      <c r="CB47" s="466">
        <v>0</v>
      </c>
      <c r="CC47" s="478">
        <v>0</v>
      </c>
      <c r="CD47" s="795">
        <f>SUM(BV47:CC48)</f>
        <v>1</v>
      </c>
      <c r="CE47" s="797">
        <f>BV47*49+BW47*49+BX47*34+BY47*34+BZ47*29+CA47*29+CB47*29+CC47*29</f>
        <v>49</v>
      </c>
      <c r="CF47" s="468" t="s">
        <v>346</v>
      </c>
      <c r="CG47" s="469"/>
      <c r="CH47" s="470"/>
      <c r="CI47" s="474"/>
      <c r="CJ47" s="474">
        <v>49</v>
      </c>
      <c r="CK47" s="468" t="s">
        <v>286</v>
      </c>
      <c r="CL47" s="470"/>
      <c r="CM47" s="476">
        <v>44551</v>
      </c>
      <c r="CQ47" s="175"/>
      <c r="CR47" s="41"/>
      <c r="CS47" s="41"/>
      <c r="CT47" s="41"/>
      <c r="CU47" s="41"/>
      <c r="CV47" s="22"/>
      <c r="CW47" s="22"/>
      <c r="CX47" s="41"/>
      <c r="CY47" s="41"/>
      <c r="DA47" s="22"/>
      <c r="DB47" s="22"/>
    </row>
    <row r="48" spans="3:106" ht="15.95" customHeight="1" thickBot="1">
      <c r="C48" s="793"/>
      <c r="D48" s="550"/>
      <c r="E48" s="551"/>
      <c r="F48" s="552"/>
      <c r="G48" s="570"/>
      <c r="H48" s="572"/>
      <c r="I48" s="558"/>
      <c r="J48" s="558"/>
      <c r="K48" s="558"/>
      <c r="L48" s="558"/>
      <c r="M48" s="520"/>
      <c r="N48" s="793"/>
      <c r="O48" s="550"/>
      <c r="P48" s="551"/>
      <c r="Q48" s="552"/>
      <c r="R48" s="570"/>
      <c r="S48" s="572"/>
      <c r="T48" s="558"/>
      <c r="U48" s="558"/>
      <c r="V48" s="558"/>
      <c r="W48" s="558"/>
      <c r="X48" s="520"/>
      <c r="Y48" s="793"/>
      <c r="Z48" s="550"/>
      <c r="AA48" s="551"/>
      <c r="AB48" s="552"/>
      <c r="AC48" s="570"/>
      <c r="AD48" s="572"/>
      <c r="AE48" s="558"/>
      <c r="AF48" s="558"/>
      <c r="AG48" s="558"/>
      <c r="AH48" s="558"/>
      <c r="AI48" s="520"/>
      <c r="AL48" s="800"/>
      <c r="AM48" s="547" t="s">
        <v>335</v>
      </c>
      <c r="AN48" s="548"/>
      <c r="AO48" s="549"/>
      <c r="AP48" s="641">
        <v>49</v>
      </c>
      <c r="AQ48" s="650">
        <f>AS32</f>
        <v>3.63</v>
      </c>
      <c r="AR48" s="650">
        <f>AP48-AQ48</f>
        <v>45.37</v>
      </c>
      <c r="AS48" s="752">
        <f>(AP48-AQ48)/AQ48</f>
        <v>12.49862258953168</v>
      </c>
      <c r="AX48" s="800"/>
      <c r="AY48" s="547" t="s">
        <v>335</v>
      </c>
      <c r="AZ48" s="548"/>
      <c r="BA48" s="549"/>
      <c r="BB48" s="641">
        <f>AP48</f>
        <v>49</v>
      </c>
      <c r="BC48" s="643">
        <f>BC16-BB32</f>
        <v>5</v>
      </c>
      <c r="BD48" s="643">
        <f>BD16-BC32</f>
        <v>7</v>
      </c>
      <c r="BE48" s="643">
        <f>BC48+BD48</f>
        <v>12</v>
      </c>
      <c r="BF48" s="650">
        <f>BB48*BE48</f>
        <v>588</v>
      </c>
      <c r="BI48" s="64"/>
      <c r="BJ48" s="64"/>
      <c r="BK48" s="64"/>
      <c r="BL48" s="73"/>
      <c r="BM48" s="74"/>
      <c r="BN48" s="74"/>
      <c r="BO48" s="74"/>
      <c r="BP48" s="73"/>
      <c r="BR48" s="542"/>
      <c r="BS48" s="543"/>
      <c r="BT48" s="543"/>
      <c r="BU48" s="544"/>
      <c r="BV48" s="467"/>
      <c r="BW48" s="481"/>
      <c r="BX48" s="467"/>
      <c r="BY48" s="479"/>
      <c r="BZ48" s="481"/>
      <c r="CA48" s="481"/>
      <c r="CB48" s="467"/>
      <c r="CC48" s="479"/>
      <c r="CD48" s="796"/>
      <c r="CE48" s="798"/>
      <c r="CF48" s="471"/>
      <c r="CG48" s="472"/>
      <c r="CH48" s="473"/>
      <c r="CI48" s="475"/>
      <c r="CJ48" s="475"/>
      <c r="CK48" s="471"/>
      <c r="CL48" s="473"/>
      <c r="CM48" s="477"/>
      <c r="CR48" s="41"/>
      <c r="CS48" s="41"/>
      <c r="CT48" s="41"/>
      <c r="CU48" s="41"/>
      <c r="CV48" s="41"/>
      <c r="CW48" s="41"/>
      <c r="CX48" s="22"/>
      <c r="CY48" s="22"/>
      <c r="DA48" s="22"/>
      <c r="DB48" s="22"/>
    </row>
    <row r="49" spans="3:106" ht="15.95" customHeight="1" thickBot="1">
      <c r="C49" s="794"/>
      <c r="D49" s="547" t="s">
        <v>288</v>
      </c>
      <c r="E49" s="548"/>
      <c r="F49" s="549"/>
      <c r="G49" s="569"/>
      <c r="H49" s="571"/>
      <c r="I49" s="557"/>
      <c r="J49" s="557"/>
      <c r="K49" s="557">
        <f>I49+J49</f>
        <v>0</v>
      </c>
      <c r="L49" s="593">
        <f>G49*K49</f>
        <v>0</v>
      </c>
      <c r="M49" s="519">
        <f>H49*K49</f>
        <v>0</v>
      </c>
      <c r="N49" s="794"/>
      <c r="O49" s="547" t="s">
        <v>288</v>
      </c>
      <c r="P49" s="548"/>
      <c r="Q49" s="549"/>
      <c r="R49" s="569"/>
      <c r="S49" s="571"/>
      <c r="T49" s="557"/>
      <c r="U49" s="557"/>
      <c r="V49" s="557">
        <f>T49+U49</f>
        <v>0</v>
      </c>
      <c r="W49" s="593">
        <f>R49*V49</f>
        <v>0</v>
      </c>
      <c r="X49" s="519">
        <f>S49*V49</f>
        <v>0</v>
      </c>
      <c r="Y49" s="794"/>
      <c r="Z49" s="547" t="s">
        <v>288</v>
      </c>
      <c r="AA49" s="548"/>
      <c r="AB49" s="549"/>
      <c r="AC49" s="569"/>
      <c r="AD49" s="571"/>
      <c r="AE49" s="557"/>
      <c r="AF49" s="557"/>
      <c r="AG49" s="557">
        <f>AE49+AF49</f>
        <v>0</v>
      </c>
      <c r="AH49" s="593">
        <f>AC49*AG49</f>
        <v>0</v>
      </c>
      <c r="AI49" s="519">
        <f>AD49*AG49</f>
        <v>0</v>
      </c>
      <c r="AL49" s="793"/>
      <c r="AM49" s="550"/>
      <c r="AN49" s="551"/>
      <c r="AO49" s="552"/>
      <c r="AP49" s="642"/>
      <c r="AQ49" s="651"/>
      <c r="AR49" s="651"/>
      <c r="AS49" s="753"/>
      <c r="AX49" s="793"/>
      <c r="AY49" s="550"/>
      <c r="AZ49" s="551"/>
      <c r="BA49" s="552"/>
      <c r="BB49" s="754"/>
      <c r="BC49" s="644"/>
      <c r="BD49" s="644"/>
      <c r="BE49" s="644"/>
      <c r="BF49" s="651"/>
      <c r="BI49" s="64"/>
      <c r="BJ49" s="64"/>
      <c r="BK49" s="64"/>
      <c r="BL49" s="74"/>
      <c r="BM49" s="74"/>
      <c r="BN49" s="74"/>
      <c r="BO49" s="74"/>
      <c r="BP49" s="73"/>
      <c r="BR49" s="539" t="s">
        <v>54</v>
      </c>
      <c r="BS49" s="540"/>
      <c r="BT49" s="540"/>
      <c r="BU49" s="541"/>
      <c r="BV49" s="466">
        <v>1</v>
      </c>
      <c r="BW49" s="480">
        <v>0</v>
      </c>
      <c r="BX49" s="466">
        <v>0</v>
      </c>
      <c r="BY49" s="478">
        <v>0</v>
      </c>
      <c r="BZ49" s="480">
        <v>0</v>
      </c>
      <c r="CA49" s="480">
        <v>0</v>
      </c>
      <c r="CB49" s="466">
        <v>0</v>
      </c>
      <c r="CC49" s="478">
        <v>0</v>
      </c>
      <c r="CD49" s="795">
        <f>SUM(BV49:CC50)</f>
        <v>1</v>
      </c>
      <c r="CE49" s="797">
        <f>BV49*39+BW49*39+BX49*27+BY49*27+BZ49*23+CA49*23+CB49*23+CC49*23</f>
        <v>39</v>
      </c>
      <c r="CF49" s="468" t="s">
        <v>357</v>
      </c>
      <c r="CG49" s="469"/>
      <c r="CH49" s="470"/>
      <c r="CI49" s="474"/>
      <c r="CJ49" s="474">
        <v>39</v>
      </c>
      <c r="CK49" s="468" t="s">
        <v>286</v>
      </c>
      <c r="CL49" s="470"/>
      <c r="CM49" s="476">
        <v>44557</v>
      </c>
    </row>
    <row r="50" spans="3:106" ht="15.95" customHeight="1" thickBot="1">
      <c r="C50" s="794"/>
      <c r="D50" s="550"/>
      <c r="E50" s="551"/>
      <c r="F50" s="552"/>
      <c r="G50" s="570"/>
      <c r="H50" s="572"/>
      <c r="I50" s="558"/>
      <c r="J50" s="558"/>
      <c r="K50" s="558"/>
      <c r="L50" s="558"/>
      <c r="M50" s="520"/>
      <c r="N50" s="794"/>
      <c r="O50" s="550"/>
      <c r="P50" s="551"/>
      <c r="Q50" s="552"/>
      <c r="R50" s="570"/>
      <c r="S50" s="572"/>
      <c r="T50" s="558"/>
      <c r="U50" s="558"/>
      <c r="V50" s="558"/>
      <c r="W50" s="558"/>
      <c r="X50" s="520"/>
      <c r="Y50" s="794"/>
      <c r="Z50" s="550"/>
      <c r="AA50" s="551"/>
      <c r="AB50" s="552"/>
      <c r="AC50" s="570"/>
      <c r="AD50" s="572"/>
      <c r="AE50" s="558"/>
      <c r="AF50" s="558"/>
      <c r="AG50" s="558"/>
      <c r="AH50" s="558"/>
      <c r="AI50" s="520"/>
      <c r="AL50" s="793"/>
      <c r="AM50" s="547" t="s">
        <v>261</v>
      </c>
      <c r="AN50" s="548"/>
      <c r="AO50" s="549"/>
      <c r="AP50" s="755">
        <v>34</v>
      </c>
      <c r="AQ50" s="519">
        <f>AS34</f>
        <v>3.63</v>
      </c>
      <c r="AR50" s="650">
        <f>AP50-AQ50</f>
        <v>30.37</v>
      </c>
      <c r="AS50" s="752">
        <f>(AP50-AQ50)/AQ50</f>
        <v>8.3663911845730041</v>
      </c>
      <c r="AX50" s="793"/>
      <c r="AY50" s="547" t="s">
        <v>261</v>
      </c>
      <c r="AZ50" s="548"/>
      <c r="BA50" s="549"/>
      <c r="BB50" s="641">
        <f>AP50</f>
        <v>34</v>
      </c>
      <c r="BC50" s="643">
        <f>BC18-BB34</f>
        <v>7</v>
      </c>
      <c r="BD50" s="643">
        <f>BD18-BC34</f>
        <v>7</v>
      </c>
      <c r="BE50" s="643">
        <f>BC50+BD50</f>
        <v>14</v>
      </c>
      <c r="BF50" s="650">
        <f>BB50*BE50</f>
        <v>476</v>
      </c>
      <c r="BI50" s="64"/>
      <c r="BJ50" s="64"/>
      <c r="BK50" s="64"/>
      <c r="BL50" s="73"/>
      <c r="BM50" s="74"/>
      <c r="BN50" s="74"/>
      <c r="BO50" s="74"/>
      <c r="BP50" s="73"/>
      <c r="BR50" s="542"/>
      <c r="BS50" s="543"/>
      <c r="BT50" s="543"/>
      <c r="BU50" s="544"/>
      <c r="BV50" s="467"/>
      <c r="BW50" s="481"/>
      <c r="BX50" s="467"/>
      <c r="BY50" s="479"/>
      <c r="BZ50" s="481"/>
      <c r="CA50" s="481"/>
      <c r="CB50" s="467"/>
      <c r="CC50" s="479"/>
      <c r="CD50" s="796"/>
      <c r="CE50" s="798"/>
      <c r="CF50" s="471"/>
      <c r="CG50" s="472"/>
      <c r="CH50" s="473"/>
      <c r="CI50" s="475"/>
      <c r="CJ50" s="475"/>
      <c r="CK50" s="471"/>
      <c r="CL50" s="473"/>
      <c r="CM50" s="477"/>
      <c r="CP50" s="87"/>
      <c r="CQ50" s="87"/>
      <c r="CR50" s="108"/>
      <c r="CS50" s="108"/>
      <c r="CT50" s="108"/>
      <c r="CU50" s="108"/>
      <c r="CV50" s="108"/>
      <c r="CW50" s="108"/>
      <c r="CX50" s="108"/>
      <c r="CY50" s="108"/>
    </row>
    <row r="51" spans="3:106" ht="15.95" customHeight="1" thickBot="1">
      <c r="C51" s="799"/>
      <c r="D51" s="547" t="s">
        <v>290</v>
      </c>
      <c r="E51" s="548"/>
      <c r="F51" s="549"/>
      <c r="G51" s="569"/>
      <c r="H51" s="571"/>
      <c r="I51" s="557"/>
      <c r="J51" s="557"/>
      <c r="K51" s="557">
        <f>I51+J51</f>
        <v>0</v>
      </c>
      <c r="L51" s="593">
        <f>G51*K51</f>
        <v>0</v>
      </c>
      <c r="M51" s="519">
        <f>H51*K51</f>
        <v>0</v>
      </c>
      <c r="N51" s="799"/>
      <c r="O51" s="547" t="s">
        <v>290</v>
      </c>
      <c r="P51" s="548"/>
      <c r="Q51" s="549"/>
      <c r="R51" s="569"/>
      <c r="S51" s="571"/>
      <c r="T51" s="557"/>
      <c r="U51" s="557"/>
      <c r="V51" s="557">
        <f>T51+U51</f>
        <v>0</v>
      </c>
      <c r="W51" s="593">
        <f>R51*V51</f>
        <v>0</v>
      </c>
      <c r="X51" s="519">
        <f>S51*V51</f>
        <v>0</v>
      </c>
      <c r="Y51" s="799"/>
      <c r="Z51" s="547" t="s">
        <v>290</v>
      </c>
      <c r="AA51" s="548"/>
      <c r="AB51" s="549"/>
      <c r="AC51" s="569"/>
      <c r="AD51" s="571"/>
      <c r="AE51" s="557"/>
      <c r="AF51" s="557"/>
      <c r="AG51" s="557">
        <f>AE51+AF51</f>
        <v>0</v>
      </c>
      <c r="AH51" s="593">
        <f>AC51*AG51</f>
        <v>0</v>
      </c>
      <c r="AI51" s="519">
        <f>AD51*AG51</f>
        <v>0</v>
      </c>
      <c r="AL51" s="793"/>
      <c r="AM51" s="550"/>
      <c r="AN51" s="551"/>
      <c r="AO51" s="552"/>
      <c r="AP51" s="756"/>
      <c r="AQ51" s="640"/>
      <c r="AR51" s="651"/>
      <c r="AS51" s="753"/>
      <c r="AX51" s="793"/>
      <c r="AY51" s="550"/>
      <c r="AZ51" s="551"/>
      <c r="BA51" s="552"/>
      <c r="BB51" s="754"/>
      <c r="BC51" s="644"/>
      <c r="BD51" s="644"/>
      <c r="BE51" s="644"/>
      <c r="BF51" s="651"/>
      <c r="BI51" s="64"/>
      <c r="BJ51" s="64"/>
      <c r="BK51" s="64"/>
      <c r="BL51" s="74"/>
      <c r="BM51" s="74"/>
      <c r="BN51" s="74"/>
      <c r="BO51" s="74"/>
      <c r="BP51" s="73"/>
      <c r="BR51" s="539" t="s">
        <v>42</v>
      </c>
      <c r="BS51" s="540"/>
      <c r="BT51" s="540"/>
      <c r="BU51" s="541"/>
      <c r="BV51" s="466">
        <v>0</v>
      </c>
      <c r="BW51" s="480">
        <v>0</v>
      </c>
      <c r="BX51" s="466">
        <v>1</v>
      </c>
      <c r="BY51" s="478">
        <v>0</v>
      </c>
      <c r="BZ51" s="480">
        <v>0</v>
      </c>
      <c r="CA51" s="480">
        <v>0</v>
      </c>
      <c r="CB51" s="466">
        <v>0</v>
      </c>
      <c r="CC51" s="478">
        <v>0</v>
      </c>
      <c r="CD51" s="795">
        <f>SUM(BV51:CC52)</f>
        <v>1</v>
      </c>
      <c r="CE51" s="797">
        <f>BV51*39+BW51*39+BX51*27+BY51*27+BZ51*23+CA51*23+CB51*23+CC51*23</f>
        <v>27</v>
      </c>
      <c r="CF51" s="468" t="s">
        <v>358</v>
      </c>
      <c r="CG51" s="469"/>
      <c r="CH51" s="470"/>
      <c r="CI51" s="474"/>
      <c r="CJ51" s="474">
        <v>27</v>
      </c>
      <c r="CK51" s="468" t="s">
        <v>286</v>
      </c>
      <c r="CL51" s="470"/>
      <c r="CM51" s="476">
        <v>44783</v>
      </c>
      <c r="CQ51" s="175"/>
      <c r="CR51" s="41"/>
      <c r="CS51" s="41"/>
      <c r="CT51" s="41"/>
      <c r="CU51" s="41"/>
      <c r="CV51" s="22"/>
      <c r="CW51" s="22"/>
      <c r="CX51" s="41"/>
      <c r="CY51" s="41"/>
      <c r="DA51" s="22"/>
      <c r="DB51" s="22"/>
    </row>
    <row r="52" spans="3:106" ht="15.95" customHeight="1" thickBot="1">
      <c r="C52" s="799"/>
      <c r="D52" s="550"/>
      <c r="E52" s="551"/>
      <c r="F52" s="552"/>
      <c r="G52" s="570"/>
      <c r="H52" s="572"/>
      <c r="I52" s="558"/>
      <c r="J52" s="558"/>
      <c r="K52" s="558"/>
      <c r="L52" s="558"/>
      <c r="M52" s="520"/>
      <c r="N52" s="799"/>
      <c r="O52" s="550"/>
      <c r="P52" s="551"/>
      <c r="Q52" s="552"/>
      <c r="R52" s="570"/>
      <c r="S52" s="572"/>
      <c r="T52" s="558"/>
      <c r="U52" s="558"/>
      <c r="V52" s="558"/>
      <c r="W52" s="558"/>
      <c r="X52" s="520"/>
      <c r="Y52" s="799"/>
      <c r="Z52" s="550"/>
      <c r="AA52" s="551"/>
      <c r="AB52" s="552"/>
      <c r="AC52" s="570"/>
      <c r="AD52" s="572"/>
      <c r="AE52" s="558"/>
      <c r="AF52" s="558"/>
      <c r="AG52" s="558"/>
      <c r="AH52" s="558"/>
      <c r="AI52" s="520"/>
      <c r="AL52" s="802"/>
      <c r="AM52" s="547" t="s">
        <v>336</v>
      </c>
      <c r="AN52" s="548"/>
      <c r="AO52" s="549"/>
      <c r="AP52" s="755">
        <v>29</v>
      </c>
      <c r="AQ52" s="519">
        <f>AS36</f>
        <v>3.0249999999999999</v>
      </c>
      <c r="AR52" s="650">
        <f>AP52-AQ52</f>
        <v>25.975000000000001</v>
      </c>
      <c r="AS52" s="752">
        <f>(AP52-AQ52)/AQ52</f>
        <v>8.5867768595041323</v>
      </c>
      <c r="AX52" s="802"/>
      <c r="AY52" s="547" t="s">
        <v>336</v>
      </c>
      <c r="AZ52" s="548"/>
      <c r="BA52" s="549"/>
      <c r="BB52" s="641">
        <f>AP52</f>
        <v>29</v>
      </c>
      <c r="BC52" s="643">
        <f>BC20-BB36</f>
        <v>4</v>
      </c>
      <c r="BD52" s="643">
        <f>BD20-BC36</f>
        <v>4</v>
      </c>
      <c r="BE52" s="643">
        <f>BC52+BD52</f>
        <v>8</v>
      </c>
      <c r="BF52" s="650">
        <f>BB52*BE52</f>
        <v>232</v>
      </c>
      <c r="BI52" s="64"/>
      <c r="BJ52" s="64"/>
      <c r="BK52" s="64"/>
      <c r="BL52" s="73"/>
      <c r="BM52" s="74"/>
      <c r="BN52" s="74"/>
      <c r="BO52" s="74"/>
      <c r="BP52" s="73"/>
      <c r="BR52" s="542"/>
      <c r="BS52" s="543"/>
      <c r="BT52" s="543"/>
      <c r="BU52" s="544"/>
      <c r="BV52" s="467"/>
      <c r="BW52" s="481"/>
      <c r="BX52" s="467"/>
      <c r="BY52" s="479"/>
      <c r="BZ52" s="481"/>
      <c r="CA52" s="481"/>
      <c r="CB52" s="467"/>
      <c r="CC52" s="479"/>
      <c r="CD52" s="796"/>
      <c r="CE52" s="798"/>
      <c r="CF52" s="471"/>
      <c r="CG52" s="472"/>
      <c r="CH52" s="473"/>
      <c r="CI52" s="475"/>
      <c r="CJ52" s="475"/>
      <c r="CK52" s="471"/>
      <c r="CL52" s="473"/>
      <c r="CM52" s="477"/>
      <c r="CR52" s="41"/>
      <c r="CS52" s="41"/>
      <c r="CT52" s="41"/>
      <c r="CU52" s="41"/>
      <c r="CV52" s="41"/>
      <c r="CW52" s="41"/>
      <c r="CX52" s="22"/>
      <c r="CY52" s="22"/>
      <c r="DA52" s="22"/>
      <c r="DB52" s="22"/>
    </row>
    <row r="53" spans="3:106" ht="15.95" customHeight="1" thickBot="1">
      <c r="C53" s="802"/>
      <c r="D53" s="547" t="s">
        <v>294</v>
      </c>
      <c r="E53" s="548"/>
      <c r="F53" s="549"/>
      <c r="G53" s="569"/>
      <c r="H53" s="571"/>
      <c r="I53" s="557"/>
      <c r="J53" s="557"/>
      <c r="K53" s="557">
        <f>I53+J53</f>
        <v>0</v>
      </c>
      <c r="L53" s="593">
        <f>G53*K53</f>
        <v>0</v>
      </c>
      <c r="M53" s="519">
        <f>H53*K53</f>
        <v>0</v>
      </c>
      <c r="N53" s="802"/>
      <c r="O53" s="547" t="s">
        <v>294</v>
      </c>
      <c r="P53" s="548"/>
      <c r="Q53" s="549"/>
      <c r="R53" s="569"/>
      <c r="S53" s="571"/>
      <c r="T53" s="557"/>
      <c r="U53" s="557"/>
      <c r="V53" s="557">
        <f>T53+U53</f>
        <v>0</v>
      </c>
      <c r="W53" s="593">
        <f>R53*V53</f>
        <v>0</v>
      </c>
      <c r="X53" s="519">
        <f>S53*V53</f>
        <v>0</v>
      </c>
      <c r="Y53" s="802"/>
      <c r="Z53" s="547" t="s">
        <v>294</v>
      </c>
      <c r="AA53" s="548"/>
      <c r="AB53" s="549"/>
      <c r="AC53" s="569"/>
      <c r="AD53" s="571"/>
      <c r="AE53" s="557"/>
      <c r="AF53" s="557"/>
      <c r="AG53" s="557">
        <f>AE53+AF53</f>
        <v>0</v>
      </c>
      <c r="AH53" s="593">
        <f>AC53*AG53</f>
        <v>0</v>
      </c>
      <c r="AI53" s="519">
        <f>AD53*AG53</f>
        <v>0</v>
      </c>
      <c r="AL53" s="802"/>
      <c r="AM53" s="550"/>
      <c r="AN53" s="551"/>
      <c r="AO53" s="552"/>
      <c r="AP53" s="756"/>
      <c r="AQ53" s="640"/>
      <c r="AR53" s="651"/>
      <c r="AS53" s="753"/>
      <c r="AX53" s="802"/>
      <c r="AY53" s="550"/>
      <c r="AZ53" s="551"/>
      <c r="BA53" s="552"/>
      <c r="BB53" s="754"/>
      <c r="BC53" s="644"/>
      <c r="BD53" s="644"/>
      <c r="BE53" s="644"/>
      <c r="BF53" s="651"/>
      <c r="BI53" s="64"/>
      <c r="BJ53" s="64"/>
      <c r="BK53" s="64"/>
      <c r="BL53" s="74"/>
      <c r="BM53" s="74"/>
      <c r="BN53" s="74"/>
      <c r="BO53" s="74"/>
      <c r="BP53" s="73"/>
      <c r="BR53" s="539" t="s">
        <v>359</v>
      </c>
      <c r="BS53" s="540"/>
      <c r="BT53" s="540"/>
      <c r="BU53" s="541"/>
      <c r="BV53" s="466">
        <v>0</v>
      </c>
      <c r="BW53" s="480">
        <v>1</v>
      </c>
      <c r="BX53" s="466">
        <v>0</v>
      </c>
      <c r="BY53" s="478">
        <v>0</v>
      </c>
      <c r="BZ53" s="480">
        <v>0</v>
      </c>
      <c r="CA53" s="480">
        <v>0</v>
      </c>
      <c r="CB53" s="466">
        <v>0</v>
      </c>
      <c r="CC53" s="478">
        <v>0</v>
      </c>
      <c r="CD53" s="795">
        <f>SUM(BV53:CC54)</f>
        <v>1</v>
      </c>
      <c r="CE53" s="797">
        <f>BV53*39+BW53*39+BX53*27+BY53*27+BZ53*23+CA53*23+CB53*23+CC53*23</f>
        <v>39</v>
      </c>
      <c r="CF53" s="468" t="s">
        <v>357</v>
      </c>
      <c r="CG53" s="469"/>
      <c r="CH53" s="470"/>
      <c r="CI53" s="474"/>
      <c r="CJ53" s="474">
        <v>39</v>
      </c>
      <c r="CK53" s="468" t="s">
        <v>286</v>
      </c>
      <c r="CL53" s="470"/>
      <c r="CM53" s="476">
        <v>44550</v>
      </c>
    </row>
    <row r="54" spans="3:106" ht="15.95" customHeight="1" thickBot="1">
      <c r="C54" s="802"/>
      <c r="D54" s="550"/>
      <c r="E54" s="551"/>
      <c r="F54" s="552"/>
      <c r="G54" s="570"/>
      <c r="H54" s="572"/>
      <c r="I54" s="558"/>
      <c r="J54" s="558"/>
      <c r="K54" s="558"/>
      <c r="L54" s="558"/>
      <c r="M54" s="520"/>
      <c r="N54" s="802"/>
      <c r="O54" s="550"/>
      <c r="P54" s="551"/>
      <c r="Q54" s="552"/>
      <c r="R54" s="570"/>
      <c r="S54" s="572"/>
      <c r="T54" s="558"/>
      <c r="U54" s="558"/>
      <c r="V54" s="558"/>
      <c r="W54" s="558"/>
      <c r="X54" s="520"/>
      <c r="Y54" s="802"/>
      <c r="Z54" s="550"/>
      <c r="AA54" s="551"/>
      <c r="AB54" s="552"/>
      <c r="AC54" s="570"/>
      <c r="AD54" s="572"/>
      <c r="AE54" s="558"/>
      <c r="AF54" s="558"/>
      <c r="AG54" s="558"/>
      <c r="AH54" s="558"/>
      <c r="AI54" s="520"/>
      <c r="AL54" s="801"/>
      <c r="AM54" s="547" t="s">
        <v>337</v>
      </c>
      <c r="AN54" s="548"/>
      <c r="AO54" s="549"/>
      <c r="AP54" s="755">
        <v>29</v>
      </c>
      <c r="AQ54" s="519">
        <f>AS38</f>
        <v>9.68</v>
      </c>
      <c r="AR54" s="650">
        <f>AP54-AQ54</f>
        <v>19.32</v>
      </c>
      <c r="AS54" s="752">
        <f>(AP54-AQ54)/AQ54</f>
        <v>1.9958677685950414</v>
      </c>
      <c r="AX54" s="801"/>
      <c r="AY54" s="547" t="s">
        <v>337</v>
      </c>
      <c r="AZ54" s="548"/>
      <c r="BA54" s="549"/>
      <c r="BB54" s="641">
        <f>AP54</f>
        <v>29</v>
      </c>
      <c r="BC54" s="643">
        <f>BC22-BB38</f>
        <v>2</v>
      </c>
      <c r="BD54" s="643">
        <f>BD22-BC38</f>
        <v>2</v>
      </c>
      <c r="BE54" s="643">
        <f>BC54+BD54</f>
        <v>4</v>
      </c>
      <c r="BF54" s="650">
        <f>BB54*BE54</f>
        <v>116</v>
      </c>
      <c r="BI54" s="64"/>
      <c r="BJ54" s="64"/>
      <c r="BK54" s="64"/>
      <c r="BL54" s="73"/>
      <c r="BM54" s="74"/>
      <c r="BN54" s="74"/>
      <c r="BO54" s="74"/>
      <c r="BP54" s="73"/>
      <c r="BR54" s="542"/>
      <c r="BS54" s="543"/>
      <c r="BT54" s="543"/>
      <c r="BU54" s="544"/>
      <c r="BV54" s="467"/>
      <c r="BW54" s="481"/>
      <c r="BX54" s="467"/>
      <c r="BY54" s="479"/>
      <c r="BZ54" s="481"/>
      <c r="CA54" s="481"/>
      <c r="CB54" s="467"/>
      <c r="CC54" s="479"/>
      <c r="CD54" s="796"/>
      <c r="CE54" s="798"/>
      <c r="CF54" s="471"/>
      <c r="CG54" s="472"/>
      <c r="CH54" s="473"/>
      <c r="CI54" s="475"/>
      <c r="CJ54" s="475"/>
      <c r="CK54" s="471"/>
      <c r="CL54" s="473"/>
      <c r="CM54" s="477"/>
      <c r="CP54" s="87"/>
      <c r="CQ54" s="87"/>
      <c r="CR54" s="108"/>
      <c r="CS54" s="108"/>
      <c r="CT54" s="108"/>
      <c r="CU54" s="108"/>
      <c r="CV54" s="108"/>
      <c r="CW54" s="108"/>
      <c r="CX54" s="108"/>
      <c r="CY54" s="108"/>
    </row>
    <row r="55" spans="3:106" ht="15.95" customHeight="1" thickBot="1">
      <c r="C55" s="801"/>
      <c r="D55" s="547" t="s">
        <v>298</v>
      </c>
      <c r="E55" s="548"/>
      <c r="F55" s="549"/>
      <c r="G55" s="569"/>
      <c r="H55" s="571"/>
      <c r="I55" s="557"/>
      <c r="J55" s="557"/>
      <c r="K55" s="557">
        <f>I55+J55</f>
        <v>0</v>
      </c>
      <c r="L55" s="593">
        <f>G55*K55</f>
        <v>0</v>
      </c>
      <c r="M55" s="519">
        <f>H55*K55</f>
        <v>0</v>
      </c>
      <c r="N55" s="801"/>
      <c r="O55" s="547" t="s">
        <v>298</v>
      </c>
      <c r="P55" s="548"/>
      <c r="Q55" s="549"/>
      <c r="R55" s="569"/>
      <c r="S55" s="571"/>
      <c r="T55" s="557"/>
      <c r="U55" s="557"/>
      <c r="V55" s="557">
        <f>T55+U55</f>
        <v>0</v>
      </c>
      <c r="W55" s="593">
        <f>R55*V55</f>
        <v>0</v>
      </c>
      <c r="X55" s="519">
        <f>S55*V55</f>
        <v>0</v>
      </c>
      <c r="Y55" s="801"/>
      <c r="Z55" s="547" t="s">
        <v>298</v>
      </c>
      <c r="AA55" s="548"/>
      <c r="AB55" s="549"/>
      <c r="AC55" s="569"/>
      <c r="AD55" s="571"/>
      <c r="AE55" s="557"/>
      <c r="AF55" s="557"/>
      <c r="AG55" s="557">
        <f>AE55+AF55</f>
        <v>0</v>
      </c>
      <c r="AH55" s="593">
        <f>AC55*AG55</f>
        <v>0</v>
      </c>
      <c r="AI55" s="519">
        <f>AD55*AG55</f>
        <v>0</v>
      </c>
      <c r="AL55" s="805"/>
      <c r="AM55" s="550"/>
      <c r="AN55" s="551"/>
      <c r="AO55" s="552"/>
      <c r="AP55" s="757"/>
      <c r="AQ55" s="669"/>
      <c r="AR55" s="665"/>
      <c r="AS55" s="758"/>
      <c r="AX55" s="805"/>
      <c r="AY55" s="550"/>
      <c r="AZ55" s="551"/>
      <c r="BA55" s="552"/>
      <c r="BB55" s="759"/>
      <c r="BC55" s="664"/>
      <c r="BD55" s="664"/>
      <c r="BE55" s="644"/>
      <c r="BF55" s="651"/>
      <c r="BI55" s="64"/>
      <c r="BJ55" s="64"/>
      <c r="BK55" s="64"/>
      <c r="BL55" s="74"/>
      <c r="BM55" s="74"/>
      <c r="BN55" s="74"/>
      <c r="BO55" s="74"/>
      <c r="BP55" s="73"/>
      <c r="BR55" s="539" t="s">
        <v>360</v>
      </c>
      <c r="BS55" s="540"/>
      <c r="BT55" s="540"/>
      <c r="BU55" s="541"/>
      <c r="BV55" s="466">
        <v>0</v>
      </c>
      <c r="BW55" s="480">
        <v>0</v>
      </c>
      <c r="BX55" s="466">
        <v>0</v>
      </c>
      <c r="BY55" s="478">
        <v>1</v>
      </c>
      <c r="BZ55" s="480">
        <v>0</v>
      </c>
      <c r="CA55" s="480">
        <v>0</v>
      </c>
      <c r="CB55" s="466">
        <v>0</v>
      </c>
      <c r="CC55" s="478">
        <v>0</v>
      </c>
      <c r="CD55" s="795">
        <f>SUM(BV55:CC56)</f>
        <v>1</v>
      </c>
      <c r="CE55" s="797">
        <f>BV55*39+BW55*39+BX55*27+BY55*27+BZ55*23+CA55*23+CB55*23+CC55*23</f>
        <v>27</v>
      </c>
      <c r="CF55" s="468" t="s">
        <v>361</v>
      </c>
      <c r="CG55" s="469"/>
      <c r="CH55" s="470"/>
      <c r="CI55" s="474"/>
      <c r="CJ55" s="474">
        <v>25</v>
      </c>
      <c r="CK55" s="468" t="s">
        <v>286</v>
      </c>
      <c r="CL55" s="470"/>
      <c r="CM55" s="476">
        <v>44620</v>
      </c>
      <c r="CQ55" s="175"/>
      <c r="CR55" s="41"/>
      <c r="CS55" s="41"/>
      <c r="CT55" s="41"/>
      <c r="CU55" s="41"/>
      <c r="CV55" s="22"/>
      <c r="CW55" s="22"/>
      <c r="CX55" s="41"/>
      <c r="CY55" s="41"/>
      <c r="DA55" s="22"/>
      <c r="DB55" s="22"/>
    </row>
    <row r="56" spans="3:106" ht="15.95" customHeight="1" thickBot="1">
      <c r="C56" s="801"/>
      <c r="D56" s="550"/>
      <c r="E56" s="551"/>
      <c r="F56" s="552"/>
      <c r="G56" s="570"/>
      <c r="H56" s="572"/>
      <c r="I56" s="558"/>
      <c r="J56" s="558"/>
      <c r="K56" s="558"/>
      <c r="L56" s="558"/>
      <c r="M56" s="520"/>
      <c r="N56" s="801"/>
      <c r="O56" s="550"/>
      <c r="P56" s="551"/>
      <c r="Q56" s="552"/>
      <c r="R56" s="570"/>
      <c r="S56" s="572"/>
      <c r="T56" s="558"/>
      <c r="U56" s="558"/>
      <c r="V56" s="558"/>
      <c r="W56" s="558"/>
      <c r="X56" s="520"/>
      <c r="Y56" s="801"/>
      <c r="Z56" s="550"/>
      <c r="AA56" s="551"/>
      <c r="AB56" s="552"/>
      <c r="AC56" s="570"/>
      <c r="AD56" s="572"/>
      <c r="AE56" s="558"/>
      <c r="AF56" s="558"/>
      <c r="AG56" s="558"/>
      <c r="AH56" s="558"/>
      <c r="AI56" s="520"/>
      <c r="BB56" s="72"/>
      <c r="BC56" s="72"/>
      <c r="BD56" s="72"/>
      <c r="BE56" s="643">
        <f>SUM(BE48:BE55)</f>
        <v>38</v>
      </c>
      <c r="BF56" s="650">
        <f>SUM(BF48:BF55)</f>
        <v>1412</v>
      </c>
      <c r="BL56" s="72"/>
      <c r="BM56" s="72"/>
      <c r="BN56" s="72"/>
      <c r="BO56" s="74"/>
      <c r="BP56" s="73"/>
      <c r="BR56" s="542"/>
      <c r="BS56" s="543"/>
      <c r="BT56" s="543"/>
      <c r="BU56" s="544"/>
      <c r="BV56" s="467"/>
      <c r="BW56" s="481"/>
      <c r="BX56" s="467"/>
      <c r="BY56" s="479"/>
      <c r="BZ56" s="481"/>
      <c r="CA56" s="481"/>
      <c r="CB56" s="467"/>
      <c r="CC56" s="479"/>
      <c r="CD56" s="796"/>
      <c r="CE56" s="798"/>
      <c r="CF56" s="471"/>
      <c r="CG56" s="472"/>
      <c r="CH56" s="473"/>
      <c r="CI56" s="475"/>
      <c r="CJ56" s="475"/>
      <c r="CK56" s="471"/>
      <c r="CL56" s="473"/>
      <c r="CM56" s="477"/>
      <c r="CR56" s="41"/>
      <c r="CS56" s="41"/>
      <c r="CT56" s="41"/>
      <c r="CU56" s="41"/>
      <c r="CV56" s="41"/>
      <c r="CW56" s="41"/>
      <c r="CX56" s="22"/>
      <c r="CY56" s="22"/>
      <c r="DA56" s="22"/>
      <c r="DB56" s="22"/>
    </row>
    <row r="57" spans="3:106" ht="15.95" customHeight="1" thickBot="1">
      <c r="C57" s="803"/>
      <c r="D57" s="547" t="s">
        <v>300</v>
      </c>
      <c r="E57" s="548"/>
      <c r="F57" s="549"/>
      <c r="G57" s="569"/>
      <c r="H57" s="571"/>
      <c r="I57" s="557"/>
      <c r="J57" s="557"/>
      <c r="K57" s="557">
        <f>I57+J57</f>
        <v>0</v>
      </c>
      <c r="L57" s="593">
        <f>G57*K57</f>
        <v>0</v>
      </c>
      <c r="M57" s="519">
        <f>H57*K57</f>
        <v>0</v>
      </c>
      <c r="N57" s="803"/>
      <c r="O57" s="547" t="s">
        <v>300</v>
      </c>
      <c r="P57" s="548"/>
      <c r="Q57" s="549"/>
      <c r="R57" s="569"/>
      <c r="S57" s="571"/>
      <c r="T57" s="557"/>
      <c r="U57" s="557"/>
      <c r="V57" s="557">
        <f>T57+U57</f>
        <v>0</v>
      </c>
      <c r="W57" s="593">
        <f>R57*V57</f>
        <v>0</v>
      </c>
      <c r="X57" s="519">
        <f>S57*V57</f>
        <v>0</v>
      </c>
      <c r="Y57" s="803"/>
      <c r="Z57" s="547" t="s">
        <v>300</v>
      </c>
      <c r="AA57" s="548"/>
      <c r="AB57" s="549"/>
      <c r="AC57" s="569"/>
      <c r="AD57" s="571"/>
      <c r="AE57" s="557"/>
      <c r="AF57" s="557"/>
      <c r="AG57" s="557">
        <f>AE57+AF57</f>
        <v>0</v>
      </c>
      <c r="AH57" s="593">
        <f>AC57*AG57</f>
        <v>0</v>
      </c>
      <c r="AI57" s="519">
        <f>AD57*AG57</f>
        <v>0</v>
      </c>
      <c r="BB57" s="72"/>
      <c r="BC57" s="72"/>
      <c r="BD57" s="72"/>
      <c r="BE57" s="664"/>
      <c r="BF57" s="665"/>
      <c r="BL57" s="72"/>
      <c r="BM57" s="72"/>
      <c r="BN57" s="72"/>
      <c r="BO57" s="74"/>
      <c r="BP57" s="73"/>
      <c r="BR57" s="539" t="s">
        <v>362</v>
      </c>
      <c r="BS57" s="540"/>
      <c r="BT57" s="540"/>
      <c r="BU57" s="541"/>
      <c r="BV57" s="466">
        <v>0</v>
      </c>
      <c r="BW57" s="480">
        <v>0</v>
      </c>
      <c r="BX57" s="466">
        <v>1</v>
      </c>
      <c r="BY57" s="478">
        <v>0</v>
      </c>
      <c r="BZ57" s="480">
        <v>0</v>
      </c>
      <c r="CA57" s="480">
        <v>0</v>
      </c>
      <c r="CB57" s="466">
        <v>0</v>
      </c>
      <c r="CC57" s="478">
        <v>0</v>
      </c>
      <c r="CD57" s="795">
        <f>SUM(BV57:CC58)</f>
        <v>1</v>
      </c>
      <c r="CE57" s="797">
        <f>BV57*39+BW57*39+BX57*27+BY57*27+BZ57*23+CA57*23+CB57*23+CC57*23</f>
        <v>27</v>
      </c>
      <c r="CF57" s="468" t="s">
        <v>361</v>
      </c>
      <c r="CG57" s="469"/>
      <c r="CH57" s="470"/>
      <c r="CI57" s="474"/>
      <c r="CJ57" s="474">
        <v>25</v>
      </c>
      <c r="CK57" s="468" t="s">
        <v>286</v>
      </c>
      <c r="CL57" s="470"/>
      <c r="CM57" s="476">
        <v>44620</v>
      </c>
    </row>
    <row r="58" spans="3:106" ht="15.95" customHeight="1" thickBot="1">
      <c r="C58" s="803"/>
      <c r="D58" s="550"/>
      <c r="E58" s="551"/>
      <c r="F58" s="552"/>
      <c r="G58" s="570"/>
      <c r="H58" s="572"/>
      <c r="I58" s="558"/>
      <c r="J58" s="558"/>
      <c r="K58" s="558"/>
      <c r="L58" s="558"/>
      <c r="M58" s="520"/>
      <c r="N58" s="803"/>
      <c r="O58" s="550"/>
      <c r="P58" s="551"/>
      <c r="Q58" s="552"/>
      <c r="R58" s="570"/>
      <c r="S58" s="572"/>
      <c r="T58" s="558"/>
      <c r="U58" s="558"/>
      <c r="V58" s="558"/>
      <c r="W58" s="558"/>
      <c r="X58" s="520"/>
      <c r="Y58" s="803"/>
      <c r="Z58" s="550"/>
      <c r="AA58" s="551"/>
      <c r="AB58" s="552"/>
      <c r="AC58" s="570"/>
      <c r="AD58" s="572"/>
      <c r="AE58" s="558"/>
      <c r="AF58" s="558"/>
      <c r="AG58" s="558"/>
      <c r="AH58" s="558"/>
      <c r="AI58" s="520"/>
      <c r="BB58" s="72"/>
      <c r="BC58" s="72"/>
      <c r="BD58" s="72"/>
      <c r="BE58" s="72"/>
      <c r="BF58" s="72"/>
      <c r="BR58" s="542"/>
      <c r="BS58" s="543"/>
      <c r="BT58" s="543"/>
      <c r="BU58" s="544"/>
      <c r="BV58" s="467"/>
      <c r="BW58" s="481"/>
      <c r="BX58" s="467"/>
      <c r="BY58" s="479"/>
      <c r="BZ58" s="481"/>
      <c r="CA58" s="481"/>
      <c r="CB58" s="467"/>
      <c r="CC58" s="479"/>
      <c r="CD58" s="796"/>
      <c r="CE58" s="798"/>
      <c r="CF58" s="471"/>
      <c r="CG58" s="472"/>
      <c r="CH58" s="473"/>
      <c r="CI58" s="475"/>
      <c r="CJ58" s="475"/>
      <c r="CK58" s="471"/>
      <c r="CL58" s="473"/>
      <c r="CM58" s="477"/>
      <c r="CP58" s="87"/>
      <c r="CQ58" s="87"/>
      <c r="CR58" s="108"/>
      <c r="CS58" s="108"/>
      <c r="CT58" s="108"/>
      <c r="CU58" s="108"/>
      <c r="CV58" s="108"/>
      <c r="CW58" s="108"/>
      <c r="CX58" s="108"/>
      <c r="CY58" s="108"/>
    </row>
    <row r="59" spans="3:106" ht="15.95" customHeight="1">
      <c r="C59" s="804"/>
      <c r="D59" s="547" t="s">
        <v>302</v>
      </c>
      <c r="E59" s="548"/>
      <c r="F59" s="549"/>
      <c r="G59" s="569"/>
      <c r="H59" s="571"/>
      <c r="I59" s="557"/>
      <c r="J59" s="557"/>
      <c r="K59" s="557">
        <f>I59+J59</f>
        <v>0</v>
      </c>
      <c r="L59" s="593">
        <f>G59*K59</f>
        <v>0</v>
      </c>
      <c r="M59" s="519">
        <f>H59*K59</f>
        <v>0</v>
      </c>
      <c r="N59" s="804"/>
      <c r="O59" s="547" t="s">
        <v>302</v>
      </c>
      <c r="P59" s="548"/>
      <c r="Q59" s="549"/>
      <c r="R59" s="569"/>
      <c r="S59" s="571"/>
      <c r="T59" s="557"/>
      <c r="U59" s="557"/>
      <c r="V59" s="557">
        <f>T59+U59</f>
        <v>0</v>
      </c>
      <c r="W59" s="593">
        <f>R59*V59</f>
        <v>0</v>
      </c>
      <c r="X59" s="519">
        <f>S59*V59</f>
        <v>0</v>
      </c>
      <c r="Y59" s="804"/>
      <c r="Z59" s="547" t="s">
        <v>302</v>
      </c>
      <c r="AA59" s="548"/>
      <c r="AB59" s="549"/>
      <c r="AC59" s="569"/>
      <c r="AD59" s="571"/>
      <c r="AE59" s="557"/>
      <c r="AF59" s="557"/>
      <c r="AG59" s="557">
        <f>AE59+AF59</f>
        <v>0</v>
      </c>
      <c r="AH59" s="593">
        <f>AC59*AG59</f>
        <v>0</v>
      </c>
      <c r="AI59" s="519">
        <f>AD59*AG59</f>
        <v>0</v>
      </c>
      <c r="BR59" s="539" t="s">
        <v>363</v>
      </c>
      <c r="BS59" s="540"/>
      <c r="BT59" s="540"/>
      <c r="BU59" s="541"/>
      <c r="BV59" s="466">
        <v>0</v>
      </c>
      <c r="BW59" s="480">
        <v>0</v>
      </c>
      <c r="BX59" s="466">
        <v>0</v>
      </c>
      <c r="BY59" s="478">
        <v>0</v>
      </c>
      <c r="BZ59" s="480">
        <v>0</v>
      </c>
      <c r="CA59" s="480">
        <v>1</v>
      </c>
      <c r="CB59" s="466">
        <v>0</v>
      </c>
      <c r="CC59" s="478">
        <v>0</v>
      </c>
      <c r="CD59" s="795">
        <f>SUM(BV59:CC60)</f>
        <v>1</v>
      </c>
      <c r="CE59" s="797">
        <f>BV59*39+BW59*39+BX59*27+BY59*27+BZ59*23+CA59*23+CB59*23+CC59*23</f>
        <v>23</v>
      </c>
      <c r="CF59" s="468" t="s">
        <v>364</v>
      </c>
      <c r="CG59" s="469"/>
      <c r="CH59" s="470"/>
      <c r="CI59" s="474"/>
      <c r="CJ59" s="474">
        <v>23</v>
      </c>
      <c r="CK59" s="468" t="s">
        <v>286</v>
      </c>
      <c r="CL59" s="470"/>
      <c r="CM59" s="476">
        <v>44620</v>
      </c>
      <c r="CQ59" s="175"/>
      <c r="CR59" s="41"/>
      <c r="CS59" s="41"/>
      <c r="CT59" s="41"/>
      <c r="CU59" s="41"/>
      <c r="CV59" s="22"/>
      <c r="CW59" s="22"/>
      <c r="CX59" s="41"/>
      <c r="CY59" s="41"/>
      <c r="DA59" s="22"/>
      <c r="DB59" s="22"/>
    </row>
    <row r="60" spans="3:106" ht="15.95" customHeight="1" thickBot="1">
      <c r="C60" s="804"/>
      <c r="D60" s="550"/>
      <c r="E60" s="551"/>
      <c r="F60" s="552"/>
      <c r="G60" s="570"/>
      <c r="H60" s="572"/>
      <c r="I60" s="558"/>
      <c r="J60" s="558"/>
      <c r="K60" s="558"/>
      <c r="L60" s="558"/>
      <c r="M60" s="520"/>
      <c r="N60" s="804"/>
      <c r="O60" s="550"/>
      <c r="P60" s="551"/>
      <c r="Q60" s="552"/>
      <c r="R60" s="570"/>
      <c r="S60" s="572"/>
      <c r="T60" s="558"/>
      <c r="U60" s="558"/>
      <c r="V60" s="558"/>
      <c r="W60" s="558"/>
      <c r="X60" s="520"/>
      <c r="Y60" s="804"/>
      <c r="Z60" s="550"/>
      <c r="AA60" s="551"/>
      <c r="AB60" s="552"/>
      <c r="AC60" s="570"/>
      <c r="AD60" s="572"/>
      <c r="AE60" s="558"/>
      <c r="AF60" s="558"/>
      <c r="AG60" s="558"/>
      <c r="AH60" s="558"/>
      <c r="AI60" s="520"/>
      <c r="BB60" s="72"/>
      <c r="BC60" s="72"/>
      <c r="BD60" s="72"/>
      <c r="BE60" s="72"/>
      <c r="BF60" s="72"/>
      <c r="BR60" s="542"/>
      <c r="BS60" s="543"/>
      <c r="BT60" s="543"/>
      <c r="BU60" s="544"/>
      <c r="BV60" s="467"/>
      <c r="BW60" s="481"/>
      <c r="BX60" s="467"/>
      <c r="BY60" s="479"/>
      <c r="BZ60" s="481"/>
      <c r="CA60" s="481"/>
      <c r="CB60" s="467"/>
      <c r="CC60" s="479"/>
      <c r="CD60" s="796"/>
      <c r="CE60" s="798"/>
      <c r="CF60" s="471"/>
      <c r="CG60" s="472"/>
      <c r="CH60" s="473"/>
      <c r="CI60" s="475"/>
      <c r="CJ60" s="475"/>
      <c r="CK60" s="471"/>
      <c r="CL60" s="473"/>
      <c r="CM60" s="477"/>
      <c r="CR60" s="41"/>
      <c r="CS60" s="41"/>
      <c r="CT60" s="41"/>
      <c r="CU60" s="41"/>
      <c r="CV60" s="41"/>
      <c r="CW60" s="41"/>
      <c r="CX60" s="22"/>
      <c r="CY60" s="22"/>
      <c r="DA60" s="22"/>
      <c r="DB60" s="22"/>
    </row>
    <row r="61" spans="3:106" ht="15.95" customHeight="1">
      <c r="C61" s="806"/>
      <c r="D61" s="547" t="s">
        <v>305</v>
      </c>
      <c r="E61" s="548"/>
      <c r="F61" s="549"/>
      <c r="G61" s="569"/>
      <c r="H61" s="571"/>
      <c r="I61" s="557"/>
      <c r="J61" s="557"/>
      <c r="K61" s="557">
        <f>I61+J61</f>
        <v>0</v>
      </c>
      <c r="L61" s="593">
        <f>G61*K61</f>
        <v>0</v>
      </c>
      <c r="M61" s="519">
        <f>H61*K61</f>
        <v>0</v>
      </c>
      <c r="N61" s="806"/>
      <c r="O61" s="547" t="s">
        <v>305</v>
      </c>
      <c r="P61" s="548"/>
      <c r="Q61" s="549"/>
      <c r="R61" s="569"/>
      <c r="S61" s="571"/>
      <c r="T61" s="557"/>
      <c r="U61" s="557"/>
      <c r="V61" s="557">
        <f>T61+U61</f>
        <v>0</v>
      </c>
      <c r="W61" s="593">
        <f>R61*V61</f>
        <v>0</v>
      </c>
      <c r="X61" s="519">
        <f>S61*V61</f>
        <v>0</v>
      </c>
      <c r="Y61" s="806"/>
      <c r="Z61" s="547" t="s">
        <v>305</v>
      </c>
      <c r="AA61" s="548"/>
      <c r="AB61" s="549"/>
      <c r="AC61" s="569"/>
      <c r="AD61" s="571"/>
      <c r="AE61" s="557"/>
      <c r="AF61" s="557"/>
      <c r="AG61" s="557">
        <f>AE61+AF61</f>
        <v>0</v>
      </c>
      <c r="AH61" s="593">
        <f>AC61*AG61</f>
        <v>0</v>
      </c>
      <c r="AI61" s="519">
        <f>AD61*AG61</f>
        <v>0</v>
      </c>
      <c r="AX61" s="492"/>
      <c r="AY61" s="493"/>
      <c r="AZ61" s="493"/>
      <c r="BA61" s="494"/>
      <c r="BB61" s="72"/>
      <c r="BC61" s="72"/>
      <c r="BD61" s="72"/>
      <c r="BE61" s="72"/>
      <c r="BF61" s="72"/>
      <c r="BH61" s="822" t="s">
        <v>365</v>
      </c>
      <c r="BI61" s="823"/>
      <c r="BJ61" s="823"/>
      <c r="BK61" s="824"/>
      <c r="BL61" s="72"/>
      <c r="BM61" s="72"/>
      <c r="BN61" s="72"/>
      <c r="BO61" s="72"/>
      <c r="BP61" s="72"/>
      <c r="BR61" s="539" t="s">
        <v>366</v>
      </c>
      <c r="BS61" s="540"/>
      <c r="BT61" s="540"/>
      <c r="BU61" s="541"/>
      <c r="BV61" s="466">
        <v>0</v>
      </c>
      <c r="BW61" s="480">
        <v>0</v>
      </c>
      <c r="BX61" s="466">
        <v>0</v>
      </c>
      <c r="BY61" s="478">
        <v>1</v>
      </c>
      <c r="BZ61" s="480">
        <v>1</v>
      </c>
      <c r="CA61" s="480">
        <v>0</v>
      </c>
      <c r="CB61" s="466">
        <v>0</v>
      </c>
      <c r="CC61" s="478">
        <v>0</v>
      </c>
      <c r="CD61" s="795">
        <f>SUM(BV61:CC62)</f>
        <v>2</v>
      </c>
      <c r="CE61" s="797">
        <f>BV61*39+BW61*39+BX61*27+BY61*27+BZ61*23+CA61*23+CB61*23+CC61*23</f>
        <v>50</v>
      </c>
      <c r="CF61" s="468" t="s">
        <v>367</v>
      </c>
      <c r="CG61" s="469"/>
      <c r="CH61" s="470"/>
      <c r="CI61" s="474">
        <v>30</v>
      </c>
      <c r="CJ61" s="474">
        <v>20</v>
      </c>
      <c r="CK61" s="468" t="s">
        <v>286</v>
      </c>
      <c r="CL61" s="470"/>
      <c r="CM61" s="476">
        <v>44626</v>
      </c>
    </row>
    <row r="62" spans="3:106" ht="15.95" customHeight="1" thickBot="1">
      <c r="C62" s="806"/>
      <c r="D62" s="550"/>
      <c r="E62" s="551"/>
      <c r="F62" s="552"/>
      <c r="G62" s="570"/>
      <c r="H62" s="572"/>
      <c r="I62" s="558"/>
      <c r="J62" s="558"/>
      <c r="K62" s="558"/>
      <c r="L62" s="558"/>
      <c r="M62" s="520"/>
      <c r="N62" s="806"/>
      <c r="O62" s="550"/>
      <c r="P62" s="551"/>
      <c r="Q62" s="552"/>
      <c r="R62" s="570"/>
      <c r="S62" s="572"/>
      <c r="T62" s="558"/>
      <c r="U62" s="558"/>
      <c r="V62" s="558"/>
      <c r="W62" s="558"/>
      <c r="X62" s="520"/>
      <c r="Y62" s="806"/>
      <c r="Z62" s="550"/>
      <c r="AA62" s="551"/>
      <c r="AB62" s="552"/>
      <c r="AC62" s="570"/>
      <c r="AD62" s="572"/>
      <c r="AE62" s="558"/>
      <c r="AF62" s="558"/>
      <c r="AG62" s="558"/>
      <c r="AH62" s="558"/>
      <c r="AI62" s="520"/>
      <c r="AX62" s="495"/>
      <c r="AY62" s="496"/>
      <c r="AZ62" s="496"/>
      <c r="BA62" s="497"/>
      <c r="BB62" s="72"/>
      <c r="BC62" s="72"/>
      <c r="BD62" s="72"/>
      <c r="BE62" s="72"/>
      <c r="BF62" s="72"/>
      <c r="BH62" s="825"/>
      <c r="BI62" s="826"/>
      <c r="BJ62" s="826"/>
      <c r="BK62" s="827"/>
      <c r="BL62" s="72"/>
      <c r="BM62" s="72"/>
      <c r="BN62" s="72"/>
      <c r="BO62" s="72"/>
      <c r="BP62" s="72"/>
      <c r="BR62" s="542"/>
      <c r="BS62" s="543"/>
      <c r="BT62" s="543"/>
      <c r="BU62" s="544"/>
      <c r="BV62" s="467"/>
      <c r="BW62" s="481"/>
      <c r="BX62" s="467"/>
      <c r="BY62" s="479"/>
      <c r="BZ62" s="481"/>
      <c r="CA62" s="481"/>
      <c r="CB62" s="467"/>
      <c r="CC62" s="479"/>
      <c r="CD62" s="796"/>
      <c r="CE62" s="798"/>
      <c r="CF62" s="471"/>
      <c r="CG62" s="472"/>
      <c r="CH62" s="473"/>
      <c r="CI62" s="475"/>
      <c r="CJ62" s="475"/>
      <c r="CK62" s="471"/>
      <c r="CL62" s="473"/>
      <c r="CM62" s="477"/>
      <c r="CP62" s="87"/>
      <c r="CQ62" s="87"/>
      <c r="CR62" s="108"/>
      <c r="CS62" s="108"/>
      <c r="CT62" s="108"/>
      <c r="CU62" s="108"/>
      <c r="CV62" s="108"/>
      <c r="CW62" s="108"/>
      <c r="CX62" s="108"/>
      <c r="CY62" s="108"/>
    </row>
    <row r="63" spans="3:106" ht="15.95" customHeight="1">
      <c r="C63" s="807"/>
      <c r="D63" s="547" t="s">
        <v>306</v>
      </c>
      <c r="E63" s="548"/>
      <c r="F63" s="549"/>
      <c r="G63" s="569"/>
      <c r="H63" s="571"/>
      <c r="I63" s="557"/>
      <c r="J63" s="557"/>
      <c r="K63" s="557">
        <f>I63+J63</f>
        <v>0</v>
      </c>
      <c r="L63" s="593">
        <f>G63*K63</f>
        <v>0</v>
      </c>
      <c r="M63" s="519">
        <f>H63*K63</f>
        <v>0</v>
      </c>
      <c r="N63" s="807"/>
      <c r="O63" s="547" t="s">
        <v>306</v>
      </c>
      <c r="P63" s="548"/>
      <c r="Q63" s="549"/>
      <c r="R63" s="569"/>
      <c r="S63" s="571"/>
      <c r="T63" s="557"/>
      <c r="U63" s="557"/>
      <c r="V63" s="557">
        <f>T63+U63</f>
        <v>0</v>
      </c>
      <c r="W63" s="593">
        <f>R63*V63</f>
        <v>0</v>
      </c>
      <c r="X63" s="519">
        <f>S63*V63</f>
        <v>0</v>
      </c>
      <c r="Y63" s="807"/>
      <c r="Z63" s="547" t="s">
        <v>306</v>
      </c>
      <c r="AA63" s="548"/>
      <c r="AB63" s="549"/>
      <c r="AC63" s="569"/>
      <c r="AD63" s="571"/>
      <c r="AE63" s="557"/>
      <c r="AF63" s="557"/>
      <c r="AG63" s="557">
        <f>AE63+AF63</f>
        <v>0</v>
      </c>
      <c r="AH63" s="593">
        <f>AC63*AG63</f>
        <v>0</v>
      </c>
      <c r="AI63" s="519">
        <f>AD63*AG63</f>
        <v>0</v>
      </c>
      <c r="AX63" s="495"/>
      <c r="AY63" s="496"/>
      <c r="AZ63" s="496"/>
      <c r="BA63" s="497"/>
      <c r="BB63" s="484" t="s">
        <v>293</v>
      </c>
      <c r="BC63" s="484" t="s">
        <v>16</v>
      </c>
      <c r="BD63" s="484" t="s">
        <v>13</v>
      </c>
      <c r="BE63" s="484" t="s">
        <v>275</v>
      </c>
      <c r="BF63" s="484" t="s">
        <v>277</v>
      </c>
      <c r="BH63" s="825"/>
      <c r="BI63" s="826"/>
      <c r="BJ63" s="826"/>
      <c r="BK63" s="827"/>
      <c r="BL63" s="484" t="s">
        <v>293</v>
      </c>
      <c r="BM63" s="484" t="s">
        <v>16</v>
      </c>
      <c r="BN63" s="484" t="s">
        <v>13</v>
      </c>
      <c r="BO63" s="484" t="s">
        <v>275</v>
      </c>
      <c r="BP63" s="484" t="s">
        <v>277</v>
      </c>
      <c r="BR63" s="539" t="s">
        <v>326</v>
      </c>
      <c r="BS63" s="540"/>
      <c r="BT63" s="540"/>
      <c r="BU63" s="541"/>
      <c r="BV63" s="466">
        <v>0</v>
      </c>
      <c r="BW63" s="480">
        <v>0</v>
      </c>
      <c r="BX63" s="466">
        <v>1</v>
      </c>
      <c r="BY63" s="478">
        <v>0</v>
      </c>
      <c r="BZ63" s="480">
        <v>1</v>
      </c>
      <c r="CA63" s="480">
        <v>0</v>
      </c>
      <c r="CB63" s="466">
        <v>0</v>
      </c>
      <c r="CC63" s="478">
        <v>0</v>
      </c>
      <c r="CD63" s="795">
        <f>SUM(BV63:CC64)</f>
        <v>2</v>
      </c>
      <c r="CE63" s="797">
        <f>BV63*39+BW63*39+BX63*27+BY63*27+BZ63*23+CA63*23+CB63*23+CC63*23</f>
        <v>50</v>
      </c>
      <c r="CF63" s="468" t="s">
        <v>368</v>
      </c>
      <c r="CG63" s="469"/>
      <c r="CH63" s="470"/>
      <c r="CI63" s="474"/>
      <c r="CJ63" s="474">
        <v>50</v>
      </c>
      <c r="CK63" s="468" t="s">
        <v>286</v>
      </c>
      <c r="CL63" s="470"/>
      <c r="CM63" s="476">
        <v>44626</v>
      </c>
      <c r="CQ63" s="175"/>
      <c r="CR63" s="41"/>
      <c r="CS63" s="41"/>
      <c r="CT63" s="41"/>
      <c r="CU63" s="41"/>
      <c r="CV63" s="22"/>
      <c r="CW63" s="22"/>
      <c r="CX63" s="41"/>
      <c r="CY63" s="41"/>
      <c r="DA63" s="22"/>
      <c r="DB63" s="22"/>
    </row>
    <row r="64" spans="3:106" ht="15.95" customHeight="1" thickBot="1">
      <c r="C64" s="807"/>
      <c r="D64" s="550"/>
      <c r="E64" s="551"/>
      <c r="F64" s="552"/>
      <c r="G64" s="570"/>
      <c r="H64" s="572"/>
      <c r="I64" s="558"/>
      <c r="J64" s="558"/>
      <c r="K64" s="558"/>
      <c r="L64" s="558"/>
      <c r="M64" s="520"/>
      <c r="N64" s="807"/>
      <c r="O64" s="550"/>
      <c r="P64" s="551"/>
      <c r="Q64" s="552"/>
      <c r="R64" s="570"/>
      <c r="S64" s="572"/>
      <c r="T64" s="558"/>
      <c r="U64" s="558"/>
      <c r="V64" s="558"/>
      <c r="W64" s="558"/>
      <c r="X64" s="520"/>
      <c r="Y64" s="807"/>
      <c r="Z64" s="550"/>
      <c r="AA64" s="551"/>
      <c r="AB64" s="552"/>
      <c r="AC64" s="570"/>
      <c r="AD64" s="572"/>
      <c r="AE64" s="558"/>
      <c r="AF64" s="558"/>
      <c r="AG64" s="558"/>
      <c r="AH64" s="558"/>
      <c r="AI64" s="520"/>
      <c r="AX64" s="498"/>
      <c r="AY64" s="499"/>
      <c r="AZ64" s="499"/>
      <c r="BA64" s="500"/>
      <c r="BB64" s="485"/>
      <c r="BC64" s="485"/>
      <c r="BD64" s="485"/>
      <c r="BE64" s="485"/>
      <c r="BF64" s="485"/>
      <c r="BH64" s="828"/>
      <c r="BI64" s="829"/>
      <c r="BJ64" s="829"/>
      <c r="BK64" s="830"/>
      <c r="BL64" s="485"/>
      <c r="BM64" s="485"/>
      <c r="BN64" s="485"/>
      <c r="BO64" s="485"/>
      <c r="BP64" s="485"/>
      <c r="BR64" s="542"/>
      <c r="BS64" s="543"/>
      <c r="BT64" s="543"/>
      <c r="BU64" s="544"/>
      <c r="BV64" s="467"/>
      <c r="BW64" s="481"/>
      <c r="BX64" s="467"/>
      <c r="BY64" s="479"/>
      <c r="BZ64" s="481"/>
      <c r="CA64" s="481"/>
      <c r="CB64" s="467"/>
      <c r="CC64" s="479"/>
      <c r="CD64" s="796"/>
      <c r="CE64" s="798"/>
      <c r="CF64" s="471"/>
      <c r="CG64" s="472"/>
      <c r="CH64" s="473"/>
      <c r="CI64" s="475"/>
      <c r="CJ64" s="475"/>
      <c r="CK64" s="471"/>
      <c r="CL64" s="473"/>
      <c r="CM64" s="477"/>
      <c r="CR64" s="41"/>
      <c r="CS64" s="41"/>
      <c r="CT64" s="41"/>
      <c r="CU64" s="41"/>
      <c r="CV64" s="41"/>
      <c r="CW64" s="41"/>
      <c r="CX64" s="22"/>
      <c r="CY64" s="22"/>
      <c r="DA64" s="22"/>
      <c r="DB64" s="22"/>
    </row>
    <row r="65" spans="3:106" ht="15.95" customHeight="1">
      <c r="C65" s="808"/>
      <c r="D65" s="547" t="s">
        <v>307</v>
      </c>
      <c r="E65" s="548"/>
      <c r="F65" s="549"/>
      <c r="G65" s="569"/>
      <c r="H65" s="571"/>
      <c r="I65" s="557"/>
      <c r="J65" s="557"/>
      <c r="K65" s="557">
        <f>I65+J65</f>
        <v>0</v>
      </c>
      <c r="L65" s="593">
        <f>G65*K65</f>
        <v>0</v>
      </c>
      <c r="M65" s="519">
        <f>H65*K65</f>
        <v>0</v>
      </c>
      <c r="N65" s="808"/>
      <c r="O65" s="547" t="s">
        <v>307</v>
      </c>
      <c r="P65" s="548"/>
      <c r="Q65" s="549"/>
      <c r="R65" s="569"/>
      <c r="S65" s="571"/>
      <c r="T65" s="557"/>
      <c r="U65" s="557"/>
      <c r="V65" s="557">
        <f>T65+U65</f>
        <v>0</v>
      </c>
      <c r="W65" s="593">
        <f>R65*V65</f>
        <v>0</v>
      </c>
      <c r="X65" s="519">
        <f>S65*V65</f>
        <v>0</v>
      </c>
      <c r="Y65" s="808"/>
      <c r="Z65" s="547" t="s">
        <v>307</v>
      </c>
      <c r="AA65" s="548"/>
      <c r="AB65" s="549"/>
      <c r="AC65" s="569"/>
      <c r="AD65" s="571"/>
      <c r="AE65" s="557"/>
      <c r="AF65" s="557"/>
      <c r="AG65" s="557">
        <f>AE65+AF65</f>
        <v>0</v>
      </c>
      <c r="AH65" s="593">
        <f>AC65*AG65</f>
        <v>0</v>
      </c>
      <c r="AI65" s="519">
        <f>AD65*AG65</f>
        <v>0</v>
      </c>
      <c r="AX65" s="800"/>
      <c r="AY65" s="547" t="s">
        <v>335</v>
      </c>
      <c r="AZ65" s="548"/>
      <c r="BA65" s="549"/>
      <c r="BB65" s="641">
        <f>BB48</f>
        <v>49</v>
      </c>
      <c r="BC65" s="643">
        <v>4</v>
      </c>
      <c r="BD65" s="643">
        <v>6</v>
      </c>
      <c r="BE65" s="643">
        <f>BC65+BD65</f>
        <v>10</v>
      </c>
      <c r="BF65" s="650">
        <f>BB65*BE65</f>
        <v>490</v>
      </c>
      <c r="BH65" s="800"/>
      <c r="BI65" s="547" t="s">
        <v>335</v>
      </c>
      <c r="BJ65" s="548"/>
      <c r="BK65" s="549"/>
      <c r="BL65" s="641">
        <v>39</v>
      </c>
      <c r="BM65" s="643">
        <f>BC48-BC65</f>
        <v>1</v>
      </c>
      <c r="BN65" s="643">
        <f>BD48-BD65</f>
        <v>1</v>
      </c>
      <c r="BO65" s="643">
        <f>BM65+BN65</f>
        <v>2</v>
      </c>
      <c r="BP65" s="650">
        <f>BL65*BO65</f>
        <v>78</v>
      </c>
      <c r="BR65" s="539" t="s">
        <v>37</v>
      </c>
      <c r="BS65" s="540"/>
      <c r="BT65" s="540"/>
      <c r="BU65" s="541"/>
      <c r="BV65" s="466">
        <v>0</v>
      </c>
      <c r="BW65" s="480">
        <v>0</v>
      </c>
      <c r="BX65" s="466">
        <v>1</v>
      </c>
      <c r="BY65" s="478">
        <v>0</v>
      </c>
      <c r="BZ65" s="480">
        <v>0</v>
      </c>
      <c r="CA65" s="480">
        <v>0</v>
      </c>
      <c r="CB65" s="466">
        <v>0</v>
      </c>
      <c r="CC65" s="478">
        <v>0</v>
      </c>
      <c r="CD65" s="795">
        <f>SUM(BV65:CC66)</f>
        <v>1</v>
      </c>
      <c r="CE65" s="797">
        <f>BV65*39+BW65*39+BX65*27+BY65*27+BZ65*23+CA65*23+CB65*23+CC65*23</f>
        <v>27</v>
      </c>
      <c r="CF65" s="468" t="s">
        <v>369</v>
      </c>
      <c r="CG65" s="469"/>
      <c r="CH65" s="470"/>
      <c r="CI65" s="474"/>
      <c r="CJ65" s="474">
        <v>25</v>
      </c>
      <c r="CK65" s="468" t="s">
        <v>286</v>
      </c>
      <c r="CL65" s="470"/>
      <c r="CM65" s="476">
        <v>44677</v>
      </c>
    </row>
    <row r="66" spans="3:106" ht="15.95" customHeight="1" thickBot="1">
      <c r="C66" s="808"/>
      <c r="D66" s="550"/>
      <c r="E66" s="551"/>
      <c r="F66" s="552"/>
      <c r="G66" s="570"/>
      <c r="H66" s="572"/>
      <c r="I66" s="558"/>
      <c r="J66" s="558"/>
      <c r="K66" s="558"/>
      <c r="L66" s="558"/>
      <c r="M66" s="520"/>
      <c r="N66" s="808"/>
      <c r="O66" s="550"/>
      <c r="P66" s="551"/>
      <c r="Q66" s="552"/>
      <c r="R66" s="570"/>
      <c r="S66" s="572"/>
      <c r="T66" s="558"/>
      <c r="U66" s="558"/>
      <c r="V66" s="558"/>
      <c r="W66" s="558"/>
      <c r="X66" s="520"/>
      <c r="Y66" s="808"/>
      <c r="Z66" s="550"/>
      <c r="AA66" s="551"/>
      <c r="AB66" s="552"/>
      <c r="AC66" s="570"/>
      <c r="AD66" s="572"/>
      <c r="AE66" s="558"/>
      <c r="AF66" s="558"/>
      <c r="AG66" s="558"/>
      <c r="AH66" s="558"/>
      <c r="AI66" s="520"/>
      <c r="AX66" s="793"/>
      <c r="AY66" s="550"/>
      <c r="AZ66" s="551"/>
      <c r="BA66" s="552"/>
      <c r="BB66" s="754"/>
      <c r="BC66" s="644"/>
      <c r="BD66" s="644"/>
      <c r="BE66" s="644"/>
      <c r="BF66" s="651"/>
      <c r="BH66" s="793"/>
      <c r="BI66" s="550"/>
      <c r="BJ66" s="551"/>
      <c r="BK66" s="552"/>
      <c r="BL66" s="754"/>
      <c r="BM66" s="644"/>
      <c r="BN66" s="644"/>
      <c r="BO66" s="644"/>
      <c r="BP66" s="651"/>
      <c r="BR66" s="542"/>
      <c r="BS66" s="543"/>
      <c r="BT66" s="543"/>
      <c r="BU66" s="544"/>
      <c r="BV66" s="467"/>
      <c r="BW66" s="481"/>
      <c r="BX66" s="467"/>
      <c r="BY66" s="479"/>
      <c r="BZ66" s="481"/>
      <c r="CA66" s="481"/>
      <c r="CB66" s="467"/>
      <c r="CC66" s="479"/>
      <c r="CD66" s="796"/>
      <c r="CE66" s="798"/>
      <c r="CF66" s="471"/>
      <c r="CG66" s="472"/>
      <c r="CH66" s="473"/>
      <c r="CI66" s="475"/>
      <c r="CJ66" s="475"/>
      <c r="CK66" s="471"/>
      <c r="CL66" s="473"/>
      <c r="CM66" s="477"/>
      <c r="CP66" s="87"/>
      <c r="CQ66" s="87"/>
      <c r="CR66" s="108"/>
      <c r="CS66" s="108"/>
      <c r="CT66" s="108"/>
      <c r="CU66" s="108"/>
      <c r="CV66" s="108"/>
      <c r="CW66" s="108"/>
      <c r="CX66" s="108"/>
      <c r="CY66" s="108"/>
    </row>
    <row r="67" spans="3:106" ht="15.95" customHeight="1">
      <c r="C67" s="810"/>
      <c r="D67" s="547" t="s">
        <v>310</v>
      </c>
      <c r="E67" s="548"/>
      <c r="F67" s="549"/>
      <c r="G67" s="569"/>
      <c r="H67" s="571"/>
      <c r="I67" s="557"/>
      <c r="J67" s="557"/>
      <c r="K67" s="557">
        <f>I67+J67</f>
        <v>0</v>
      </c>
      <c r="L67" s="593">
        <f>G67*K67</f>
        <v>0</v>
      </c>
      <c r="M67" s="519">
        <f>H67*K67</f>
        <v>0</v>
      </c>
      <c r="N67" s="810"/>
      <c r="O67" s="547" t="s">
        <v>310</v>
      </c>
      <c r="P67" s="548"/>
      <c r="Q67" s="549"/>
      <c r="R67" s="569"/>
      <c r="S67" s="571"/>
      <c r="T67" s="557"/>
      <c r="U67" s="557"/>
      <c r="V67" s="557">
        <f>T67+U67</f>
        <v>0</v>
      </c>
      <c r="W67" s="593">
        <f>R67*V67</f>
        <v>0</v>
      </c>
      <c r="X67" s="519">
        <f>S67*V67</f>
        <v>0</v>
      </c>
      <c r="Y67" s="810"/>
      <c r="Z67" s="547" t="s">
        <v>310</v>
      </c>
      <c r="AA67" s="548"/>
      <c r="AB67" s="549"/>
      <c r="AC67" s="569"/>
      <c r="AD67" s="571"/>
      <c r="AE67" s="557"/>
      <c r="AF67" s="557"/>
      <c r="AG67" s="557">
        <f>AE67+AF67</f>
        <v>0</v>
      </c>
      <c r="AH67" s="593">
        <f>AC67*AG67</f>
        <v>0</v>
      </c>
      <c r="AI67" s="519">
        <f>AD67*AG67</f>
        <v>0</v>
      </c>
      <c r="AX67" s="793"/>
      <c r="AY67" s="547" t="s">
        <v>261</v>
      </c>
      <c r="AZ67" s="548"/>
      <c r="BA67" s="549"/>
      <c r="BB67" s="641">
        <f>BB50</f>
        <v>34</v>
      </c>
      <c r="BC67" s="643">
        <v>2</v>
      </c>
      <c r="BD67" s="643">
        <v>4</v>
      </c>
      <c r="BE67" s="643">
        <f>BC67+BD67</f>
        <v>6</v>
      </c>
      <c r="BF67" s="650">
        <f>BB67*BE67</f>
        <v>204</v>
      </c>
      <c r="BH67" s="793"/>
      <c r="BI67" s="547" t="s">
        <v>261</v>
      </c>
      <c r="BJ67" s="548"/>
      <c r="BK67" s="549"/>
      <c r="BL67" s="641">
        <v>27</v>
      </c>
      <c r="BM67" s="643">
        <f>BC50-BC67</f>
        <v>5</v>
      </c>
      <c r="BN67" s="643">
        <f>BD50-BD67</f>
        <v>3</v>
      </c>
      <c r="BO67" s="643">
        <f>BM67+BN67</f>
        <v>8</v>
      </c>
      <c r="BP67" s="650">
        <f>BL67*BO67</f>
        <v>216</v>
      </c>
      <c r="BR67" s="539" t="s">
        <v>50</v>
      </c>
      <c r="BS67" s="540"/>
      <c r="BT67" s="540"/>
      <c r="BU67" s="541"/>
      <c r="BV67" s="466">
        <v>0</v>
      </c>
      <c r="BW67" s="480">
        <v>0</v>
      </c>
      <c r="BX67" s="466">
        <v>0</v>
      </c>
      <c r="BY67" s="478">
        <v>1</v>
      </c>
      <c r="BZ67" s="480">
        <v>0</v>
      </c>
      <c r="CA67" s="480">
        <v>0</v>
      </c>
      <c r="CB67" s="466">
        <v>0</v>
      </c>
      <c r="CC67" s="478">
        <v>0</v>
      </c>
      <c r="CD67" s="795">
        <f>SUM(BV67:CC68)</f>
        <v>1</v>
      </c>
      <c r="CE67" s="797">
        <f>BV67*39+BW67*39+BX67*27+BY67*27+BZ67*23+CA67*23+CB67*23+CC67*23</f>
        <v>27</v>
      </c>
      <c r="CF67" s="468" t="s">
        <v>369</v>
      </c>
      <c r="CG67" s="469"/>
      <c r="CH67" s="470"/>
      <c r="CI67" s="474"/>
      <c r="CJ67" s="474">
        <v>25</v>
      </c>
      <c r="CK67" s="468" t="s">
        <v>286</v>
      </c>
      <c r="CL67" s="470"/>
      <c r="CM67" s="476">
        <v>44722</v>
      </c>
      <c r="CQ67" s="175"/>
      <c r="CR67" s="41"/>
      <c r="CS67" s="41"/>
      <c r="CT67" s="41"/>
      <c r="CU67" s="41"/>
      <c r="CV67" s="22"/>
      <c r="CW67" s="22"/>
      <c r="CX67" s="41"/>
      <c r="CY67" s="41"/>
      <c r="DA67" s="22"/>
      <c r="DB67" s="22"/>
    </row>
    <row r="68" spans="3:106" ht="15.95" customHeight="1" thickBot="1">
      <c r="C68" s="810"/>
      <c r="D68" s="550"/>
      <c r="E68" s="551"/>
      <c r="F68" s="552"/>
      <c r="G68" s="570"/>
      <c r="H68" s="572"/>
      <c r="I68" s="558"/>
      <c r="J68" s="558"/>
      <c r="K68" s="558"/>
      <c r="L68" s="558"/>
      <c r="M68" s="520"/>
      <c r="N68" s="810"/>
      <c r="O68" s="550"/>
      <c r="P68" s="551"/>
      <c r="Q68" s="552"/>
      <c r="R68" s="570"/>
      <c r="S68" s="572"/>
      <c r="T68" s="558"/>
      <c r="U68" s="558"/>
      <c r="V68" s="558"/>
      <c r="W68" s="558"/>
      <c r="X68" s="520"/>
      <c r="Y68" s="810"/>
      <c r="Z68" s="550"/>
      <c r="AA68" s="551"/>
      <c r="AB68" s="552"/>
      <c r="AC68" s="570"/>
      <c r="AD68" s="572"/>
      <c r="AE68" s="558"/>
      <c r="AF68" s="558"/>
      <c r="AG68" s="558"/>
      <c r="AH68" s="558"/>
      <c r="AI68" s="520"/>
      <c r="AX68" s="793"/>
      <c r="AY68" s="550"/>
      <c r="AZ68" s="551"/>
      <c r="BA68" s="552"/>
      <c r="BB68" s="754"/>
      <c r="BC68" s="644"/>
      <c r="BD68" s="644"/>
      <c r="BE68" s="644"/>
      <c r="BF68" s="651"/>
      <c r="BH68" s="793"/>
      <c r="BI68" s="550"/>
      <c r="BJ68" s="551"/>
      <c r="BK68" s="552"/>
      <c r="BL68" s="754"/>
      <c r="BM68" s="644"/>
      <c r="BN68" s="644"/>
      <c r="BO68" s="644"/>
      <c r="BP68" s="651"/>
      <c r="BR68" s="542"/>
      <c r="BS68" s="543"/>
      <c r="BT68" s="543"/>
      <c r="BU68" s="544"/>
      <c r="BV68" s="467"/>
      <c r="BW68" s="481"/>
      <c r="BX68" s="467"/>
      <c r="BY68" s="479"/>
      <c r="BZ68" s="481"/>
      <c r="CA68" s="481"/>
      <c r="CB68" s="467"/>
      <c r="CC68" s="479"/>
      <c r="CD68" s="796"/>
      <c r="CE68" s="798"/>
      <c r="CF68" s="471"/>
      <c r="CG68" s="472"/>
      <c r="CH68" s="473"/>
      <c r="CI68" s="475"/>
      <c r="CJ68" s="475"/>
      <c r="CK68" s="471"/>
      <c r="CL68" s="473"/>
      <c r="CM68" s="477"/>
      <c r="CR68" s="41"/>
      <c r="CS68" s="41"/>
      <c r="CT68" s="41"/>
      <c r="CU68" s="41"/>
      <c r="CV68" s="41"/>
      <c r="CW68" s="41"/>
      <c r="CX68" s="22"/>
      <c r="CY68" s="22"/>
      <c r="DA68" s="22"/>
      <c r="DB68" s="22"/>
    </row>
    <row r="69" spans="3:106" ht="15.95" customHeight="1">
      <c r="C69" s="809"/>
      <c r="D69" s="547" t="s">
        <v>315</v>
      </c>
      <c r="E69" s="548"/>
      <c r="F69" s="549"/>
      <c r="G69" s="569"/>
      <c r="H69" s="571"/>
      <c r="I69" s="557"/>
      <c r="J69" s="557"/>
      <c r="K69" s="557">
        <f>I69+J69</f>
        <v>0</v>
      </c>
      <c r="L69" s="593">
        <f>G69*K69</f>
        <v>0</v>
      </c>
      <c r="M69" s="519">
        <f>H69*K69</f>
        <v>0</v>
      </c>
      <c r="N69" s="809"/>
      <c r="O69" s="547" t="s">
        <v>315</v>
      </c>
      <c r="P69" s="548"/>
      <c r="Q69" s="549"/>
      <c r="R69" s="569"/>
      <c r="S69" s="571"/>
      <c r="T69" s="557"/>
      <c r="U69" s="557"/>
      <c r="V69" s="557">
        <f>T69+U69</f>
        <v>0</v>
      </c>
      <c r="W69" s="593">
        <f>R69*V69</f>
        <v>0</v>
      </c>
      <c r="X69" s="519">
        <f>S69*V69</f>
        <v>0</v>
      </c>
      <c r="Y69" s="809"/>
      <c r="Z69" s="547" t="s">
        <v>315</v>
      </c>
      <c r="AA69" s="548"/>
      <c r="AB69" s="549"/>
      <c r="AC69" s="569"/>
      <c r="AD69" s="571"/>
      <c r="AE69" s="557"/>
      <c r="AF69" s="557"/>
      <c r="AG69" s="557">
        <f>AE69+AF69</f>
        <v>0</v>
      </c>
      <c r="AH69" s="593">
        <f>AC69*AG69</f>
        <v>0</v>
      </c>
      <c r="AI69" s="519">
        <f>AD69*AG69</f>
        <v>0</v>
      </c>
      <c r="AX69" s="802"/>
      <c r="AY69" s="547" t="s">
        <v>336</v>
      </c>
      <c r="AZ69" s="548"/>
      <c r="BA69" s="549"/>
      <c r="BB69" s="641">
        <f>BB52</f>
        <v>29</v>
      </c>
      <c r="BC69" s="643">
        <v>2</v>
      </c>
      <c r="BD69" s="643">
        <v>3</v>
      </c>
      <c r="BE69" s="643">
        <f>BC69+BD69</f>
        <v>5</v>
      </c>
      <c r="BF69" s="650">
        <f>BB69*BE69</f>
        <v>145</v>
      </c>
      <c r="BH69" s="802"/>
      <c r="BI69" s="547" t="s">
        <v>336</v>
      </c>
      <c r="BJ69" s="548"/>
      <c r="BK69" s="549"/>
      <c r="BL69" s="641">
        <v>23</v>
      </c>
      <c r="BM69" s="643">
        <f>BC52-BC69</f>
        <v>2</v>
      </c>
      <c r="BN69" s="643">
        <f>BD52-BD69</f>
        <v>1</v>
      </c>
      <c r="BO69" s="643">
        <f>BM69+BN69</f>
        <v>3</v>
      </c>
      <c r="BP69" s="650">
        <f>BL69*BO69</f>
        <v>69</v>
      </c>
      <c r="BR69" s="539" t="s">
        <v>36</v>
      </c>
      <c r="BS69" s="540"/>
      <c r="BT69" s="540"/>
      <c r="BU69" s="541"/>
      <c r="BV69" s="466">
        <v>0</v>
      </c>
      <c r="BW69" s="480">
        <v>0</v>
      </c>
      <c r="BX69" s="466">
        <v>1</v>
      </c>
      <c r="BY69" s="478">
        <v>0</v>
      </c>
      <c r="BZ69" s="480">
        <v>0</v>
      </c>
      <c r="CA69" s="480">
        <v>0</v>
      </c>
      <c r="CB69" s="466">
        <v>0</v>
      </c>
      <c r="CC69" s="478">
        <v>0</v>
      </c>
      <c r="CD69" s="795">
        <f>SUM(BV69:CC70)</f>
        <v>1</v>
      </c>
      <c r="CE69" s="797">
        <f>BV69*39+BW69*39+BX69*27+BY69*27+BZ69*23+CA69*23+CB69*23+CC69*23</f>
        <v>27</v>
      </c>
      <c r="CF69" s="468" t="s">
        <v>369</v>
      </c>
      <c r="CG69" s="469"/>
      <c r="CH69" s="470"/>
      <c r="CI69" s="474"/>
      <c r="CJ69" s="474">
        <v>25</v>
      </c>
      <c r="CK69" s="468" t="s">
        <v>286</v>
      </c>
      <c r="CL69" s="470"/>
      <c r="CM69" s="476">
        <v>44716</v>
      </c>
    </row>
    <row r="70" spans="3:106" ht="15.95" customHeight="1" thickBot="1">
      <c r="C70" s="809"/>
      <c r="D70" s="550"/>
      <c r="E70" s="551"/>
      <c r="F70" s="552"/>
      <c r="G70" s="570"/>
      <c r="H70" s="572"/>
      <c r="I70" s="558"/>
      <c r="J70" s="558"/>
      <c r="K70" s="558"/>
      <c r="L70" s="558"/>
      <c r="M70" s="520"/>
      <c r="N70" s="809"/>
      <c r="O70" s="550"/>
      <c r="P70" s="551"/>
      <c r="Q70" s="552"/>
      <c r="R70" s="570"/>
      <c r="S70" s="572"/>
      <c r="T70" s="558"/>
      <c r="U70" s="558"/>
      <c r="V70" s="558"/>
      <c r="W70" s="558"/>
      <c r="X70" s="520"/>
      <c r="Y70" s="809"/>
      <c r="Z70" s="550"/>
      <c r="AA70" s="551"/>
      <c r="AB70" s="552"/>
      <c r="AC70" s="570"/>
      <c r="AD70" s="572"/>
      <c r="AE70" s="558"/>
      <c r="AF70" s="558"/>
      <c r="AG70" s="558"/>
      <c r="AH70" s="558"/>
      <c r="AI70" s="520"/>
      <c r="AX70" s="802"/>
      <c r="AY70" s="550"/>
      <c r="AZ70" s="551"/>
      <c r="BA70" s="552"/>
      <c r="BB70" s="754"/>
      <c r="BC70" s="644"/>
      <c r="BD70" s="644"/>
      <c r="BE70" s="644"/>
      <c r="BF70" s="651"/>
      <c r="BH70" s="802"/>
      <c r="BI70" s="550"/>
      <c r="BJ70" s="551"/>
      <c r="BK70" s="552"/>
      <c r="BL70" s="754"/>
      <c r="BM70" s="644"/>
      <c r="BN70" s="644"/>
      <c r="BO70" s="644"/>
      <c r="BP70" s="651"/>
      <c r="BR70" s="831"/>
      <c r="BS70" s="832"/>
      <c r="BT70" s="832"/>
      <c r="BU70" s="833"/>
      <c r="BV70" s="467"/>
      <c r="BW70" s="481"/>
      <c r="BX70" s="467"/>
      <c r="BY70" s="479"/>
      <c r="BZ70" s="481"/>
      <c r="CA70" s="481"/>
      <c r="CB70" s="467"/>
      <c r="CC70" s="479"/>
      <c r="CD70" s="796"/>
      <c r="CE70" s="798"/>
      <c r="CF70" s="471"/>
      <c r="CG70" s="472"/>
      <c r="CH70" s="473"/>
      <c r="CI70" s="475"/>
      <c r="CJ70" s="475"/>
      <c r="CK70" s="471"/>
      <c r="CL70" s="473"/>
      <c r="CM70" s="477"/>
      <c r="CP70" s="87"/>
      <c r="CQ70" s="87"/>
      <c r="CR70" s="108"/>
      <c r="CS70" s="108"/>
      <c r="CT70" s="108"/>
      <c r="CU70" s="108"/>
      <c r="CV70" s="108"/>
      <c r="CW70" s="108"/>
      <c r="CX70" s="108"/>
      <c r="CY70" s="108"/>
    </row>
    <row r="71" spans="3:106" ht="15.95" customHeight="1" thickBot="1">
      <c r="C71" s="818"/>
      <c r="D71" s="547" t="s">
        <v>317</v>
      </c>
      <c r="E71" s="548"/>
      <c r="F71" s="549"/>
      <c r="G71" s="569"/>
      <c r="H71" s="571"/>
      <c r="I71" s="557"/>
      <c r="J71" s="557"/>
      <c r="K71" s="557">
        <f>I71+J71</f>
        <v>0</v>
      </c>
      <c r="L71" s="593">
        <f>G71*K71</f>
        <v>0</v>
      </c>
      <c r="M71" s="519">
        <f>H71*K71</f>
        <v>0</v>
      </c>
      <c r="N71" s="818"/>
      <c r="O71" s="547" t="s">
        <v>317</v>
      </c>
      <c r="P71" s="548"/>
      <c r="Q71" s="549"/>
      <c r="R71" s="569"/>
      <c r="S71" s="571"/>
      <c r="T71" s="557"/>
      <c r="U71" s="557"/>
      <c r="V71" s="557">
        <f>T71+U71</f>
        <v>0</v>
      </c>
      <c r="W71" s="593">
        <f>R71*V71</f>
        <v>0</v>
      </c>
      <c r="X71" s="519">
        <f>S71*V71</f>
        <v>0</v>
      </c>
      <c r="Y71" s="818"/>
      <c r="Z71" s="547" t="s">
        <v>317</v>
      </c>
      <c r="AA71" s="548"/>
      <c r="AB71" s="549"/>
      <c r="AC71" s="569"/>
      <c r="AD71" s="571"/>
      <c r="AE71" s="557"/>
      <c r="AF71" s="557"/>
      <c r="AG71" s="557">
        <f>AE71+AF71</f>
        <v>0</v>
      </c>
      <c r="AH71" s="593">
        <f>AC71*AG71</f>
        <v>0</v>
      </c>
      <c r="AI71" s="519">
        <f>AD71*AG71</f>
        <v>0</v>
      </c>
      <c r="AX71" s="801"/>
      <c r="AY71" s="547" t="s">
        <v>337</v>
      </c>
      <c r="AZ71" s="548"/>
      <c r="BA71" s="549"/>
      <c r="BB71" s="641">
        <f>BB54</f>
        <v>29</v>
      </c>
      <c r="BC71" s="643">
        <v>2</v>
      </c>
      <c r="BD71" s="643">
        <v>2</v>
      </c>
      <c r="BE71" s="643">
        <f>BC71+BD71</f>
        <v>4</v>
      </c>
      <c r="BF71" s="650">
        <f>BB71*BE71</f>
        <v>116</v>
      </c>
      <c r="BH71" s="801"/>
      <c r="BI71" s="547" t="s">
        <v>337</v>
      </c>
      <c r="BJ71" s="548"/>
      <c r="BK71" s="549"/>
      <c r="BL71" s="641">
        <v>23</v>
      </c>
      <c r="BM71" s="643">
        <f>BC54-BC71</f>
        <v>0</v>
      </c>
      <c r="BN71" s="643">
        <f>BD54-BD71</f>
        <v>0</v>
      </c>
      <c r="BO71" s="643">
        <f>BM71+BN71</f>
        <v>0</v>
      </c>
      <c r="BP71" s="650">
        <f>BL71*BO71</f>
        <v>0</v>
      </c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Q71" s="175"/>
      <c r="CR71" s="41"/>
      <c r="CS71" s="41"/>
      <c r="CT71" s="41"/>
      <c r="CU71" s="41"/>
      <c r="CV71" s="22"/>
      <c r="CW71" s="22"/>
      <c r="CX71" s="41"/>
      <c r="CY71" s="41"/>
      <c r="DA71" s="22"/>
      <c r="DB71" s="22"/>
    </row>
    <row r="72" spans="3:106" ht="15.95" customHeight="1" thickBot="1">
      <c r="C72" s="818"/>
      <c r="D72" s="550"/>
      <c r="E72" s="551"/>
      <c r="F72" s="552"/>
      <c r="G72" s="570"/>
      <c r="H72" s="572"/>
      <c r="I72" s="558"/>
      <c r="J72" s="558"/>
      <c r="K72" s="558"/>
      <c r="L72" s="558"/>
      <c r="M72" s="520"/>
      <c r="N72" s="818"/>
      <c r="O72" s="550"/>
      <c r="P72" s="551"/>
      <c r="Q72" s="552"/>
      <c r="R72" s="570"/>
      <c r="S72" s="572"/>
      <c r="T72" s="558"/>
      <c r="U72" s="558"/>
      <c r="V72" s="558"/>
      <c r="W72" s="558"/>
      <c r="X72" s="520"/>
      <c r="Y72" s="818"/>
      <c r="Z72" s="550"/>
      <c r="AA72" s="551"/>
      <c r="AB72" s="552"/>
      <c r="AC72" s="570"/>
      <c r="AD72" s="572"/>
      <c r="AE72" s="558"/>
      <c r="AF72" s="558"/>
      <c r="AG72" s="558"/>
      <c r="AH72" s="558"/>
      <c r="AI72" s="520"/>
      <c r="AX72" s="805"/>
      <c r="AY72" s="550"/>
      <c r="AZ72" s="551"/>
      <c r="BA72" s="552"/>
      <c r="BB72" s="759"/>
      <c r="BC72" s="664"/>
      <c r="BD72" s="664"/>
      <c r="BE72" s="644"/>
      <c r="BF72" s="651"/>
      <c r="BH72" s="805"/>
      <c r="BI72" s="550"/>
      <c r="BJ72" s="551"/>
      <c r="BK72" s="552"/>
      <c r="BL72" s="759"/>
      <c r="BM72" s="664"/>
      <c r="BN72" s="664"/>
      <c r="BO72" s="644"/>
      <c r="BP72" s="651"/>
      <c r="BT72" s="523" t="s">
        <v>136</v>
      </c>
      <c r="BU72" s="525"/>
      <c r="BV72" s="834">
        <f>SUM(BV9:BV70)</f>
        <v>5</v>
      </c>
      <c r="BW72" s="834">
        <f t="shared" ref="BW72:CC72" si="0">SUM(BW9:BW70)</f>
        <v>7</v>
      </c>
      <c r="BX72" s="834">
        <f t="shared" si="0"/>
        <v>7</v>
      </c>
      <c r="BY72" s="834">
        <f t="shared" si="0"/>
        <v>7</v>
      </c>
      <c r="BZ72" s="834">
        <f t="shared" si="0"/>
        <v>4</v>
      </c>
      <c r="CA72" s="834">
        <f t="shared" si="0"/>
        <v>4</v>
      </c>
      <c r="CB72" s="834">
        <f t="shared" si="0"/>
        <v>2</v>
      </c>
      <c r="CC72" s="834">
        <f t="shared" si="0"/>
        <v>2</v>
      </c>
      <c r="CD72" s="760">
        <f>SUM(CD9:CD70)</f>
        <v>38</v>
      </c>
      <c r="CE72" s="762">
        <f>SUM(CE9:CE70)</f>
        <v>1318</v>
      </c>
      <c r="CF72" s="72"/>
      <c r="CG72" s="72"/>
      <c r="CH72" s="72"/>
      <c r="CI72" s="762">
        <f>SUM(CI9:CI70)</f>
        <v>234</v>
      </c>
      <c r="CJ72" s="762">
        <f>SUM(CJ9:CJ70)</f>
        <v>1070</v>
      </c>
      <c r="CK72" s="762">
        <f>SUM(CK9:CL70)</f>
        <v>0</v>
      </c>
      <c r="CL72" s="72"/>
      <c r="CM72" s="72"/>
      <c r="CR72" s="41"/>
      <c r="CS72" s="41"/>
      <c r="CT72" s="41"/>
      <c r="CU72" s="41"/>
      <c r="CV72" s="41"/>
      <c r="CW72" s="41"/>
      <c r="CX72" s="22"/>
      <c r="CY72" s="22"/>
      <c r="DA72" s="22"/>
      <c r="DB72" s="22"/>
    </row>
    <row r="73" spans="3:106" ht="15.95" customHeight="1" thickBot="1">
      <c r="C73" s="815"/>
      <c r="D73" s="547" t="s">
        <v>318</v>
      </c>
      <c r="E73" s="548"/>
      <c r="F73" s="549"/>
      <c r="G73" s="569"/>
      <c r="H73" s="571"/>
      <c r="I73" s="557"/>
      <c r="J73" s="557"/>
      <c r="K73" s="649">
        <f>I73+J73</f>
        <v>0</v>
      </c>
      <c r="L73" s="693">
        <f>G73*K73</f>
        <v>0</v>
      </c>
      <c r="M73" s="519">
        <f>H73*K73</f>
        <v>0</v>
      </c>
      <c r="N73" s="815"/>
      <c r="O73" s="547" t="s">
        <v>318</v>
      </c>
      <c r="P73" s="548"/>
      <c r="Q73" s="549"/>
      <c r="R73" s="569"/>
      <c r="S73" s="571"/>
      <c r="T73" s="557"/>
      <c r="U73" s="557"/>
      <c r="V73" s="649">
        <f>T73+U73</f>
        <v>0</v>
      </c>
      <c r="W73" s="693">
        <f>R73*V73</f>
        <v>0</v>
      </c>
      <c r="X73" s="519">
        <f>S73*V73</f>
        <v>0</v>
      </c>
      <c r="Y73" s="815"/>
      <c r="Z73" s="547" t="s">
        <v>318</v>
      </c>
      <c r="AA73" s="548"/>
      <c r="AB73" s="549"/>
      <c r="AC73" s="569"/>
      <c r="AD73" s="571"/>
      <c r="AE73" s="557"/>
      <c r="AF73" s="557"/>
      <c r="AG73" s="649">
        <f>AE73+AF73</f>
        <v>0</v>
      </c>
      <c r="AH73" s="693">
        <f>AC73*AG73</f>
        <v>0</v>
      </c>
      <c r="AI73" s="519">
        <f>AD73*AG73</f>
        <v>0</v>
      </c>
      <c r="BB73" s="72"/>
      <c r="BC73" s="72"/>
      <c r="BD73" s="72"/>
      <c r="BE73" s="643">
        <f>SUM(BE65:BE72)</f>
        <v>25</v>
      </c>
      <c r="BF73" s="650">
        <f>SUM(BF65:BF72)</f>
        <v>955</v>
      </c>
      <c r="BL73" s="72"/>
      <c r="BM73" s="72"/>
      <c r="BN73" s="72"/>
      <c r="BO73" s="643">
        <f>SUM(BO65:BO72)</f>
        <v>13</v>
      </c>
      <c r="BP73" s="650">
        <f>SUM(BP65:BP72)</f>
        <v>363</v>
      </c>
      <c r="BT73" s="526"/>
      <c r="BU73" s="528"/>
      <c r="BV73" s="657"/>
      <c r="BW73" s="657"/>
      <c r="BX73" s="657"/>
      <c r="BY73" s="657"/>
      <c r="BZ73" s="657"/>
      <c r="CA73" s="657"/>
      <c r="CB73" s="657"/>
      <c r="CC73" s="657"/>
      <c r="CD73" s="761"/>
      <c r="CE73" s="761"/>
      <c r="CF73" s="72"/>
      <c r="CG73" s="72"/>
      <c r="CH73" s="72"/>
      <c r="CI73" s="761"/>
      <c r="CJ73" s="761"/>
      <c r="CK73" s="761"/>
      <c r="CL73" s="72"/>
      <c r="CM73" s="72"/>
    </row>
    <row r="74" spans="3:106" ht="15.95" customHeight="1" thickBot="1">
      <c r="C74" s="816"/>
      <c r="D74" s="550"/>
      <c r="E74" s="551"/>
      <c r="F74" s="552"/>
      <c r="G74" s="698"/>
      <c r="H74" s="699"/>
      <c r="I74" s="668"/>
      <c r="J74" s="668"/>
      <c r="K74" s="657"/>
      <c r="L74" s="657"/>
      <c r="M74" s="657"/>
      <c r="N74" s="816"/>
      <c r="O74" s="550"/>
      <c r="P74" s="551"/>
      <c r="Q74" s="552"/>
      <c r="R74" s="698"/>
      <c r="S74" s="699"/>
      <c r="T74" s="668"/>
      <c r="U74" s="668"/>
      <c r="V74" s="657"/>
      <c r="W74" s="657"/>
      <c r="X74" s="657"/>
      <c r="Y74" s="816"/>
      <c r="Z74" s="550"/>
      <c r="AA74" s="551"/>
      <c r="AB74" s="552"/>
      <c r="AC74" s="698"/>
      <c r="AD74" s="699"/>
      <c r="AE74" s="668"/>
      <c r="AF74" s="668"/>
      <c r="AG74" s="657"/>
      <c r="AH74" s="657"/>
      <c r="AI74" s="657"/>
      <c r="BB74" s="72"/>
      <c r="BC74" s="72"/>
      <c r="BD74" s="72"/>
      <c r="BE74" s="664"/>
      <c r="BF74" s="665"/>
      <c r="BL74" s="72"/>
      <c r="BM74" s="72"/>
      <c r="BN74" s="72"/>
      <c r="BO74" s="664"/>
      <c r="BP74" s="665"/>
      <c r="BT74" s="523" t="s">
        <v>137</v>
      </c>
      <c r="BU74" s="525"/>
      <c r="BV74" s="649">
        <f t="shared" ref="BV74:CD74" si="1">BV5-BV72</f>
        <v>0</v>
      </c>
      <c r="BW74" s="649">
        <f t="shared" si="1"/>
        <v>0</v>
      </c>
      <c r="BX74" s="649">
        <f t="shared" si="1"/>
        <v>0</v>
      </c>
      <c r="BY74" s="649">
        <f t="shared" si="1"/>
        <v>0</v>
      </c>
      <c r="BZ74" s="649">
        <f t="shared" si="1"/>
        <v>0</v>
      </c>
      <c r="CA74" s="649">
        <f t="shared" si="1"/>
        <v>0</v>
      </c>
      <c r="CB74" s="649">
        <f t="shared" si="1"/>
        <v>0</v>
      </c>
      <c r="CC74" s="649">
        <f t="shared" si="1"/>
        <v>0</v>
      </c>
      <c r="CD74" s="763">
        <f t="shared" si="1"/>
        <v>0</v>
      </c>
      <c r="CE74" s="72"/>
      <c r="CF74" s="72"/>
      <c r="CG74" s="72"/>
      <c r="CH74" s="72"/>
      <c r="CI74" s="72"/>
      <c r="CJ74" s="474">
        <f>CI72+CJ72+CK72</f>
        <v>1304</v>
      </c>
      <c r="CK74" s="72"/>
      <c r="CL74" s="72"/>
      <c r="CM74" s="72"/>
      <c r="CP74" s="87"/>
      <c r="CQ74" s="87"/>
      <c r="CR74" s="108"/>
      <c r="CS74" s="108"/>
      <c r="CT74" s="108"/>
      <c r="CU74" s="108"/>
      <c r="CV74" s="108"/>
      <c r="CW74" s="108"/>
      <c r="CX74" s="108"/>
      <c r="CY74" s="108"/>
    </row>
    <row r="75" spans="3:106" ht="15.95" customHeight="1" thickBot="1">
      <c r="G75" s="72"/>
      <c r="H75" s="72"/>
      <c r="I75" s="660">
        <f>SUM(I45:I74)</f>
        <v>0</v>
      </c>
      <c r="J75" s="660">
        <f>SUM(J45:J74)</f>
        <v>0</v>
      </c>
      <c r="K75" s="660">
        <f>SUM(K45:K74)</f>
        <v>0</v>
      </c>
      <c r="L75" s="696">
        <f>SUM(L45:L74)</f>
        <v>0</v>
      </c>
      <c r="M75" s="662">
        <f>SUM(M45:M74)</f>
        <v>0</v>
      </c>
      <c r="R75" s="72"/>
      <c r="S75" s="72"/>
      <c r="T75" s="660">
        <f>SUM(T45:T74)</f>
        <v>0</v>
      </c>
      <c r="U75" s="660">
        <f>SUM(U45:U74)</f>
        <v>0</v>
      </c>
      <c r="V75" s="660">
        <f>SUM(V45:V74)</f>
        <v>0</v>
      </c>
      <c r="W75" s="696">
        <f>SUM(W45:W74)</f>
        <v>0</v>
      </c>
      <c r="X75" s="662">
        <f>SUM(X45:X74)</f>
        <v>0</v>
      </c>
      <c r="AC75" s="72"/>
      <c r="AD75" s="72"/>
      <c r="AE75" s="660">
        <f>SUM(AE45:AE74)</f>
        <v>0</v>
      </c>
      <c r="AF75" s="660">
        <f>SUM(AF45:AF74)</f>
        <v>0</v>
      </c>
      <c r="AG75" s="660">
        <f>SUM(AG45:AG74)</f>
        <v>0</v>
      </c>
      <c r="AH75" s="696">
        <f>SUM(AH45:AH74)</f>
        <v>0</v>
      </c>
      <c r="AI75" s="662">
        <f>SUM(AI45:AI74)</f>
        <v>0</v>
      </c>
      <c r="BT75" s="526"/>
      <c r="BU75" s="528"/>
      <c r="BV75" s="657"/>
      <c r="BW75" s="657"/>
      <c r="BX75" s="657"/>
      <c r="BY75" s="657"/>
      <c r="BZ75" s="657"/>
      <c r="CA75" s="657"/>
      <c r="CB75" s="657"/>
      <c r="CC75" s="657"/>
      <c r="CD75" s="761"/>
      <c r="CE75" s="72"/>
      <c r="CF75" s="72"/>
      <c r="CG75" s="72"/>
      <c r="CH75" s="72"/>
      <c r="CI75" s="72"/>
      <c r="CJ75" s="764"/>
      <c r="CK75" s="72"/>
      <c r="CL75" s="72"/>
      <c r="CM75" s="72"/>
      <c r="CQ75" s="175"/>
      <c r="CR75" s="41"/>
      <c r="CS75" s="41"/>
      <c r="CT75" s="41"/>
      <c r="CU75" s="41"/>
      <c r="CV75" s="22"/>
      <c r="CW75" s="22"/>
      <c r="CX75" s="41"/>
      <c r="CY75" s="41"/>
      <c r="DA75" s="22"/>
      <c r="DB75" s="22"/>
    </row>
    <row r="76" spans="3:106" ht="15.95" customHeight="1" thickBot="1">
      <c r="G76" s="72"/>
      <c r="H76" s="72"/>
      <c r="I76" s="661"/>
      <c r="J76" s="661"/>
      <c r="K76" s="661"/>
      <c r="L76" s="661"/>
      <c r="M76" s="697"/>
      <c r="R76" s="72"/>
      <c r="S76" s="72"/>
      <c r="T76" s="661"/>
      <c r="U76" s="661"/>
      <c r="V76" s="661"/>
      <c r="W76" s="661"/>
      <c r="X76" s="697"/>
      <c r="AC76" s="72"/>
      <c r="AD76" s="72"/>
      <c r="AE76" s="661"/>
      <c r="AF76" s="661"/>
      <c r="AG76" s="661"/>
      <c r="AH76" s="661"/>
      <c r="AI76" s="697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R76" s="41"/>
      <c r="CS76" s="41"/>
      <c r="CT76" s="41"/>
      <c r="CU76" s="41"/>
      <c r="CV76" s="41"/>
      <c r="CW76" s="41"/>
      <c r="CX76" s="22"/>
      <c r="CY76" s="22"/>
      <c r="DA76" s="22"/>
      <c r="DB76" s="22"/>
    </row>
    <row r="77" spans="3:106" ht="15.95" customHeight="1" thickBot="1"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533" t="s">
        <v>98</v>
      </c>
      <c r="CH77" s="534"/>
      <c r="CI77" s="534"/>
      <c r="CJ77" s="534"/>
      <c r="CK77" s="535"/>
      <c r="CL77" s="488">
        <f>CJ74</f>
        <v>1304</v>
      </c>
      <c r="CM77" s="489"/>
    </row>
    <row r="78" spans="3:106" ht="15.95" customHeight="1" thickBot="1">
      <c r="BH78" s="533" t="s">
        <v>98</v>
      </c>
      <c r="BI78" s="534"/>
      <c r="BJ78" s="534"/>
      <c r="BK78" s="534"/>
      <c r="BL78" s="535"/>
      <c r="BM78" s="488">
        <f>BF73+BP73</f>
        <v>1318</v>
      </c>
      <c r="BN78" s="489"/>
      <c r="BT78" s="523" t="s">
        <v>136</v>
      </c>
      <c r="BU78" s="525"/>
      <c r="BV78" s="763">
        <f>CD72</f>
        <v>38</v>
      </c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536"/>
      <c r="CH78" s="537"/>
      <c r="CI78" s="537"/>
      <c r="CJ78" s="537"/>
      <c r="CK78" s="538"/>
      <c r="CL78" s="490"/>
      <c r="CM78" s="491"/>
      <c r="CP78" s="87"/>
      <c r="CQ78" s="87"/>
      <c r="CR78" s="108"/>
      <c r="CS78" s="108"/>
      <c r="CT78" s="108"/>
      <c r="CU78" s="108"/>
      <c r="CV78" s="108"/>
      <c r="CW78" s="108"/>
      <c r="CX78" s="108"/>
      <c r="CY78" s="108"/>
    </row>
    <row r="79" spans="3:106" ht="15.95" customHeight="1" thickBot="1">
      <c r="BH79" s="536"/>
      <c r="BI79" s="537"/>
      <c r="BJ79" s="537"/>
      <c r="BK79" s="537"/>
      <c r="BL79" s="538"/>
      <c r="BM79" s="490"/>
      <c r="BN79" s="491"/>
      <c r="BT79" s="526"/>
      <c r="BU79" s="528"/>
      <c r="BV79" s="761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L79" s="70"/>
      <c r="CM79" s="70"/>
      <c r="CQ79" s="175"/>
      <c r="CR79" s="41"/>
      <c r="CS79" s="41"/>
      <c r="CT79" s="41"/>
      <c r="CU79" s="41"/>
      <c r="CV79" s="22"/>
      <c r="CW79" s="22"/>
      <c r="CX79" s="41"/>
      <c r="CY79" s="41"/>
      <c r="DA79" s="22"/>
      <c r="DB79" s="22"/>
    </row>
    <row r="80" spans="3:106" ht="15.95" customHeight="1" thickBot="1">
      <c r="BM80" s="70"/>
      <c r="BN80" s="70"/>
      <c r="CG80" s="583" t="s">
        <v>278</v>
      </c>
      <c r="CH80" s="594"/>
      <c r="CI80" s="594"/>
      <c r="CJ80" s="594"/>
      <c r="CK80" s="584"/>
      <c r="CL80" s="427">
        <f>BM81</f>
        <v>887.43</v>
      </c>
      <c r="CM80" s="428"/>
      <c r="CR80" s="41"/>
      <c r="CS80" s="41"/>
      <c r="CT80" s="41"/>
      <c r="CU80" s="41"/>
      <c r="CV80" s="41"/>
      <c r="CW80" s="41"/>
      <c r="CX80" s="22"/>
      <c r="CY80" s="22"/>
      <c r="DA80" s="22"/>
      <c r="DB80" s="22"/>
    </row>
    <row r="81" spans="60:106" ht="15.95" customHeight="1">
      <c r="BH81" s="583" t="s">
        <v>278</v>
      </c>
      <c r="BI81" s="594"/>
      <c r="BJ81" s="594"/>
      <c r="BK81" s="594"/>
      <c r="BL81" s="584"/>
      <c r="BM81" s="427">
        <f>BN6</f>
        <v>887.43</v>
      </c>
      <c r="BN81" s="428"/>
      <c r="CG81" s="529"/>
      <c r="CH81" s="530"/>
      <c r="CI81" s="530"/>
      <c r="CJ81" s="530"/>
      <c r="CK81" s="531"/>
      <c r="CL81" s="429"/>
      <c r="CM81" s="430"/>
    </row>
    <row r="82" spans="60:106" ht="15.95" customHeight="1">
      <c r="BH82" s="529"/>
      <c r="BI82" s="530"/>
      <c r="BJ82" s="530"/>
      <c r="BK82" s="530"/>
      <c r="BL82" s="531"/>
      <c r="BM82" s="429"/>
      <c r="BN82" s="430"/>
      <c r="CG82" s="529" t="s">
        <v>141</v>
      </c>
      <c r="CH82" s="530"/>
      <c r="CI82" s="530"/>
      <c r="CJ82" s="530"/>
      <c r="CK82" s="531"/>
      <c r="CL82" s="532">
        <f>BM83</f>
        <v>246.23500000000001</v>
      </c>
      <c r="CM82" s="430"/>
      <c r="CP82" s="87"/>
      <c r="CQ82" s="87"/>
      <c r="CR82" s="108"/>
      <c r="CS82" s="108"/>
      <c r="CT82" s="108"/>
      <c r="CU82" s="108"/>
      <c r="CV82" s="108"/>
      <c r="CW82" s="108"/>
      <c r="CX82" s="108"/>
      <c r="CY82" s="108"/>
    </row>
    <row r="83" spans="60:106" ht="15.95" customHeight="1">
      <c r="BH83" s="529" t="s">
        <v>141</v>
      </c>
      <c r="BI83" s="530"/>
      <c r="BJ83" s="530"/>
      <c r="BK83" s="530"/>
      <c r="BL83" s="531"/>
      <c r="BM83" s="532">
        <f>BN8</f>
        <v>246.23500000000001</v>
      </c>
      <c r="BN83" s="430"/>
      <c r="CG83" s="529"/>
      <c r="CH83" s="530"/>
      <c r="CI83" s="530"/>
      <c r="CJ83" s="530"/>
      <c r="CK83" s="531"/>
      <c r="CL83" s="429"/>
      <c r="CM83" s="430"/>
      <c r="CQ83" s="175"/>
      <c r="CR83" s="41"/>
      <c r="CS83" s="41"/>
      <c r="CT83" s="41"/>
      <c r="CU83" s="41"/>
      <c r="CV83" s="22"/>
      <c r="CW83" s="22"/>
      <c r="CX83" s="41"/>
      <c r="CY83" s="41"/>
      <c r="DA83" s="22"/>
      <c r="DB83" s="22"/>
    </row>
    <row r="84" spans="60:106" ht="15.95" customHeight="1">
      <c r="BH84" s="529"/>
      <c r="BI84" s="530"/>
      <c r="BJ84" s="530"/>
      <c r="BK84" s="530"/>
      <c r="BL84" s="531"/>
      <c r="BM84" s="429"/>
      <c r="BN84" s="430"/>
      <c r="CG84" s="529" t="s">
        <v>287</v>
      </c>
      <c r="CH84" s="530"/>
      <c r="CI84" s="530"/>
      <c r="CJ84" s="530"/>
      <c r="CK84" s="531"/>
      <c r="CL84" s="532">
        <v>49.01</v>
      </c>
      <c r="CM84" s="430"/>
      <c r="CR84" s="41"/>
      <c r="CS84" s="41"/>
      <c r="CT84" s="41"/>
      <c r="CU84" s="41"/>
      <c r="CV84" s="41"/>
      <c r="CW84" s="41"/>
      <c r="CX84" s="22"/>
      <c r="CY84" s="22"/>
      <c r="DA84" s="22"/>
      <c r="DB84" s="22"/>
    </row>
    <row r="85" spans="60:106" ht="15.95" customHeight="1">
      <c r="BH85" s="529" t="s">
        <v>287</v>
      </c>
      <c r="BI85" s="530"/>
      <c r="BJ85" s="530"/>
      <c r="BK85" s="530"/>
      <c r="BL85" s="531"/>
      <c r="BM85" s="532">
        <v>49.01</v>
      </c>
      <c r="BN85" s="430"/>
      <c r="CG85" s="529"/>
      <c r="CH85" s="530"/>
      <c r="CI85" s="530"/>
      <c r="CJ85" s="530"/>
      <c r="CK85" s="531"/>
      <c r="CL85" s="429"/>
      <c r="CM85" s="430"/>
    </row>
    <row r="86" spans="60:106" ht="15.95" customHeight="1">
      <c r="BH86" s="529"/>
      <c r="BI86" s="530"/>
      <c r="BJ86" s="530"/>
      <c r="BK86" s="530"/>
      <c r="BL86" s="531"/>
      <c r="BM86" s="429"/>
      <c r="BN86" s="430"/>
      <c r="CG86" s="529" t="s">
        <v>341</v>
      </c>
      <c r="CH86" s="530"/>
      <c r="CI86" s="530"/>
      <c r="CJ86" s="530"/>
      <c r="CK86" s="531"/>
      <c r="CL86" s="532">
        <v>12.69</v>
      </c>
      <c r="CM86" s="430"/>
      <c r="CP86" s="87"/>
      <c r="CQ86" s="87"/>
      <c r="CR86" s="108"/>
      <c r="CS86" s="108"/>
      <c r="CT86" s="108"/>
      <c r="CU86" s="108"/>
      <c r="CV86" s="108"/>
      <c r="CW86" s="108"/>
      <c r="CX86" s="108"/>
      <c r="CY86" s="108"/>
    </row>
    <row r="87" spans="60:106" ht="15.95" customHeight="1">
      <c r="BH87" s="529" t="s">
        <v>341</v>
      </c>
      <c r="BI87" s="530"/>
      <c r="BJ87" s="530"/>
      <c r="BK87" s="530"/>
      <c r="BL87" s="531"/>
      <c r="BM87" s="532">
        <v>12.69</v>
      </c>
      <c r="BN87" s="430"/>
      <c r="CG87" s="529"/>
      <c r="CH87" s="530"/>
      <c r="CI87" s="530"/>
      <c r="CJ87" s="530"/>
      <c r="CK87" s="531"/>
      <c r="CL87" s="429"/>
      <c r="CM87" s="430"/>
      <c r="CQ87" s="175"/>
      <c r="CR87" s="41"/>
      <c r="CS87" s="41"/>
      <c r="CT87" s="41"/>
      <c r="CU87" s="41"/>
      <c r="CV87" s="22"/>
      <c r="CW87" s="22"/>
      <c r="CX87" s="41"/>
      <c r="CY87" s="41"/>
      <c r="DA87" s="22"/>
      <c r="DB87" s="22"/>
    </row>
    <row r="88" spans="60:106" ht="15.95" customHeight="1">
      <c r="BH88" s="529"/>
      <c r="BI88" s="530"/>
      <c r="BJ88" s="530"/>
      <c r="BK88" s="530"/>
      <c r="BL88" s="531"/>
      <c r="BM88" s="429"/>
      <c r="BN88" s="430"/>
      <c r="CG88" s="529" t="s">
        <v>343</v>
      </c>
      <c r="CH88" s="530"/>
      <c r="CI88" s="530"/>
      <c r="CJ88" s="530"/>
      <c r="CK88" s="531"/>
      <c r="CL88" s="532">
        <v>26.33</v>
      </c>
      <c r="CM88" s="430"/>
      <c r="CR88" s="178"/>
      <c r="CS88" s="178"/>
      <c r="CT88" s="178"/>
      <c r="CU88" s="178"/>
      <c r="CV88" s="41"/>
      <c r="CW88" s="41"/>
      <c r="CX88" s="22"/>
      <c r="CY88" s="22"/>
      <c r="DA88" s="22"/>
      <c r="DB88" s="22"/>
    </row>
    <row r="89" spans="60:106" ht="15.95" customHeight="1">
      <c r="BH89" s="529" t="s">
        <v>343</v>
      </c>
      <c r="BI89" s="530"/>
      <c r="BJ89" s="530"/>
      <c r="BK89" s="530"/>
      <c r="BL89" s="531"/>
      <c r="BM89" s="532">
        <v>26.33</v>
      </c>
      <c r="BN89" s="430"/>
      <c r="CG89" s="529"/>
      <c r="CH89" s="530"/>
      <c r="CI89" s="530"/>
      <c r="CJ89" s="530"/>
      <c r="CK89" s="531"/>
      <c r="CL89" s="429"/>
      <c r="CM89" s="430"/>
    </row>
    <row r="90" spans="60:106" ht="15.95" customHeight="1">
      <c r="BH90" s="529"/>
      <c r="BI90" s="530"/>
      <c r="BJ90" s="530"/>
      <c r="BK90" s="530"/>
      <c r="BL90" s="531"/>
      <c r="BM90" s="429"/>
      <c r="BN90" s="430"/>
      <c r="CG90" s="529" t="s">
        <v>345</v>
      </c>
      <c r="CH90" s="530"/>
      <c r="CI90" s="530"/>
      <c r="CJ90" s="530"/>
      <c r="CK90" s="531"/>
      <c r="CL90" s="532">
        <v>40</v>
      </c>
      <c r="CM90" s="600"/>
      <c r="CP90" s="87"/>
      <c r="CQ90" s="87"/>
      <c r="CR90" s="108"/>
      <c r="CS90" s="108"/>
      <c r="CT90" s="108"/>
      <c r="CU90" s="108"/>
      <c r="CV90" s="108"/>
      <c r="CW90" s="108"/>
      <c r="CX90" s="108"/>
      <c r="CY90" s="108"/>
    </row>
    <row r="91" spans="60:106" ht="15.95" customHeight="1" thickBot="1">
      <c r="BH91" s="529" t="s">
        <v>345</v>
      </c>
      <c r="BI91" s="530"/>
      <c r="BJ91" s="530"/>
      <c r="BK91" s="530"/>
      <c r="BL91" s="531"/>
      <c r="BM91" s="532">
        <v>40</v>
      </c>
      <c r="BN91" s="600"/>
      <c r="CG91" s="585"/>
      <c r="CH91" s="595"/>
      <c r="CI91" s="595"/>
      <c r="CJ91" s="595"/>
      <c r="CK91" s="586"/>
      <c r="CL91" s="601"/>
      <c r="CM91" s="602"/>
      <c r="CQ91" s="175"/>
      <c r="CR91" s="41"/>
      <c r="CS91" s="41"/>
      <c r="CT91" s="41"/>
      <c r="CU91" s="41"/>
      <c r="CV91" s="22"/>
      <c r="CW91" s="22"/>
      <c r="CX91" s="41"/>
      <c r="CY91" s="41"/>
      <c r="DA91" s="22"/>
      <c r="DB91" s="22"/>
    </row>
    <row r="92" spans="60:106" ht="15.95" customHeight="1" thickBot="1">
      <c r="BH92" s="585"/>
      <c r="BI92" s="595"/>
      <c r="BJ92" s="595"/>
      <c r="BK92" s="595"/>
      <c r="BL92" s="586"/>
      <c r="BM92" s="601"/>
      <c r="BN92" s="602"/>
      <c r="CG92" s="617" t="s">
        <v>145</v>
      </c>
      <c r="CH92" s="618"/>
      <c r="CI92" s="618"/>
      <c r="CJ92" s="618"/>
      <c r="CK92" s="619"/>
      <c r="CL92" s="623">
        <f>SUM(CL80:CM91)</f>
        <v>1261.6949999999999</v>
      </c>
      <c r="CM92" s="624"/>
      <c r="CR92" s="41"/>
      <c r="CS92" s="41"/>
      <c r="CT92" s="41"/>
      <c r="CU92" s="41"/>
      <c r="CV92" s="41"/>
      <c r="CW92" s="41"/>
      <c r="CX92" s="22"/>
      <c r="CY92" s="22"/>
      <c r="DA92" s="22"/>
      <c r="DB92" s="22"/>
    </row>
    <row r="93" spans="60:106" ht="15.95" customHeight="1" thickBot="1">
      <c r="BH93" s="617" t="s">
        <v>145</v>
      </c>
      <c r="BI93" s="618"/>
      <c r="BJ93" s="618"/>
      <c r="BK93" s="618"/>
      <c r="BL93" s="619"/>
      <c r="BM93" s="623">
        <f>SUM(BM81:BN92)</f>
        <v>1261.6949999999999</v>
      </c>
      <c r="BN93" s="624"/>
      <c r="CG93" s="620"/>
      <c r="CH93" s="621"/>
      <c r="CI93" s="621"/>
      <c r="CJ93" s="621"/>
      <c r="CK93" s="622"/>
      <c r="CL93" s="625"/>
      <c r="CM93" s="626"/>
    </row>
    <row r="94" spans="60:106" ht="15.95" customHeight="1" thickBot="1">
      <c r="BH94" s="620"/>
      <c r="BI94" s="621"/>
      <c r="BJ94" s="621"/>
      <c r="BK94" s="621"/>
      <c r="BL94" s="622"/>
      <c r="BM94" s="625"/>
      <c r="BN94" s="626"/>
      <c r="CL94" s="70"/>
      <c r="CM94" s="70"/>
      <c r="CP94" s="87"/>
      <c r="CQ94" s="87"/>
      <c r="CR94" s="108"/>
      <c r="CS94" s="108"/>
      <c r="CT94" s="108"/>
      <c r="CU94" s="108"/>
      <c r="CV94" s="108"/>
      <c r="CW94" s="108"/>
      <c r="CX94" s="108"/>
      <c r="CY94" s="108"/>
    </row>
    <row r="95" spans="60:106" ht="15.95" customHeight="1" thickBot="1">
      <c r="BM95" s="70"/>
      <c r="BN95" s="70"/>
      <c r="CG95" s="628" t="s">
        <v>295</v>
      </c>
      <c r="CH95" s="629"/>
      <c r="CI95" s="629"/>
      <c r="CJ95" s="629"/>
      <c r="CK95" s="630"/>
      <c r="CL95" s="634">
        <f>CL77-CL92</f>
        <v>42.305000000000064</v>
      </c>
      <c r="CM95" s="635"/>
      <c r="CQ95" s="175"/>
      <c r="CR95" s="41"/>
      <c r="CS95" s="41"/>
      <c r="CT95" s="41"/>
      <c r="CU95" s="41"/>
      <c r="CV95" s="22"/>
      <c r="CW95" s="22"/>
      <c r="CX95" s="41"/>
      <c r="CY95" s="41"/>
      <c r="DA95" s="22"/>
      <c r="DB95" s="22"/>
    </row>
    <row r="96" spans="60:106" ht="15.95" customHeight="1" thickBot="1">
      <c r="BH96" s="628" t="s">
        <v>295</v>
      </c>
      <c r="BI96" s="629"/>
      <c r="BJ96" s="629"/>
      <c r="BK96" s="629"/>
      <c r="BL96" s="630"/>
      <c r="BM96" s="634">
        <f>BM78-BM93</f>
        <v>56.305000000000064</v>
      </c>
      <c r="BN96" s="635"/>
      <c r="CG96" s="631"/>
      <c r="CH96" s="632"/>
      <c r="CI96" s="632"/>
      <c r="CJ96" s="632"/>
      <c r="CK96" s="633"/>
      <c r="CL96" s="636"/>
      <c r="CM96" s="637"/>
      <c r="CR96" s="41"/>
      <c r="CS96" s="41"/>
      <c r="CT96" s="41"/>
      <c r="CU96" s="41"/>
      <c r="CV96" s="41"/>
      <c r="CW96" s="41"/>
      <c r="CX96" s="22"/>
      <c r="CY96" s="22"/>
      <c r="DA96" s="22"/>
      <c r="DB96" s="22"/>
    </row>
    <row r="97" spans="60:108" ht="15.95" customHeight="1" thickBot="1">
      <c r="BH97" s="631"/>
      <c r="BI97" s="632"/>
      <c r="BJ97" s="632"/>
      <c r="BK97" s="632"/>
      <c r="BL97" s="633"/>
      <c r="BM97" s="636"/>
      <c r="BN97" s="637"/>
    </row>
    <row r="98" spans="60:108" ht="15.95" customHeight="1">
      <c r="CP98" s="87"/>
      <c r="CQ98" s="87"/>
      <c r="CR98" s="108"/>
      <c r="CS98" s="108"/>
      <c r="CT98" s="108"/>
      <c r="CU98" s="108"/>
      <c r="CV98" s="108"/>
      <c r="CW98" s="108"/>
      <c r="CX98" s="108"/>
      <c r="CY98" s="108"/>
    </row>
    <row r="99" spans="60:108" ht="15.95" customHeight="1">
      <c r="CQ99" s="175"/>
      <c r="CR99" s="41"/>
      <c r="CS99" s="41"/>
      <c r="CT99" s="41"/>
      <c r="CU99" s="41"/>
      <c r="CV99" s="22"/>
      <c r="CW99" s="22"/>
      <c r="CX99" s="41"/>
      <c r="CY99" s="41"/>
      <c r="DA99" s="22"/>
      <c r="DB99" s="22"/>
    </row>
    <row r="100" spans="60:108" ht="15.95" customHeight="1">
      <c r="CG100" s="75"/>
      <c r="CH100" s="75"/>
      <c r="CI100" s="75"/>
      <c r="CJ100" s="75"/>
      <c r="CK100" s="75"/>
      <c r="CL100" s="76"/>
      <c r="CM100" s="70"/>
      <c r="CR100" s="41"/>
      <c r="CS100" s="41"/>
      <c r="CT100" s="41"/>
      <c r="CU100" s="41"/>
      <c r="CV100" s="41"/>
      <c r="CW100" s="41"/>
      <c r="CX100" s="22"/>
      <c r="CY100" s="22"/>
      <c r="DA100" s="22"/>
      <c r="DB100" s="22"/>
    </row>
    <row r="101" spans="60:108" ht="15.95" customHeight="1">
      <c r="CG101" s="75"/>
      <c r="CH101" s="75"/>
      <c r="CI101" s="75"/>
      <c r="CJ101" s="75"/>
      <c r="CK101" s="75"/>
      <c r="CL101" s="70"/>
      <c r="CM101" s="70"/>
    </row>
    <row r="102" spans="60:108" ht="15.95" customHeight="1">
      <c r="CL102" s="70"/>
      <c r="CM102" s="70"/>
      <c r="CP102" s="87"/>
      <c r="CQ102" s="87"/>
      <c r="CR102" s="108"/>
      <c r="CS102" s="108"/>
      <c r="CT102" s="108"/>
      <c r="CU102" s="108"/>
      <c r="CV102" s="108"/>
      <c r="CW102" s="108"/>
      <c r="CX102" s="108"/>
      <c r="CY102" s="108"/>
    </row>
    <row r="103" spans="60:108" ht="15.95" customHeight="1">
      <c r="CG103" s="75"/>
      <c r="CH103" s="75"/>
      <c r="CI103" s="75"/>
      <c r="CJ103" s="75"/>
      <c r="CK103" s="75"/>
      <c r="CL103" s="76"/>
      <c r="CM103" s="70"/>
      <c r="CQ103" s="175"/>
      <c r="CR103" s="41"/>
      <c r="CS103" s="41"/>
      <c r="CT103" s="41"/>
      <c r="CU103" s="41"/>
      <c r="CV103" s="22"/>
      <c r="CW103" s="22"/>
      <c r="CX103" s="41"/>
      <c r="CY103" s="41"/>
      <c r="DA103" s="22"/>
      <c r="DB103" s="22"/>
    </row>
    <row r="104" spans="60:108" ht="15.95" customHeight="1">
      <c r="CG104" s="75"/>
      <c r="CH104" s="75"/>
      <c r="CI104" s="75"/>
      <c r="CJ104" s="75"/>
      <c r="CK104" s="75"/>
      <c r="CL104" s="70"/>
      <c r="CM104" s="70"/>
      <c r="CR104" s="41"/>
      <c r="CS104" s="41"/>
      <c r="CT104" s="41"/>
      <c r="CU104" s="41"/>
      <c r="CV104" s="41"/>
      <c r="CW104" s="41"/>
      <c r="CX104" s="22"/>
      <c r="CY104" s="22"/>
      <c r="DA104" s="22"/>
      <c r="DB104" s="22"/>
    </row>
    <row r="106" spans="60:108" ht="15.95" customHeight="1">
      <c r="CP106" s="87"/>
      <c r="CQ106" s="87"/>
      <c r="CR106" s="108"/>
      <c r="CS106" s="108"/>
      <c r="CT106" s="108"/>
      <c r="CU106" s="108"/>
      <c r="CV106" s="108"/>
      <c r="CW106" s="108"/>
      <c r="CX106" s="108"/>
      <c r="CY106" s="108"/>
    </row>
    <row r="107" spans="60:108" ht="15.95" customHeight="1">
      <c r="CQ107" s="175"/>
      <c r="CR107" s="41"/>
      <c r="CS107" s="41"/>
      <c r="CT107" s="41"/>
      <c r="CU107" s="41"/>
      <c r="CV107" s="22"/>
      <c r="CW107" s="22"/>
      <c r="CX107" s="41"/>
      <c r="CY107" s="41"/>
      <c r="DA107" s="22"/>
      <c r="DB107" s="22"/>
      <c r="DD107" s="176"/>
    </row>
    <row r="108" spans="60:108" ht="15.95" customHeight="1">
      <c r="CR108" s="177"/>
      <c r="CS108" s="177"/>
      <c r="CT108" s="177"/>
      <c r="CU108" s="177"/>
      <c r="CV108" s="41"/>
      <c r="CW108" s="41"/>
      <c r="CX108" s="22"/>
      <c r="CY108" s="22"/>
      <c r="DA108" s="22"/>
      <c r="DB108" s="22"/>
    </row>
    <row r="110" spans="60:108" ht="15.95" customHeight="1">
      <c r="DA110" s="5"/>
      <c r="DB110" s="5"/>
    </row>
    <row r="111" spans="60:108" ht="15.95" customHeight="1">
      <c r="DA111" s="5"/>
      <c r="DB111" s="5"/>
    </row>
  </sheetData>
  <mergeCells count="1784">
    <mergeCell ref="BH96:BL97"/>
    <mergeCell ref="BM96:BN97"/>
    <mergeCell ref="BH93:BL94"/>
    <mergeCell ref="BM93:BN94"/>
    <mergeCell ref="CG95:CK96"/>
    <mergeCell ref="CL95:CM96"/>
    <mergeCell ref="CG92:CK93"/>
    <mergeCell ref="CL92:CM93"/>
    <mergeCell ref="BH91:BL92"/>
    <mergeCell ref="BM91:BN92"/>
    <mergeCell ref="BH89:BL90"/>
    <mergeCell ref="BM89:BN90"/>
    <mergeCell ref="CG90:CK91"/>
    <mergeCell ref="CL90:CM91"/>
    <mergeCell ref="CG88:CK89"/>
    <mergeCell ref="CL88:CM89"/>
    <mergeCell ref="BH87:BL88"/>
    <mergeCell ref="BM87:BN88"/>
    <mergeCell ref="BH85:BL86"/>
    <mergeCell ref="BM85:BN86"/>
    <mergeCell ref="CG86:CK87"/>
    <mergeCell ref="CL86:CM87"/>
    <mergeCell ref="CG84:CK85"/>
    <mergeCell ref="CL84:CM85"/>
    <mergeCell ref="BH83:BL84"/>
    <mergeCell ref="BM83:BN84"/>
    <mergeCell ref="BH81:BL82"/>
    <mergeCell ref="BM81:BN82"/>
    <mergeCell ref="CG82:CK83"/>
    <mergeCell ref="CL82:CM83"/>
    <mergeCell ref="CG80:CK81"/>
    <mergeCell ref="CL80:CM81"/>
    <mergeCell ref="CG77:CK78"/>
    <mergeCell ref="CL77:CM78"/>
    <mergeCell ref="BH78:BL79"/>
    <mergeCell ref="BM78:BN79"/>
    <mergeCell ref="BT78:BU79"/>
    <mergeCell ref="BV78:BV79"/>
    <mergeCell ref="V75:V76"/>
    <mergeCell ref="W75:W76"/>
    <mergeCell ref="X75:X76"/>
    <mergeCell ref="AE75:AE76"/>
    <mergeCell ref="AF75:AF76"/>
    <mergeCell ref="AG75:AG76"/>
    <mergeCell ref="I75:I76"/>
    <mergeCell ref="J75:J76"/>
    <mergeCell ref="K75:K76"/>
    <mergeCell ref="L75:L76"/>
    <mergeCell ref="M75:M76"/>
    <mergeCell ref="T75:T76"/>
    <mergeCell ref="U75:U76"/>
    <mergeCell ref="BZ74:BZ75"/>
    <mergeCell ref="CA74:CA75"/>
    <mergeCell ref="S73:S74"/>
    <mergeCell ref="T73:T74"/>
    <mergeCell ref="U73:U74"/>
    <mergeCell ref="V73:V74"/>
    <mergeCell ref="W73:W74"/>
    <mergeCell ref="X73:X74"/>
    <mergeCell ref="K73:K74"/>
    <mergeCell ref="L73:L74"/>
    <mergeCell ref="M73:M74"/>
    <mergeCell ref="N73:N74"/>
    <mergeCell ref="O73:Q74"/>
    <mergeCell ref="R73:R74"/>
    <mergeCell ref="CB74:CB75"/>
    <mergeCell ref="CC74:CC75"/>
    <mergeCell ref="CD74:CD75"/>
    <mergeCell ref="CJ74:CJ75"/>
    <mergeCell ref="BP73:BP74"/>
    <mergeCell ref="BT74:BU75"/>
    <mergeCell ref="BV74:BV75"/>
    <mergeCell ref="BW74:BW75"/>
    <mergeCell ref="BX74:BX75"/>
    <mergeCell ref="BY74:BY75"/>
    <mergeCell ref="AG73:AG74"/>
    <mergeCell ref="AH73:AH74"/>
    <mergeCell ref="AI73:AI74"/>
    <mergeCell ref="BE73:BE74"/>
    <mergeCell ref="BF73:BF74"/>
    <mergeCell ref="BO73:BO74"/>
    <mergeCell ref="Y73:Y74"/>
    <mergeCell ref="Z73:AB74"/>
    <mergeCell ref="AC73:AC74"/>
    <mergeCell ref="AD73:AD74"/>
    <mergeCell ref="AE73:AE74"/>
    <mergeCell ref="AF73:AF74"/>
    <mergeCell ref="AH75:AH76"/>
    <mergeCell ref="AI75:AI76"/>
    <mergeCell ref="C73:C74"/>
    <mergeCell ref="D73:F74"/>
    <mergeCell ref="G73:G74"/>
    <mergeCell ref="H73:H74"/>
    <mergeCell ref="I73:I74"/>
    <mergeCell ref="J73:J74"/>
    <mergeCell ref="CI72:CI73"/>
    <mergeCell ref="CJ72:CJ73"/>
    <mergeCell ref="CK72:CK73"/>
    <mergeCell ref="BT72:BU73"/>
    <mergeCell ref="BV72:BV73"/>
    <mergeCell ref="BW72:BW73"/>
    <mergeCell ref="BX72:BX73"/>
    <mergeCell ref="BY72:BY73"/>
    <mergeCell ref="BZ72:BZ73"/>
    <mergeCell ref="CA72:CA73"/>
    <mergeCell ref="BL71:BL72"/>
    <mergeCell ref="BM71:BM72"/>
    <mergeCell ref="BN71:BN72"/>
    <mergeCell ref="BO71:BO72"/>
    <mergeCell ref="BP71:BP72"/>
    <mergeCell ref="CB72:CB73"/>
    <mergeCell ref="CC72:CC73"/>
    <mergeCell ref="CD72:CD73"/>
    <mergeCell ref="CE72:CE73"/>
    <mergeCell ref="BC71:BC72"/>
    <mergeCell ref="BD71:BD72"/>
    <mergeCell ref="BE71:BE72"/>
    <mergeCell ref="BF71:BF72"/>
    <mergeCell ref="BH71:BH72"/>
    <mergeCell ref="BI71:BK72"/>
    <mergeCell ref="AG71:AG72"/>
    <mergeCell ref="AH71:AH72"/>
    <mergeCell ref="AI71:AI72"/>
    <mergeCell ref="AX71:AX72"/>
    <mergeCell ref="AY71:BA72"/>
    <mergeCell ref="BB71:BB72"/>
    <mergeCell ref="Y71:Y72"/>
    <mergeCell ref="Z71:AB72"/>
    <mergeCell ref="AC71:AC72"/>
    <mergeCell ref="AD71:AD72"/>
    <mergeCell ref="AE71:AE72"/>
    <mergeCell ref="AF71:AF72"/>
    <mergeCell ref="S71:S72"/>
    <mergeCell ref="T71:T72"/>
    <mergeCell ref="U71:U72"/>
    <mergeCell ref="V71:V72"/>
    <mergeCell ref="W71:W72"/>
    <mergeCell ref="X71:X72"/>
    <mergeCell ref="K71:K72"/>
    <mergeCell ref="L71:L72"/>
    <mergeCell ref="M71:M72"/>
    <mergeCell ref="N71:N72"/>
    <mergeCell ref="O71:Q72"/>
    <mergeCell ref="R71:R72"/>
    <mergeCell ref="C71:C72"/>
    <mergeCell ref="D71:F72"/>
    <mergeCell ref="G71:G72"/>
    <mergeCell ref="H71:H72"/>
    <mergeCell ref="I71:I72"/>
    <mergeCell ref="J71:J72"/>
    <mergeCell ref="CJ69:CJ70"/>
    <mergeCell ref="CK69:CL70"/>
    <mergeCell ref="CM69:CM70"/>
    <mergeCell ref="CB69:CB70"/>
    <mergeCell ref="CC69:CC70"/>
    <mergeCell ref="CD69:CD70"/>
    <mergeCell ref="CE69:CE70"/>
    <mergeCell ref="CF69:CH70"/>
    <mergeCell ref="CI69:CI70"/>
    <mergeCell ref="BV69:BV70"/>
    <mergeCell ref="BW69:BW70"/>
    <mergeCell ref="BX69:BX70"/>
    <mergeCell ref="BY69:BY70"/>
    <mergeCell ref="BZ69:BZ70"/>
    <mergeCell ref="CA69:CA70"/>
    <mergeCell ref="BL69:BL70"/>
    <mergeCell ref="BM69:BM70"/>
    <mergeCell ref="BN69:BN70"/>
    <mergeCell ref="BO69:BO70"/>
    <mergeCell ref="BP69:BP70"/>
    <mergeCell ref="BR69:BU70"/>
    <mergeCell ref="BC69:BC70"/>
    <mergeCell ref="BD69:BD70"/>
    <mergeCell ref="BE69:BE70"/>
    <mergeCell ref="BF69:BF70"/>
    <mergeCell ref="BH69:BH70"/>
    <mergeCell ref="BI69:BK70"/>
    <mergeCell ref="AG69:AG70"/>
    <mergeCell ref="AH69:AH70"/>
    <mergeCell ref="AI69:AI70"/>
    <mergeCell ref="AX69:AX70"/>
    <mergeCell ref="AY69:BA70"/>
    <mergeCell ref="BB69:BB70"/>
    <mergeCell ref="Y69:Y70"/>
    <mergeCell ref="Z69:AB70"/>
    <mergeCell ref="AC69:AC70"/>
    <mergeCell ref="AD69:AD70"/>
    <mergeCell ref="AE69:AE70"/>
    <mergeCell ref="AF69:AF70"/>
    <mergeCell ref="S69:S70"/>
    <mergeCell ref="T69:T70"/>
    <mergeCell ref="U69:U70"/>
    <mergeCell ref="V69:V70"/>
    <mergeCell ref="W69:W70"/>
    <mergeCell ref="X69:X70"/>
    <mergeCell ref="K69:K70"/>
    <mergeCell ref="L69:L70"/>
    <mergeCell ref="M69:M70"/>
    <mergeCell ref="N69:N70"/>
    <mergeCell ref="O69:Q70"/>
    <mergeCell ref="R69:R70"/>
    <mergeCell ref="C69:C70"/>
    <mergeCell ref="D69:F70"/>
    <mergeCell ref="G69:G70"/>
    <mergeCell ref="H69:H70"/>
    <mergeCell ref="I69:I70"/>
    <mergeCell ref="J69:J70"/>
    <mergeCell ref="CJ67:CJ68"/>
    <mergeCell ref="CK67:CL68"/>
    <mergeCell ref="CM67:CM68"/>
    <mergeCell ref="CB67:CB68"/>
    <mergeCell ref="CC67:CC68"/>
    <mergeCell ref="CD67:CD68"/>
    <mergeCell ref="CE67:CE68"/>
    <mergeCell ref="CF67:CH68"/>
    <mergeCell ref="CI67:CI68"/>
    <mergeCell ref="BV67:BV68"/>
    <mergeCell ref="BW67:BW68"/>
    <mergeCell ref="BX67:BX68"/>
    <mergeCell ref="BY67:BY68"/>
    <mergeCell ref="BZ67:BZ68"/>
    <mergeCell ref="CA67:CA68"/>
    <mergeCell ref="BL67:BL68"/>
    <mergeCell ref="BM67:BM68"/>
    <mergeCell ref="BN67:BN68"/>
    <mergeCell ref="BO67:BO68"/>
    <mergeCell ref="BP67:BP68"/>
    <mergeCell ref="BR67:BU68"/>
    <mergeCell ref="BC67:BC68"/>
    <mergeCell ref="BD67:BD68"/>
    <mergeCell ref="BE67:BE68"/>
    <mergeCell ref="BF67:BF68"/>
    <mergeCell ref="BH67:BH68"/>
    <mergeCell ref="BI67:BK68"/>
    <mergeCell ref="AG67:AG68"/>
    <mergeCell ref="AH67:AH68"/>
    <mergeCell ref="AI67:AI68"/>
    <mergeCell ref="AX67:AX68"/>
    <mergeCell ref="AY67:BA68"/>
    <mergeCell ref="BB67:BB68"/>
    <mergeCell ref="Y67:Y68"/>
    <mergeCell ref="Z67:AB68"/>
    <mergeCell ref="AC67:AC68"/>
    <mergeCell ref="AD67:AD68"/>
    <mergeCell ref="AE67:AE68"/>
    <mergeCell ref="AF67:AF68"/>
    <mergeCell ref="S67:S68"/>
    <mergeCell ref="T67:T68"/>
    <mergeCell ref="U67:U68"/>
    <mergeCell ref="V67:V68"/>
    <mergeCell ref="W67:W68"/>
    <mergeCell ref="X67:X68"/>
    <mergeCell ref="K67:K68"/>
    <mergeCell ref="L67:L68"/>
    <mergeCell ref="M67:M68"/>
    <mergeCell ref="N67:N68"/>
    <mergeCell ref="O67:Q68"/>
    <mergeCell ref="R67:R68"/>
    <mergeCell ref="C67:C68"/>
    <mergeCell ref="D67:F68"/>
    <mergeCell ref="G67:G68"/>
    <mergeCell ref="H67:H68"/>
    <mergeCell ref="I67:I68"/>
    <mergeCell ref="J67:J68"/>
    <mergeCell ref="BR65:BU66"/>
    <mergeCell ref="BC65:BC66"/>
    <mergeCell ref="BD65:BD66"/>
    <mergeCell ref="BE65:BE66"/>
    <mergeCell ref="BF65:BF66"/>
    <mergeCell ref="BH65:BH66"/>
    <mergeCell ref="BI65:BK66"/>
    <mergeCell ref="AG65:AG66"/>
    <mergeCell ref="AH65:AH66"/>
    <mergeCell ref="AI65:AI66"/>
    <mergeCell ref="AX65:AX66"/>
    <mergeCell ref="AY65:BA66"/>
    <mergeCell ref="BB65:BB66"/>
    <mergeCell ref="CJ65:CJ66"/>
    <mergeCell ref="CK65:CL66"/>
    <mergeCell ref="CM65:CM66"/>
    <mergeCell ref="CB65:CB66"/>
    <mergeCell ref="CC65:CC66"/>
    <mergeCell ref="CD65:CD66"/>
    <mergeCell ref="CE65:CE66"/>
    <mergeCell ref="CF65:CH66"/>
    <mergeCell ref="CI65:CI66"/>
    <mergeCell ref="BV65:BV66"/>
    <mergeCell ref="BW65:BW66"/>
    <mergeCell ref="BX65:BX66"/>
    <mergeCell ref="BY65:BY66"/>
    <mergeCell ref="BZ65:BZ66"/>
    <mergeCell ref="CA65:CA66"/>
    <mergeCell ref="Y65:Y66"/>
    <mergeCell ref="Z65:AB66"/>
    <mergeCell ref="AC65:AC66"/>
    <mergeCell ref="AD65:AD66"/>
    <mergeCell ref="AE65:AE66"/>
    <mergeCell ref="AF65:AF66"/>
    <mergeCell ref="S65:S66"/>
    <mergeCell ref="T65:T66"/>
    <mergeCell ref="U65:U66"/>
    <mergeCell ref="V65:V66"/>
    <mergeCell ref="W65:W66"/>
    <mergeCell ref="X65:X66"/>
    <mergeCell ref="BL65:BL66"/>
    <mergeCell ref="BM65:BM66"/>
    <mergeCell ref="BN65:BN66"/>
    <mergeCell ref="BO65:BO66"/>
    <mergeCell ref="BP65:BP66"/>
    <mergeCell ref="CJ63:CJ64"/>
    <mergeCell ref="CK63:CL64"/>
    <mergeCell ref="BX63:BX64"/>
    <mergeCell ref="BY63:BY64"/>
    <mergeCell ref="BZ63:BZ64"/>
    <mergeCell ref="CA63:CA64"/>
    <mergeCell ref="CB63:CB64"/>
    <mergeCell ref="CC63:CC64"/>
    <mergeCell ref="C65:C66"/>
    <mergeCell ref="D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Q66"/>
    <mergeCell ref="R65:R66"/>
    <mergeCell ref="K63:K64"/>
    <mergeCell ref="L63:L64"/>
    <mergeCell ref="M63:M64"/>
    <mergeCell ref="N63:N64"/>
    <mergeCell ref="O63:Q64"/>
    <mergeCell ref="R63:R64"/>
    <mergeCell ref="C63:C64"/>
    <mergeCell ref="D63:F64"/>
    <mergeCell ref="BN63:BN64"/>
    <mergeCell ref="BO63:BO64"/>
    <mergeCell ref="BP63:BP64"/>
    <mergeCell ref="BR63:BU64"/>
    <mergeCell ref="G63:G64"/>
    <mergeCell ref="H63:H64"/>
    <mergeCell ref="I63:I64"/>
    <mergeCell ref="J63:J64"/>
    <mergeCell ref="Y61:Y62"/>
    <mergeCell ref="Z61:AB62"/>
    <mergeCell ref="AC61:AC62"/>
    <mergeCell ref="AD61:AD62"/>
    <mergeCell ref="AE61:AE62"/>
    <mergeCell ref="AF61:AF62"/>
    <mergeCell ref="S61:S62"/>
    <mergeCell ref="T61:T62"/>
    <mergeCell ref="U61:U62"/>
    <mergeCell ref="V61:V62"/>
    <mergeCell ref="W61:W62"/>
    <mergeCell ref="X61:X62"/>
    <mergeCell ref="AF63:AF64"/>
    <mergeCell ref="S63:S64"/>
    <mergeCell ref="T63:T64"/>
    <mergeCell ref="U63:U64"/>
    <mergeCell ref="V63:V64"/>
    <mergeCell ref="W63:W64"/>
    <mergeCell ref="X63:X64"/>
    <mergeCell ref="R61:R62"/>
    <mergeCell ref="Y63:Y64"/>
    <mergeCell ref="Z63:AB64"/>
    <mergeCell ref="AC63:AC64"/>
    <mergeCell ref="AD63:AD64"/>
    <mergeCell ref="AE63:AE64"/>
    <mergeCell ref="CB61:CB62"/>
    <mergeCell ref="CC61:CC62"/>
    <mergeCell ref="CD61:CD62"/>
    <mergeCell ref="CE61:CE62"/>
    <mergeCell ref="CF61:CH62"/>
    <mergeCell ref="CI61:CI62"/>
    <mergeCell ref="BV61:BV62"/>
    <mergeCell ref="BW61:BW62"/>
    <mergeCell ref="BX61:BX62"/>
    <mergeCell ref="BY61:BY62"/>
    <mergeCell ref="BZ61:BZ62"/>
    <mergeCell ref="CA61:CA62"/>
    <mergeCell ref="AG61:AG62"/>
    <mergeCell ref="AH61:AH62"/>
    <mergeCell ref="AI61:AI62"/>
    <mergeCell ref="AX61:BA64"/>
    <mergeCell ref="BH61:BK64"/>
    <mergeCell ref="BR61:BU62"/>
    <mergeCell ref="AG63:AG64"/>
    <mergeCell ref="AH63:AH64"/>
    <mergeCell ref="CD63:CD64"/>
    <mergeCell ref="CE63:CE64"/>
    <mergeCell ref="CF63:CH64"/>
    <mergeCell ref="CI63:CI64"/>
    <mergeCell ref="BV63:BV64"/>
    <mergeCell ref="BW63:BW64"/>
    <mergeCell ref="CJ61:CJ62"/>
    <mergeCell ref="CK61:CL62"/>
    <mergeCell ref="CM61:CM62"/>
    <mergeCell ref="AI63:AI64"/>
    <mergeCell ref="BB63:BB64"/>
    <mergeCell ref="BC63:BC64"/>
    <mergeCell ref="BD63:BD64"/>
    <mergeCell ref="BE63:BE64"/>
    <mergeCell ref="BF63:BF64"/>
    <mergeCell ref="BL63:BL64"/>
    <mergeCell ref="BM63:BM64"/>
    <mergeCell ref="CM63:CM64"/>
    <mergeCell ref="C59:C60"/>
    <mergeCell ref="D59:F60"/>
    <mergeCell ref="G59:G60"/>
    <mergeCell ref="H59:H60"/>
    <mergeCell ref="I59:I60"/>
    <mergeCell ref="J59:J60"/>
    <mergeCell ref="K59:K60"/>
    <mergeCell ref="L59:L60"/>
    <mergeCell ref="C61:C62"/>
    <mergeCell ref="D61:F62"/>
    <mergeCell ref="G61:G62"/>
    <mergeCell ref="H61:H62"/>
    <mergeCell ref="I61:I62"/>
    <mergeCell ref="J61:J62"/>
    <mergeCell ref="AC59:AC60"/>
    <mergeCell ref="K61:K62"/>
    <mergeCell ref="L61:L62"/>
    <mergeCell ref="M61:M62"/>
    <mergeCell ref="N61:N62"/>
    <mergeCell ref="O61:Q62"/>
    <mergeCell ref="CI59:CI60"/>
    <mergeCell ref="CJ59:CJ60"/>
    <mergeCell ref="CK59:CL60"/>
    <mergeCell ref="CM59:CM60"/>
    <mergeCell ref="BZ59:BZ60"/>
    <mergeCell ref="CA59:CA60"/>
    <mergeCell ref="CB59:CB60"/>
    <mergeCell ref="CC59:CC60"/>
    <mergeCell ref="CD59:CD60"/>
    <mergeCell ref="CE59:CE60"/>
    <mergeCell ref="CK57:CL58"/>
    <mergeCell ref="CM57:CM58"/>
    <mergeCell ref="BZ57:BZ58"/>
    <mergeCell ref="CA57:CA58"/>
    <mergeCell ref="CB57:CB58"/>
    <mergeCell ref="CC57:CC58"/>
    <mergeCell ref="CD57:CD58"/>
    <mergeCell ref="CE57:CE58"/>
    <mergeCell ref="CI57:CI58"/>
    <mergeCell ref="CJ57:CJ58"/>
    <mergeCell ref="BW57:BW58"/>
    <mergeCell ref="BX57:BX58"/>
    <mergeCell ref="BY57:BY58"/>
    <mergeCell ref="AG59:AG60"/>
    <mergeCell ref="AH59:AH60"/>
    <mergeCell ref="AI59:AI60"/>
    <mergeCell ref="BR59:BU60"/>
    <mergeCell ref="BV59:BV60"/>
    <mergeCell ref="BW59:BW60"/>
    <mergeCell ref="BX59:BX60"/>
    <mergeCell ref="BY59:BY60"/>
    <mergeCell ref="O57:Q58"/>
    <mergeCell ref="R57:R58"/>
    <mergeCell ref="CF57:CH58"/>
    <mergeCell ref="U59:U60"/>
    <mergeCell ref="V59:V60"/>
    <mergeCell ref="W59:W60"/>
    <mergeCell ref="X59:X60"/>
    <mergeCell ref="Y59:Y60"/>
    <mergeCell ref="Z59:AB60"/>
    <mergeCell ref="CF59:CH60"/>
    <mergeCell ref="M59:M60"/>
    <mergeCell ref="N59:N60"/>
    <mergeCell ref="O59:Q60"/>
    <mergeCell ref="R59:R60"/>
    <mergeCell ref="S59:S60"/>
    <mergeCell ref="T59:T60"/>
    <mergeCell ref="AD59:AD60"/>
    <mergeCell ref="AE59:AE60"/>
    <mergeCell ref="AF59:AF60"/>
    <mergeCell ref="C57:C58"/>
    <mergeCell ref="D57:F58"/>
    <mergeCell ref="G57:G58"/>
    <mergeCell ref="H57:H58"/>
    <mergeCell ref="I57:I58"/>
    <mergeCell ref="J57:J58"/>
    <mergeCell ref="CC55:CC56"/>
    <mergeCell ref="CD55:CD56"/>
    <mergeCell ref="C55:C56"/>
    <mergeCell ref="D55:F56"/>
    <mergeCell ref="G55:G56"/>
    <mergeCell ref="H55:H56"/>
    <mergeCell ref="I55:I56"/>
    <mergeCell ref="V57:V58"/>
    <mergeCell ref="W57:W58"/>
    <mergeCell ref="X57:X58"/>
    <mergeCell ref="K57:K58"/>
    <mergeCell ref="L57:L58"/>
    <mergeCell ref="M57:M58"/>
    <mergeCell ref="N57:N58"/>
    <mergeCell ref="AI57:AI58"/>
    <mergeCell ref="BR57:BU58"/>
    <mergeCell ref="BV57:BV58"/>
    <mergeCell ref="CE55:CE56"/>
    <mergeCell ref="CF55:CH56"/>
    <mergeCell ref="CI55:CI56"/>
    <mergeCell ref="CJ55:CJ56"/>
    <mergeCell ref="BW55:BW56"/>
    <mergeCell ref="BX55:BX56"/>
    <mergeCell ref="BY55:BY56"/>
    <mergeCell ref="BZ55:BZ56"/>
    <mergeCell ref="CA55:CA56"/>
    <mergeCell ref="CB55:CB56"/>
    <mergeCell ref="AE57:AE58"/>
    <mergeCell ref="AF57:AF58"/>
    <mergeCell ref="X55:X56"/>
    <mergeCell ref="Y55:Y56"/>
    <mergeCell ref="Z55:AB56"/>
    <mergeCell ref="AC55:AC56"/>
    <mergeCell ref="AD55:AD56"/>
    <mergeCell ref="AE55:AE56"/>
    <mergeCell ref="AQ54:AQ55"/>
    <mergeCell ref="AR54:AR55"/>
    <mergeCell ref="AS54:AS55"/>
    <mergeCell ref="AX54:AX55"/>
    <mergeCell ref="CB53:CB54"/>
    <mergeCell ref="CC53:CC54"/>
    <mergeCell ref="CD53:CD54"/>
    <mergeCell ref="CE53:CE54"/>
    <mergeCell ref="CF53:CH54"/>
    <mergeCell ref="CI53:CI54"/>
    <mergeCell ref="AG53:AG54"/>
    <mergeCell ref="AH53:AH54"/>
    <mergeCell ref="AI53:AI54"/>
    <mergeCell ref="BR53:BU54"/>
    <mergeCell ref="CK55:CL56"/>
    <mergeCell ref="CM55:CM56"/>
    <mergeCell ref="J55:J56"/>
    <mergeCell ref="K55:K56"/>
    <mergeCell ref="L55:L56"/>
    <mergeCell ref="M55:M56"/>
    <mergeCell ref="N55:N56"/>
    <mergeCell ref="O55:Q56"/>
    <mergeCell ref="BE54:BE55"/>
    <mergeCell ref="BF54:BF55"/>
    <mergeCell ref="Z53:AB54"/>
    <mergeCell ref="AC53:AC54"/>
    <mergeCell ref="AD53:AD54"/>
    <mergeCell ref="AE53:AE54"/>
    <mergeCell ref="AF53:AF54"/>
    <mergeCell ref="S53:S54"/>
    <mergeCell ref="T53:T54"/>
    <mergeCell ref="U53:U54"/>
    <mergeCell ref="V53:V54"/>
    <mergeCell ref="W53:W54"/>
    <mergeCell ref="X53:X54"/>
    <mergeCell ref="AF55:AF56"/>
    <mergeCell ref="AG55:AG56"/>
    <mergeCell ref="AH55:AH56"/>
    <mergeCell ref="AI55:AI56"/>
    <mergeCell ref="BR55:BU56"/>
    <mergeCell ref="CJ53:CJ54"/>
    <mergeCell ref="CK53:CL54"/>
    <mergeCell ref="CM53:CM54"/>
    <mergeCell ref="AL54:AL55"/>
    <mergeCell ref="AM54:AO55"/>
    <mergeCell ref="AP54:AP55"/>
    <mergeCell ref="AY54:BA55"/>
    <mergeCell ref="BB54:BB55"/>
    <mergeCell ref="BC54:BC55"/>
    <mergeCell ref="BD54:BD55"/>
    <mergeCell ref="Y53:Y54"/>
    <mergeCell ref="J51:J52"/>
    <mergeCell ref="BV55:BV56"/>
    <mergeCell ref="BE56:BE57"/>
    <mergeCell ref="BF56:BF57"/>
    <mergeCell ref="AG57:AG58"/>
    <mergeCell ref="AH57:AH58"/>
    <mergeCell ref="K53:K54"/>
    <mergeCell ref="L53:L54"/>
    <mergeCell ref="M53:M54"/>
    <mergeCell ref="N53:N54"/>
    <mergeCell ref="O53:Q54"/>
    <mergeCell ref="R53:R54"/>
    <mergeCell ref="R55:R56"/>
    <mergeCell ref="S55:S56"/>
    <mergeCell ref="T55:T56"/>
    <mergeCell ref="U55:U56"/>
    <mergeCell ref="V55:V56"/>
    <mergeCell ref="W55:W56"/>
    <mergeCell ref="Y57:Y58"/>
    <mergeCell ref="Z57:AB58"/>
    <mergeCell ref="AC57:AC58"/>
    <mergeCell ref="AD57:AD58"/>
    <mergeCell ref="S57:S58"/>
    <mergeCell ref="T57:T58"/>
    <mergeCell ref="U57:U58"/>
    <mergeCell ref="R51:R52"/>
    <mergeCell ref="S51:S52"/>
    <mergeCell ref="CC51:CC52"/>
    <mergeCell ref="CD51:CD52"/>
    <mergeCell ref="CE51:CE52"/>
    <mergeCell ref="CF51:CH52"/>
    <mergeCell ref="CI51:CI52"/>
    <mergeCell ref="CJ51:CJ52"/>
    <mergeCell ref="BW51:BW52"/>
    <mergeCell ref="BX51:BX52"/>
    <mergeCell ref="BY51:BY52"/>
    <mergeCell ref="BZ51:BZ52"/>
    <mergeCell ref="CA51:CA52"/>
    <mergeCell ref="CB51:CB52"/>
    <mergeCell ref="BR51:BU52"/>
    <mergeCell ref="BV51:BV52"/>
    <mergeCell ref="BF50:BF51"/>
    <mergeCell ref="BF52:BF53"/>
    <mergeCell ref="CK51:CL52"/>
    <mergeCell ref="BR49:BU50"/>
    <mergeCell ref="BV49:BV50"/>
    <mergeCell ref="BV53:BV54"/>
    <mergeCell ref="BW53:BW54"/>
    <mergeCell ref="CM51:CM52"/>
    <mergeCell ref="CJ49:CJ50"/>
    <mergeCell ref="CK49:CL50"/>
    <mergeCell ref="CM49:CM50"/>
    <mergeCell ref="CE49:CE50"/>
    <mergeCell ref="CF49:CH50"/>
    <mergeCell ref="CI49:CI50"/>
    <mergeCell ref="C49:C50"/>
    <mergeCell ref="D49:F50"/>
    <mergeCell ref="G49:G50"/>
    <mergeCell ref="H49:H50"/>
    <mergeCell ref="I49:I50"/>
    <mergeCell ref="J49:J50"/>
    <mergeCell ref="CC49:CC50"/>
    <mergeCell ref="BX53:BX54"/>
    <mergeCell ref="BY53:BY54"/>
    <mergeCell ref="BZ53:BZ54"/>
    <mergeCell ref="CA53:CA54"/>
    <mergeCell ref="AR52:AR53"/>
    <mergeCell ref="AS52:AS53"/>
    <mergeCell ref="AX52:AX53"/>
    <mergeCell ref="AY52:BA53"/>
    <mergeCell ref="BB52:BB53"/>
    <mergeCell ref="BC52:BC53"/>
    <mergeCell ref="C53:C54"/>
    <mergeCell ref="D53:F54"/>
    <mergeCell ref="G53:G54"/>
    <mergeCell ref="H53:H54"/>
    <mergeCell ref="I53:I54"/>
    <mergeCell ref="J53:J54"/>
    <mergeCell ref="BD52:BD53"/>
    <mergeCell ref="BE52:BE53"/>
    <mergeCell ref="C51:C52"/>
    <mergeCell ref="D51:F52"/>
    <mergeCell ref="G51:G52"/>
    <mergeCell ref="H51:H52"/>
    <mergeCell ref="I51:I52"/>
    <mergeCell ref="AL50:AL51"/>
    <mergeCell ref="AM50:AO51"/>
    <mergeCell ref="AP50:AP51"/>
    <mergeCell ref="AQ50:AQ51"/>
    <mergeCell ref="AR50:AR51"/>
    <mergeCell ref="AS50:AS51"/>
    <mergeCell ref="AX50:AX51"/>
    <mergeCell ref="CB49:CB50"/>
    <mergeCell ref="K49:K50"/>
    <mergeCell ref="L49:L50"/>
    <mergeCell ref="M49:M50"/>
    <mergeCell ref="N49:N50"/>
    <mergeCell ref="O49:Q50"/>
    <mergeCell ref="R49:R50"/>
    <mergeCell ref="AG51:AG52"/>
    <mergeCell ref="AH51:AH52"/>
    <mergeCell ref="AI51:AI52"/>
    <mergeCell ref="AL52:AL53"/>
    <mergeCell ref="AM52:AO53"/>
    <mergeCell ref="AP52:AP53"/>
    <mergeCell ref="AQ52:AQ53"/>
    <mergeCell ref="X51:X52"/>
    <mergeCell ref="Y51:Y52"/>
    <mergeCell ref="Z51:AB52"/>
    <mergeCell ref="BF48:BF49"/>
    <mergeCell ref="BX47:BX48"/>
    <mergeCell ref="AE51:AE52"/>
    <mergeCell ref="T51:T52"/>
    <mergeCell ref="U51:U52"/>
    <mergeCell ref="V51:V52"/>
    <mergeCell ref="W51:W52"/>
    <mergeCell ref="M47:M48"/>
    <mergeCell ref="N47:N48"/>
    <mergeCell ref="AE47:AE48"/>
    <mergeCell ref="AF47:AF48"/>
    <mergeCell ref="O47:Q48"/>
    <mergeCell ref="R47:R48"/>
    <mergeCell ref="S47:S48"/>
    <mergeCell ref="T47:T48"/>
    <mergeCell ref="AI49:AI50"/>
    <mergeCell ref="AF51:AF52"/>
    <mergeCell ref="K51:K52"/>
    <mergeCell ref="L51:L52"/>
    <mergeCell ref="M51:M52"/>
    <mergeCell ref="N51:N52"/>
    <mergeCell ref="O51:Q52"/>
    <mergeCell ref="L47:L48"/>
    <mergeCell ref="Y49:Y50"/>
    <mergeCell ref="Z49:AB50"/>
    <mergeCell ref="AG49:AG50"/>
    <mergeCell ref="AH49:AH50"/>
    <mergeCell ref="K47:K48"/>
    <mergeCell ref="CE47:CE48"/>
    <mergeCell ref="CF47:CH48"/>
    <mergeCell ref="CI47:CI48"/>
    <mergeCell ref="CJ47:CJ48"/>
    <mergeCell ref="CK47:CL48"/>
    <mergeCell ref="CM47:CM48"/>
    <mergeCell ref="BY47:BY48"/>
    <mergeCell ref="BZ47:BZ48"/>
    <mergeCell ref="CA47:CA48"/>
    <mergeCell ref="CB47:CB48"/>
    <mergeCell ref="CC47:CC48"/>
    <mergeCell ref="CD47:CD48"/>
    <mergeCell ref="BR47:BU48"/>
    <mergeCell ref="BV47:BV48"/>
    <mergeCell ref="BW47:BW48"/>
    <mergeCell ref="BD48:BD49"/>
    <mergeCell ref="BE48:BE49"/>
    <mergeCell ref="CD49:CD50"/>
    <mergeCell ref="BD46:BD47"/>
    <mergeCell ref="CM45:CM46"/>
    <mergeCell ref="CF45:CH46"/>
    <mergeCell ref="CI45:CI46"/>
    <mergeCell ref="CJ45:CJ46"/>
    <mergeCell ref="CK45:CL46"/>
    <mergeCell ref="CB45:CB46"/>
    <mergeCell ref="CC45:CC46"/>
    <mergeCell ref="CD45:CD46"/>
    <mergeCell ref="CE45:CE46"/>
    <mergeCell ref="O45:Q46"/>
    <mergeCell ref="U47:U48"/>
    <mergeCell ref="V47:V48"/>
    <mergeCell ref="W47:W48"/>
    <mergeCell ref="X47:X48"/>
    <mergeCell ref="BX49:BX50"/>
    <mergeCell ref="BY49:BY50"/>
    <mergeCell ref="BZ49:BZ50"/>
    <mergeCell ref="CA49:CA50"/>
    <mergeCell ref="S49:S50"/>
    <mergeCell ref="T49:T50"/>
    <mergeCell ref="U49:U50"/>
    <mergeCell ref="V49:V50"/>
    <mergeCell ref="W49:W50"/>
    <mergeCell ref="X49:X50"/>
    <mergeCell ref="AF49:AF50"/>
    <mergeCell ref="AH47:AH48"/>
    <mergeCell ref="AI47:AI48"/>
    <mergeCell ref="Z47:AB48"/>
    <mergeCell ref="BC46:BC47"/>
    <mergeCell ref="AX48:AX49"/>
    <mergeCell ref="AY48:BA49"/>
    <mergeCell ref="BB48:BB49"/>
    <mergeCell ref="BC48:BC49"/>
    <mergeCell ref="AD49:AD50"/>
    <mergeCell ref="AE49:AE50"/>
    <mergeCell ref="AS46:AS47"/>
    <mergeCell ref="BB46:BB47"/>
    <mergeCell ref="BZ45:BZ46"/>
    <mergeCell ref="CA45:CA46"/>
    <mergeCell ref="AG45:AG46"/>
    <mergeCell ref="AH45:AH46"/>
    <mergeCell ref="D45:F46"/>
    <mergeCell ref="G45:G46"/>
    <mergeCell ref="H45:H46"/>
    <mergeCell ref="I45:I46"/>
    <mergeCell ref="J45:J46"/>
    <mergeCell ref="AI43:AI44"/>
    <mergeCell ref="Z45:AB46"/>
    <mergeCell ref="AC45:AC46"/>
    <mergeCell ref="AD45:AD46"/>
    <mergeCell ref="AE45:AE46"/>
    <mergeCell ref="AF45:AF46"/>
    <mergeCell ref="S45:S46"/>
    <mergeCell ref="T45:T46"/>
    <mergeCell ref="U45:U46"/>
    <mergeCell ref="V45:V46"/>
    <mergeCell ref="W45:W46"/>
    <mergeCell ref="X45:X46"/>
    <mergeCell ref="K45:K46"/>
    <mergeCell ref="L45:L46"/>
    <mergeCell ref="M45:M46"/>
    <mergeCell ref="R45:R46"/>
    <mergeCell ref="AE43:AE44"/>
    <mergeCell ref="AF43:AF44"/>
    <mergeCell ref="AG43:AG44"/>
    <mergeCell ref="AH43:AH44"/>
    <mergeCell ref="S43:S44"/>
    <mergeCell ref="T43:T44"/>
    <mergeCell ref="U43:U44"/>
    <mergeCell ref="V43:V44"/>
    <mergeCell ref="W43:W44"/>
    <mergeCell ref="X43:X44"/>
    <mergeCell ref="N45:N46"/>
    <mergeCell ref="C47:C48"/>
    <mergeCell ref="D47:F48"/>
    <mergeCell ref="G47:G48"/>
    <mergeCell ref="H47:H48"/>
    <mergeCell ref="I47:I48"/>
    <mergeCell ref="J47:J48"/>
    <mergeCell ref="AL44:AO47"/>
    <mergeCell ref="AX44:BA47"/>
    <mergeCell ref="BX45:BX46"/>
    <mergeCell ref="BY45:BY46"/>
    <mergeCell ref="CF43:CH44"/>
    <mergeCell ref="CI43:CI44"/>
    <mergeCell ref="CJ43:CJ44"/>
    <mergeCell ref="CK43:CL44"/>
    <mergeCell ref="BR43:BU44"/>
    <mergeCell ref="BV43:BV44"/>
    <mergeCell ref="BW43:BW44"/>
    <mergeCell ref="BX43:BX44"/>
    <mergeCell ref="BY43:BY44"/>
    <mergeCell ref="AC43:AC44"/>
    <mergeCell ref="AD43:AD44"/>
    <mergeCell ref="CB43:CB44"/>
    <mergeCell ref="CC43:CC44"/>
    <mergeCell ref="CD43:CD44"/>
    <mergeCell ref="AL48:AL49"/>
    <mergeCell ref="AM48:AO49"/>
    <mergeCell ref="AP48:AP49"/>
    <mergeCell ref="AQ48:AQ49"/>
    <mergeCell ref="AR48:AR49"/>
    <mergeCell ref="BR45:BU46"/>
    <mergeCell ref="BV45:BV46"/>
    <mergeCell ref="BW45:BW46"/>
    <mergeCell ref="CM43:CM44"/>
    <mergeCell ref="BZ43:BZ44"/>
    <mergeCell ref="CA43:CA44"/>
    <mergeCell ref="Y45:Y46"/>
    <mergeCell ref="Y47:Y48"/>
    <mergeCell ref="C45:C46"/>
    <mergeCell ref="G43:G44"/>
    <mergeCell ref="H43:H44"/>
    <mergeCell ref="I43:I44"/>
    <mergeCell ref="J43:J44"/>
    <mergeCell ref="K43:K44"/>
    <mergeCell ref="L43:L44"/>
    <mergeCell ref="M43:M44"/>
    <mergeCell ref="R43:R44"/>
    <mergeCell ref="CF41:CH42"/>
    <mergeCell ref="CI41:CI42"/>
    <mergeCell ref="CJ41:CJ42"/>
    <mergeCell ref="CK41:CL42"/>
    <mergeCell ref="CM41:CM42"/>
    <mergeCell ref="BZ41:BZ42"/>
    <mergeCell ref="CA41:CA42"/>
    <mergeCell ref="CB41:CB42"/>
    <mergeCell ref="CC41:CC42"/>
    <mergeCell ref="CD41:CD42"/>
    <mergeCell ref="CE41:CE42"/>
    <mergeCell ref="G41:M42"/>
    <mergeCell ref="R41:X42"/>
    <mergeCell ref="AC41:AI42"/>
    <mergeCell ref="BR41:BU42"/>
    <mergeCell ref="BV41:BV42"/>
    <mergeCell ref="BW41:BW42"/>
    <mergeCell ref="CE43:CE44"/>
    <mergeCell ref="AI45:AI46"/>
    <mergeCell ref="AC47:AC48"/>
    <mergeCell ref="AD47:AD48"/>
    <mergeCell ref="BE46:BE47"/>
    <mergeCell ref="BF46:BF47"/>
    <mergeCell ref="AG47:AG48"/>
    <mergeCell ref="BW49:BW50"/>
    <mergeCell ref="AY50:BA51"/>
    <mergeCell ref="BB50:BB51"/>
    <mergeCell ref="BC50:BC51"/>
    <mergeCell ref="BD50:BD51"/>
    <mergeCell ref="AC49:AC50"/>
    <mergeCell ref="AP46:AP47"/>
    <mergeCell ref="AQ46:AQ47"/>
    <mergeCell ref="AR46:AR47"/>
    <mergeCell ref="AC51:AC52"/>
    <mergeCell ref="AD51:AD52"/>
    <mergeCell ref="BE50:BE51"/>
    <mergeCell ref="AS48:AS49"/>
    <mergeCell ref="X19:X20"/>
    <mergeCell ref="Y19:Y20"/>
    <mergeCell ref="BD40:BD41"/>
    <mergeCell ref="BF40:BF41"/>
    <mergeCell ref="BX41:BX42"/>
    <mergeCell ref="BY41:BY42"/>
    <mergeCell ref="BY39:BY40"/>
    <mergeCell ref="BZ39:BZ40"/>
    <mergeCell ref="CA39:CA40"/>
    <mergeCell ref="I37:I38"/>
    <mergeCell ref="J37:J38"/>
    <mergeCell ref="K37:K38"/>
    <mergeCell ref="L37:L38"/>
    <mergeCell ref="M37:M38"/>
    <mergeCell ref="T37:T38"/>
    <mergeCell ref="BD36:BD37"/>
    <mergeCell ref="BE36:BE37"/>
    <mergeCell ref="BF36:BF37"/>
    <mergeCell ref="X35:X36"/>
    <mergeCell ref="Y35:Y36"/>
    <mergeCell ref="Z35:AB36"/>
    <mergeCell ref="AC35:AC36"/>
    <mergeCell ref="AD35:AD36"/>
    <mergeCell ref="AE35:AE36"/>
    <mergeCell ref="R35:R36"/>
    <mergeCell ref="AM38:AO39"/>
    <mergeCell ref="AP38:AP39"/>
    <mergeCell ref="AQ38:AQ39"/>
    <mergeCell ref="AR38:AR39"/>
    <mergeCell ref="AS38:AS39"/>
    <mergeCell ref="AX38:AX39"/>
    <mergeCell ref="AX36:AX37"/>
    <mergeCell ref="AF19:AF20"/>
    <mergeCell ref="AG19:AG20"/>
    <mergeCell ref="AQ18:AQ19"/>
    <mergeCell ref="Z17:AB18"/>
    <mergeCell ref="AC17:AC18"/>
    <mergeCell ref="AD17:AD18"/>
    <mergeCell ref="AF31:AF32"/>
    <mergeCell ref="AG31:AG32"/>
    <mergeCell ref="BF20:BF21"/>
    <mergeCell ref="AC25:AC26"/>
    <mergeCell ref="AD21:AD22"/>
    <mergeCell ref="Z19:AB20"/>
    <mergeCell ref="AF17:AF18"/>
    <mergeCell ref="AG17:AG18"/>
    <mergeCell ref="BN21:BO22"/>
    <mergeCell ref="AI19:AI20"/>
    <mergeCell ref="AC19:AC20"/>
    <mergeCell ref="AD19:AD20"/>
    <mergeCell ref="AE19:AE20"/>
    <mergeCell ref="AG25:AG26"/>
    <mergeCell ref="AH25:AH26"/>
    <mergeCell ref="AC27:AC28"/>
    <mergeCell ref="AD27:AD28"/>
    <mergeCell ref="AE27:AE28"/>
    <mergeCell ref="AF27:AF28"/>
    <mergeCell ref="AI25:AI26"/>
    <mergeCell ref="AD25:AD26"/>
    <mergeCell ref="AE25:AE26"/>
    <mergeCell ref="AF25:AF26"/>
    <mergeCell ref="AY16:BA17"/>
    <mergeCell ref="BB16:BB17"/>
    <mergeCell ref="CM39:CM40"/>
    <mergeCell ref="CB39:CB40"/>
    <mergeCell ref="CC39:CC40"/>
    <mergeCell ref="CD39:CD40"/>
    <mergeCell ref="U37:U38"/>
    <mergeCell ref="V37:V38"/>
    <mergeCell ref="W37:W38"/>
    <mergeCell ref="X37:X38"/>
    <mergeCell ref="AE37:AE38"/>
    <mergeCell ref="AF37:AF38"/>
    <mergeCell ref="CE39:CE40"/>
    <mergeCell ref="CF39:CH40"/>
    <mergeCell ref="CI39:CI40"/>
    <mergeCell ref="CF17:CH18"/>
    <mergeCell ref="CI17:CI18"/>
    <mergeCell ref="CJ17:CJ18"/>
    <mergeCell ref="CK17:CL18"/>
    <mergeCell ref="CM17:CM18"/>
    <mergeCell ref="BZ17:BZ18"/>
    <mergeCell ref="CA17:CA18"/>
    <mergeCell ref="CB17:CB18"/>
    <mergeCell ref="CC17:CC18"/>
    <mergeCell ref="CD17:CD18"/>
    <mergeCell ref="CE17:CE18"/>
    <mergeCell ref="BX39:BX40"/>
    <mergeCell ref="AL36:AL37"/>
    <mergeCell ref="AY36:BA37"/>
    <mergeCell ref="BB36:BB37"/>
    <mergeCell ref="BC36:BC37"/>
    <mergeCell ref="W35:W36"/>
    <mergeCell ref="BR23:BU24"/>
    <mergeCell ref="BR21:BU22"/>
    <mergeCell ref="CK37:CL38"/>
    <mergeCell ref="CM37:CM38"/>
    <mergeCell ref="AG37:AG38"/>
    <mergeCell ref="AH37:AH38"/>
    <mergeCell ref="AI37:AI38"/>
    <mergeCell ref="BR39:BU40"/>
    <mergeCell ref="BV39:BV40"/>
    <mergeCell ref="BW39:BW40"/>
    <mergeCell ref="AY38:BA39"/>
    <mergeCell ref="BB38:BB39"/>
    <mergeCell ref="BC38:BC39"/>
    <mergeCell ref="BD38:BD39"/>
    <mergeCell ref="CE35:CE36"/>
    <mergeCell ref="CF35:CH36"/>
    <mergeCell ref="CI35:CI36"/>
    <mergeCell ref="CJ35:CJ36"/>
    <mergeCell ref="CK35:CL36"/>
    <mergeCell ref="CM35:CM36"/>
    <mergeCell ref="AS34:AS35"/>
    <mergeCell ref="AX34:AX35"/>
    <mergeCell ref="AG33:AG34"/>
    <mergeCell ref="BE38:BE39"/>
    <mergeCell ref="BF38:BF39"/>
    <mergeCell ref="AL38:AL39"/>
    <mergeCell ref="CC37:CC38"/>
    <mergeCell ref="CD37:CD38"/>
    <mergeCell ref="CE37:CE38"/>
    <mergeCell ref="CF37:CH38"/>
    <mergeCell ref="CI37:CI38"/>
    <mergeCell ref="CJ37:CJ38"/>
    <mergeCell ref="CJ39:CJ40"/>
    <mergeCell ref="CK39:CL40"/>
    <mergeCell ref="BW37:BW38"/>
    <mergeCell ref="BX37:BX38"/>
    <mergeCell ref="BY37:BY38"/>
    <mergeCell ref="BZ37:BZ38"/>
    <mergeCell ref="CA37:CA38"/>
    <mergeCell ref="CB37:CB38"/>
    <mergeCell ref="BR37:BU38"/>
    <mergeCell ref="BV37:BV38"/>
    <mergeCell ref="BY35:BY36"/>
    <mergeCell ref="BZ35:BZ36"/>
    <mergeCell ref="CA35:CA36"/>
    <mergeCell ref="CB35:CB36"/>
    <mergeCell ref="CC35:CC36"/>
    <mergeCell ref="CD35:CD36"/>
    <mergeCell ref="BX35:BX36"/>
    <mergeCell ref="J35:J36"/>
    <mergeCell ref="K35:K36"/>
    <mergeCell ref="L35:L36"/>
    <mergeCell ref="M35:M36"/>
    <mergeCell ref="N35:N36"/>
    <mergeCell ref="O35:Q36"/>
    <mergeCell ref="BE34:BE35"/>
    <mergeCell ref="BF34:BF35"/>
    <mergeCell ref="AM36:AO37"/>
    <mergeCell ref="AP36:AP37"/>
    <mergeCell ref="AQ36:AQ37"/>
    <mergeCell ref="AH33:AH34"/>
    <mergeCell ref="AI33:AI34"/>
    <mergeCell ref="BB34:BB35"/>
    <mergeCell ref="BC34:BC35"/>
    <mergeCell ref="BD34:BD35"/>
    <mergeCell ref="BR35:BU36"/>
    <mergeCell ref="C35:C36"/>
    <mergeCell ref="D35:F36"/>
    <mergeCell ref="G35:G36"/>
    <mergeCell ref="H35:H36"/>
    <mergeCell ref="I35:I36"/>
    <mergeCell ref="AF35:AF36"/>
    <mergeCell ref="AG35:AG36"/>
    <mergeCell ref="AH35:AH36"/>
    <mergeCell ref="AI35:AI36"/>
    <mergeCell ref="K33:K34"/>
    <mergeCell ref="L33:L34"/>
    <mergeCell ref="M33:M34"/>
    <mergeCell ref="N33:N34"/>
    <mergeCell ref="O33:Q34"/>
    <mergeCell ref="R33:R34"/>
    <mergeCell ref="C33:C34"/>
    <mergeCell ref="D33:F34"/>
    <mergeCell ref="G33:G34"/>
    <mergeCell ref="H33:H34"/>
    <mergeCell ref="I33:I34"/>
    <mergeCell ref="J33:J34"/>
    <mergeCell ref="Y33:Y34"/>
    <mergeCell ref="Z33:AB34"/>
    <mergeCell ref="AC33:AC34"/>
    <mergeCell ref="AD33:AD34"/>
    <mergeCell ref="AE33:AE34"/>
    <mergeCell ref="S35:S36"/>
    <mergeCell ref="T35:T36"/>
    <mergeCell ref="U35:U36"/>
    <mergeCell ref="V35:V36"/>
    <mergeCell ref="T33:T34"/>
    <mergeCell ref="U33:U34"/>
    <mergeCell ref="BV35:BV36"/>
    <mergeCell ref="BW35:BW36"/>
    <mergeCell ref="BD32:BD33"/>
    <mergeCell ref="BE32:BE33"/>
    <mergeCell ref="BF32:BF33"/>
    <mergeCell ref="AL34:AL35"/>
    <mergeCell ref="AM34:AO35"/>
    <mergeCell ref="AP34:AP35"/>
    <mergeCell ref="AQ34:AQ35"/>
    <mergeCell ref="AR34:AR35"/>
    <mergeCell ref="L31:L32"/>
    <mergeCell ref="M31:M32"/>
    <mergeCell ref="N31:N32"/>
    <mergeCell ref="O31:Q32"/>
    <mergeCell ref="R31:R32"/>
    <mergeCell ref="S31:S32"/>
    <mergeCell ref="BX23:BX24"/>
    <mergeCell ref="AM32:AO33"/>
    <mergeCell ref="AP32:AP33"/>
    <mergeCell ref="AX32:AX33"/>
    <mergeCell ref="AY32:BA33"/>
    <mergeCell ref="BB32:BB33"/>
    <mergeCell ref="BC32:BC33"/>
    <mergeCell ref="AY34:BA35"/>
    <mergeCell ref="AL28:AO31"/>
    <mergeCell ref="AX28:BA31"/>
    <mergeCell ref="BX27:BX28"/>
    <mergeCell ref="X23:X24"/>
    <mergeCell ref="Y23:Y24"/>
    <mergeCell ref="AR36:AR37"/>
    <mergeCell ref="AS36:AS37"/>
    <mergeCell ref="S33:S34"/>
    <mergeCell ref="V33:V34"/>
    <mergeCell ref="W33:W34"/>
    <mergeCell ref="X33:X34"/>
    <mergeCell ref="AF33:AF34"/>
    <mergeCell ref="AH31:AH32"/>
    <mergeCell ref="AI31:AI32"/>
    <mergeCell ref="Z31:AB32"/>
    <mergeCell ref="BC30:BC31"/>
    <mergeCell ref="BD30:BD31"/>
    <mergeCell ref="BE30:BE31"/>
    <mergeCell ref="BF30:BF31"/>
    <mergeCell ref="Y29:Y30"/>
    <mergeCell ref="AL32:AL33"/>
    <mergeCell ref="AQ32:AQ33"/>
    <mergeCell ref="AR32:AR33"/>
    <mergeCell ref="AS32:AS33"/>
    <mergeCell ref="AC31:AC32"/>
    <mergeCell ref="AD31:AD32"/>
    <mergeCell ref="AE31:AE32"/>
    <mergeCell ref="T31:T32"/>
    <mergeCell ref="U31:U32"/>
    <mergeCell ref="V31:V32"/>
    <mergeCell ref="W31:W32"/>
    <mergeCell ref="X31:X32"/>
    <mergeCell ref="X29:X30"/>
    <mergeCell ref="Y31:Y32"/>
    <mergeCell ref="K29:K30"/>
    <mergeCell ref="L29:L30"/>
    <mergeCell ref="M29:M30"/>
    <mergeCell ref="N29:N30"/>
    <mergeCell ref="O29:Q30"/>
    <mergeCell ref="R29:R30"/>
    <mergeCell ref="C31:C32"/>
    <mergeCell ref="D31:F32"/>
    <mergeCell ref="G31:G32"/>
    <mergeCell ref="H31:H32"/>
    <mergeCell ref="I31:I32"/>
    <mergeCell ref="J31:J32"/>
    <mergeCell ref="K31:K32"/>
    <mergeCell ref="C29:C30"/>
    <mergeCell ref="D29:F30"/>
    <mergeCell ref="G29:G30"/>
    <mergeCell ref="H29:H30"/>
    <mergeCell ref="I29:I30"/>
    <mergeCell ref="J29:J30"/>
    <mergeCell ref="CF27:CH28"/>
    <mergeCell ref="CI27:CI28"/>
    <mergeCell ref="CJ27:CJ28"/>
    <mergeCell ref="CK27:CL28"/>
    <mergeCell ref="AP30:AP31"/>
    <mergeCell ref="AQ30:AQ31"/>
    <mergeCell ref="AR30:AR31"/>
    <mergeCell ref="AS30:AS31"/>
    <mergeCell ref="BB30:BB31"/>
    <mergeCell ref="BZ27:BZ28"/>
    <mergeCell ref="CA27:CA28"/>
    <mergeCell ref="CB27:CB28"/>
    <mergeCell ref="CC27:CC28"/>
    <mergeCell ref="CD27:CD28"/>
    <mergeCell ref="CE27:CE28"/>
    <mergeCell ref="AG29:AG30"/>
    <mergeCell ref="AH29:AH30"/>
    <mergeCell ref="AI29:AI30"/>
    <mergeCell ref="BR27:BU28"/>
    <mergeCell ref="AI27:AI28"/>
    <mergeCell ref="AG27:AG28"/>
    <mergeCell ref="AH27:AH28"/>
    <mergeCell ref="BR31:BU32"/>
    <mergeCell ref="BR29:BU30"/>
    <mergeCell ref="CK29:CL30"/>
    <mergeCell ref="U27:U28"/>
    <mergeCell ref="V27:V28"/>
    <mergeCell ref="W27:W28"/>
    <mergeCell ref="X27:X28"/>
    <mergeCell ref="Y27:Y28"/>
    <mergeCell ref="Z27:AB28"/>
    <mergeCell ref="M27:M28"/>
    <mergeCell ref="N27:N28"/>
    <mergeCell ref="Z29:AB30"/>
    <mergeCell ref="AC29:AC30"/>
    <mergeCell ref="AD29:AD30"/>
    <mergeCell ref="AE29:AE30"/>
    <mergeCell ref="AF29:AF30"/>
    <mergeCell ref="S29:S30"/>
    <mergeCell ref="T29:T30"/>
    <mergeCell ref="U29:U30"/>
    <mergeCell ref="V29:V30"/>
    <mergeCell ref="W29:W30"/>
    <mergeCell ref="O27:Q28"/>
    <mergeCell ref="CJ33:CJ34"/>
    <mergeCell ref="BW33:BW34"/>
    <mergeCell ref="BX33:BX34"/>
    <mergeCell ref="BY33:BY34"/>
    <mergeCell ref="BZ33:BZ34"/>
    <mergeCell ref="CA33:CA34"/>
    <mergeCell ref="CB33:CB34"/>
    <mergeCell ref="BV31:BV32"/>
    <mergeCell ref="BW31:BW32"/>
    <mergeCell ref="BX31:BX32"/>
    <mergeCell ref="CA29:CA30"/>
    <mergeCell ref="CB29:CB30"/>
    <mergeCell ref="CC29:CC30"/>
    <mergeCell ref="CD29:CD30"/>
    <mergeCell ref="CI29:CI30"/>
    <mergeCell ref="CJ29:CJ30"/>
    <mergeCell ref="BW29:BW30"/>
    <mergeCell ref="BX29:BX30"/>
    <mergeCell ref="BY29:BY30"/>
    <mergeCell ref="CJ31:CJ32"/>
    <mergeCell ref="BZ31:BZ32"/>
    <mergeCell ref="CA31:CA32"/>
    <mergeCell ref="CB31:CB32"/>
    <mergeCell ref="CC31:CC32"/>
    <mergeCell ref="CD31:CD32"/>
    <mergeCell ref="CE29:CE30"/>
    <mergeCell ref="CF29:CH30"/>
    <mergeCell ref="BV29:BV30"/>
    <mergeCell ref="BZ29:BZ30"/>
    <mergeCell ref="C25:C26"/>
    <mergeCell ref="D25:F26"/>
    <mergeCell ref="G25:G26"/>
    <mergeCell ref="H25:H26"/>
    <mergeCell ref="I25:I26"/>
    <mergeCell ref="J25:J26"/>
    <mergeCell ref="K25:K26"/>
    <mergeCell ref="L25:L26"/>
    <mergeCell ref="C27:C28"/>
    <mergeCell ref="D27:F28"/>
    <mergeCell ref="G27:G28"/>
    <mergeCell ref="H27:H28"/>
    <mergeCell ref="I27:I28"/>
    <mergeCell ref="J27:J28"/>
    <mergeCell ref="K27:K28"/>
    <mergeCell ref="L27:L28"/>
    <mergeCell ref="CK31:CL32"/>
    <mergeCell ref="BY27:BY28"/>
    <mergeCell ref="CF25:CH26"/>
    <mergeCell ref="CI25:CI26"/>
    <mergeCell ref="CJ25:CJ26"/>
    <mergeCell ref="CK25:CL26"/>
    <mergeCell ref="BZ25:BZ26"/>
    <mergeCell ref="CA25:CA26"/>
    <mergeCell ref="CB25:CB26"/>
    <mergeCell ref="CC25:CC26"/>
    <mergeCell ref="CD25:CD26"/>
    <mergeCell ref="CE25:CE26"/>
    <mergeCell ref="BR25:BU26"/>
    <mergeCell ref="BV25:BV26"/>
    <mergeCell ref="BW25:BW26"/>
    <mergeCell ref="BX25:BX26"/>
    <mergeCell ref="CI23:CI24"/>
    <mergeCell ref="BV23:BV24"/>
    <mergeCell ref="BW23:BW24"/>
    <mergeCell ref="AF23:AF24"/>
    <mergeCell ref="AG23:AG24"/>
    <mergeCell ref="T23:T24"/>
    <mergeCell ref="U23:U24"/>
    <mergeCell ref="V23:V24"/>
    <mergeCell ref="W23:W24"/>
    <mergeCell ref="CM31:CM32"/>
    <mergeCell ref="BY31:BY32"/>
    <mergeCell ref="R27:R28"/>
    <mergeCell ref="S27:S28"/>
    <mergeCell ref="T27:T28"/>
    <mergeCell ref="CM25:CM26"/>
    <mergeCell ref="BY25:BY26"/>
    <mergeCell ref="CM27:CM28"/>
    <mergeCell ref="BV27:BV28"/>
    <mergeCell ref="BW27:BW28"/>
    <mergeCell ref="BY23:BY24"/>
    <mergeCell ref="BZ23:BZ24"/>
    <mergeCell ref="CA23:CA24"/>
    <mergeCell ref="CC23:CC24"/>
    <mergeCell ref="CB23:CB24"/>
    <mergeCell ref="CJ23:CJ24"/>
    <mergeCell ref="CK23:CL24"/>
    <mergeCell ref="CM23:CM24"/>
    <mergeCell ref="AQ24:AQ25"/>
    <mergeCell ref="AR24:AR25"/>
    <mergeCell ref="AT24:AT25"/>
    <mergeCell ref="BE24:BE25"/>
    <mergeCell ref="BF24:BF25"/>
    <mergeCell ref="M23:M24"/>
    <mergeCell ref="N23:N24"/>
    <mergeCell ref="O23:Q24"/>
    <mergeCell ref="R23:R24"/>
    <mergeCell ref="S23:S24"/>
    <mergeCell ref="V25:V26"/>
    <mergeCell ref="W25:W26"/>
    <mergeCell ref="X25:X26"/>
    <mergeCell ref="Y25:Y26"/>
    <mergeCell ref="Z25:AB26"/>
    <mergeCell ref="M25:M26"/>
    <mergeCell ref="N25:N26"/>
    <mergeCell ref="O25:Q26"/>
    <mergeCell ref="R25:R26"/>
    <mergeCell ref="S25:S26"/>
    <mergeCell ref="T25:T26"/>
    <mergeCell ref="U25:U26"/>
    <mergeCell ref="CF19:CH20"/>
    <mergeCell ref="CI19:CI20"/>
    <mergeCell ref="CJ19:CJ20"/>
    <mergeCell ref="CK19:CL20"/>
    <mergeCell ref="CM19:CM20"/>
    <mergeCell ref="BY19:BY20"/>
    <mergeCell ref="BZ19:BZ20"/>
    <mergeCell ref="CA19:CA20"/>
    <mergeCell ref="CB19:CB20"/>
    <mergeCell ref="CC19:CC20"/>
    <mergeCell ref="CD19:CD20"/>
    <mergeCell ref="BR19:BU20"/>
    <mergeCell ref="BV19:BV20"/>
    <mergeCell ref="BW19:BW20"/>
    <mergeCell ref="BX19:BX20"/>
    <mergeCell ref="BV21:BV22"/>
    <mergeCell ref="BW21:BW22"/>
    <mergeCell ref="BX21:BX22"/>
    <mergeCell ref="CF21:CH22"/>
    <mergeCell ref="CI21:CI22"/>
    <mergeCell ref="CJ21:CJ22"/>
    <mergeCell ref="CK21:CL22"/>
    <mergeCell ref="CM21:CM22"/>
    <mergeCell ref="CC21:CC22"/>
    <mergeCell ref="CD21:CD22"/>
    <mergeCell ref="C23:C24"/>
    <mergeCell ref="D23:F24"/>
    <mergeCell ref="G23:G24"/>
    <mergeCell ref="H23:H24"/>
    <mergeCell ref="I23:I24"/>
    <mergeCell ref="J23:J24"/>
    <mergeCell ref="K23:K24"/>
    <mergeCell ref="AY22:BA23"/>
    <mergeCell ref="BB22:BB23"/>
    <mergeCell ref="BC22:BC23"/>
    <mergeCell ref="BD22:BD23"/>
    <mergeCell ref="BE22:BE23"/>
    <mergeCell ref="BF22:BF23"/>
    <mergeCell ref="AH23:AH24"/>
    <mergeCell ref="AI23:AI24"/>
    <mergeCell ref="Z23:AB24"/>
    <mergeCell ref="AC23:AC24"/>
    <mergeCell ref="AD23:AD24"/>
    <mergeCell ref="AE23:AE24"/>
    <mergeCell ref="C21:C22"/>
    <mergeCell ref="AE21:AE22"/>
    <mergeCell ref="AF21:AF22"/>
    <mergeCell ref="AG21:AG22"/>
    <mergeCell ref="L23:L24"/>
    <mergeCell ref="N21:N22"/>
    <mergeCell ref="O21:Q22"/>
    <mergeCell ref="R21:R22"/>
    <mergeCell ref="S21:S22"/>
    <mergeCell ref="T21:T22"/>
    <mergeCell ref="U21:U22"/>
    <mergeCell ref="D21:F22"/>
    <mergeCell ref="G21:G22"/>
    <mergeCell ref="L19:L20"/>
    <mergeCell ref="M19:M20"/>
    <mergeCell ref="N19:N20"/>
    <mergeCell ref="O19:Q20"/>
    <mergeCell ref="R19:R20"/>
    <mergeCell ref="S19:S20"/>
    <mergeCell ref="AH19:AH20"/>
    <mergeCell ref="CD23:CD24"/>
    <mergeCell ref="CE23:CE24"/>
    <mergeCell ref="CF23:CH24"/>
    <mergeCell ref="CK33:CL34"/>
    <mergeCell ref="CM33:CM34"/>
    <mergeCell ref="AL22:AL23"/>
    <mergeCell ref="AM22:AO23"/>
    <mergeCell ref="AP22:AP23"/>
    <mergeCell ref="AQ22:AQ23"/>
    <mergeCell ref="AR22:AR23"/>
    <mergeCell ref="AS22:AS23"/>
    <mergeCell ref="AT22:AT23"/>
    <mergeCell ref="AX22:AX23"/>
    <mergeCell ref="CC33:CC34"/>
    <mergeCell ref="CD33:CD34"/>
    <mergeCell ref="CE33:CE34"/>
    <mergeCell ref="CF33:CH34"/>
    <mergeCell ref="CI33:CI34"/>
    <mergeCell ref="BR33:BU34"/>
    <mergeCell ref="BV33:BV34"/>
    <mergeCell ref="CE31:CE32"/>
    <mergeCell ref="CF31:CH32"/>
    <mergeCell ref="CI31:CI32"/>
    <mergeCell ref="CA21:CA22"/>
    <mergeCell ref="CB21:CB22"/>
    <mergeCell ref="H21:H22"/>
    <mergeCell ref="I21:I22"/>
    <mergeCell ref="J21:J22"/>
    <mergeCell ref="K21:K22"/>
    <mergeCell ref="L21:L22"/>
    <mergeCell ref="M21:M22"/>
    <mergeCell ref="AH21:AH22"/>
    <mergeCell ref="AI21:AI22"/>
    <mergeCell ref="V21:V22"/>
    <mergeCell ref="W21:W22"/>
    <mergeCell ref="X21:X22"/>
    <mergeCell ref="Y21:Y22"/>
    <mergeCell ref="Z21:AB22"/>
    <mergeCell ref="AC21:AC22"/>
    <mergeCell ref="X15:X16"/>
    <mergeCell ref="AT16:AT17"/>
    <mergeCell ref="AX16:AX17"/>
    <mergeCell ref="U19:U20"/>
    <mergeCell ref="V19:V20"/>
    <mergeCell ref="W19:W20"/>
    <mergeCell ref="AE17:AE18"/>
    <mergeCell ref="I17:I18"/>
    <mergeCell ref="J17:J18"/>
    <mergeCell ref="K17:K18"/>
    <mergeCell ref="AH15:AH16"/>
    <mergeCell ref="AI15:AI16"/>
    <mergeCell ref="Z15:AB16"/>
    <mergeCell ref="AC15:AC16"/>
    <mergeCell ref="AD15:AD16"/>
    <mergeCell ref="AE15:AE16"/>
    <mergeCell ref="AF15:AF16"/>
    <mergeCell ref="AG15:AG16"/>
    <mergeCell ref="BI14:BM15"/>
    <mergeCell ref="BN14:BO15"/>
    <mergeCell ref="C19:C20"/>
    <mergeCell ref="D19:F20"/>
    <mergeCell ref="G19:G20"/>
    <mergeCell ref="H19:H20"/>
    <mergeCell ref="I19:I20"/>
    <mergeCell ref="J19:J20"/>
    <mergeCell ref="K19:K20"/>
    <mergeCell ref="BC18:BC19"/>
    <mergeCell ref="BD18:BD19"/>
    <mergeCell ref="BE18:BE19"/>
    <mergeCell ref="BF18:BF19"/>
    <mergeCell ref="BI18:BM19"/>
    <mergeCell ref="BN18:BO19"/>
    <mergeCell ref="AR18:AR19"/>
    <mergeCell ref="AS18:AS19"/>
    <mergeCell ref="AT18:AT19"/>
    <mergeCell ref="AX18:AX19"/>
    <mergeCell ref="AY18:BA19"/>
    <mergeCell ref="BB18:BB19"/>
    <mergeCell ref="AT20:AT21"/>
    <mergeCell ref="AX20:AX21"/>
    <mergeCell ref="AH17:AH18"/>
    <mergeCell ref="AI17:AI18"/>
    <mergeCell ref="AL20:AL21"/>
    <mergeCell ref="AM20:AO21"/>
    <mergeCell ref="S17:S18"/>
    <mergeCell ref="AL18:AL19"/>
    <mergeCell ref="AM18:AO19"/>
    <mergeCell ref="AP18:AP19"/>
    <mergeCell ref="T19:T20"/>
    <mergeCell ref="BX17:BX18"/>
    <mergeCell ref="BY17:BY18"/>
    <mergeCell ref="BR17:BU18"/>
    <mergeCell ref="AP20:AP21"/>
    <mergeCell ref="AQ20:AQ21"/>
    <mergeCell ref="AR20:AR21"/>
    <mergeCell ref="AS20:AS21"/>
    <mergeCell ref="AY20:BA21"/>
    <mergeCell ref="BB20:BB21"/>
    <mergeCell ref="BI21:BM22"/>
    <mergeCell ref="BC20:BC21"/>
    <mergeCell ref="BD20:BD21"/>
    <mergeCell ref="BZ21:BZ22"/>
    <mergeCell ref="CE21:CE22"/>
    <mergeCell ref="BE20:BE21"/>
    <mergeCell ref="BY21:BY22"/>
    <mergeCell ref="BC16:BC17"/>
    <mergeCell ref="BD16:BD17"/>
    <mergeCell ref="BE16:BE17"/>
    <mergeCell ref="BF16:BF17"/>
    <mergeCell ref="BI16:BM17"/>
    <mergeCell ref="BN16:BO17"/>
    <mergeCell ref="CE19:CE20"/>
    <mergeCell ref="W15:W16"/>
    <mergeCell ref="T17:T18"/>
    <mergeCell ref="U17:U18"/>
    <mergeCell ref="V17:V18"/>
    <mergeCell ref="W17:W18"/>
    <mergeCell ref="X17:X18"/>
    <mergeCell ref="Y17:Y18"/>
    <mergeCell ref="L17:L18"/>
    <mergeCell ref="M17:M18"/>
    <mergeCell ref="N17:N18"/>
    <mergeCell ref="O17:Q18"/>
    <mergeCell ref="R17:R18"/>
    <mergeCell ref="C15:C16"/>
    <mergeCell ref="D15:F16"/>
    <mergeCell ref="G15:G16"/>
    <mergeCell ref="H15:H16"/>
    <mergeCell ref="I15:I16"/>
    <mergeCell ref="J15:J16"/>
    <mergeCell ref="K15:K16"/>
    <mergeCell ref="C17:C18"/>
    <mergeCell ref="D17:F18"/>
    <mergeCell ref="G17:G18"/>
    <mergeCell ref="H17:H18"/>
    <mergeCell ref="Y15:Y16"/>
    <mergeCell ref="L15:L16"/>
    <mergeCell ref="M15:M16"/>
    <mergeCell ref="N15:N16"/>
    <mergeCell ref="O15:Q16"/>
    <mergeCell ref="R15:R16"/>
    <mergeCell ref="CM29:CM30"/>
    <mergeCell ref="AP14:AP15"/>
    <mergeCell ref="AQ14:AQ15"/>
    <mergeCell ref="AR14:AR15"/>
    <mergeCell ref="AS14:AS15"/>
    <mergeCell ref="AT14:AT15"/>
    <mergeCell ref="AL16:AL17"/>
    <mergeCell ref="AM16:AO17"/>
    <mergeCell ref="AP16:AP17"/>
    <mergeCell ref="AQ16:AQ17"/>
    <mergeCell ref="AR16:AR17"/>
    <mergeCell ref="AS16:AS17"/>
    <mergeCell ref="BB14:BB15"/>
    <mergeCell ref="CI13:CI14"/>
    <mergeCell ref="CJ13:CJ14"/>
    <mergeCell ref="CK13:CL14"/>
    <mergeCell ref="CM13:CM14"/>
    <mergeCell ref="BY13:BY14"/>
    <mergeCell ref="BZ13:BZ14"/>
    <mergeCell ref="CA13:CA14"/>
    <mergeCell ref="CC15:CC16"/>
    <mergeCell ref="CD15:CD16"/>
    <mergeCell ref="BR15:BU16"/>
    <mergeCell ref="BV15:BV16"/>
    <mergeCell ref="BW15:BW16"/>
    <mergeCell ref="CE15:CE16"/>
    <mergeCell ref="CF15:CH16"/>
    <mergeCell ref="CI15:CI16"/>
    <mergeCell ref="CJ15:CJ16"/>
    <mergeCell ref="BX15:BX16"/>
    <mergeCell ref="BV17:BV18"/>
    <mergeCell ref="BW17:BW18"/>
    <mergeCell ref="AH11:AH12"/>
    <mergeCell ref="AI11:AI12"/>
    <mergeCell ref="BZ15:BZ16"/>
    <mergeCell ref="CA15:CA16"/>
    <mergeCell ref="CB15:CB16"/>
    <mergeCell ref="C13:C14"/>
    <mergeCell ref="D13:F14"/>
    <mergeCell ref="G13:G14"/>
    <mergeCell ref="H13:H14"/>
    <mergeCell ref="I13:I14"/>
    <mergeCell ref="J13:J14"/>
    <mergeCell ref="K13:K14"/>
    <mergeCell ref="L13:L14"/>
    <mergeCell ref="M13:M14"/>
    <mergeCell ref="AD13:AD14"/>
    <mergeCell ref="AE13:AE14"/>
    <mergeCell ref="AF13:AF14"/>
    <mergeCell ref="AG13:AG14"/>
    <mergeCell ref="AH13:AH14"/>
    <mergeCell ref="AI13:AI14"/>
    <mergeCell ref="V13:V14"/>
    <mergeCell ref="W13:W14"/>
    <mergeCell ref="X13:X14"/>
    <mergeCell ref="Y13:Y14"/>
    <mergeCell ref="Z13:AB14"/>
    <mergeCell ref="AC13:AC14"/>
    <mergeCell ref="S13:S14"/>
    <mergeCell ref="T13:T14"/>
    <mergeCell ref="U13:U14"/>
    <mergeCell ref="T15:T16"/>
    <mergeCell ref="U15:U16"/>
    <mergeCell ref="V15:V16"/>
    <mergeCell ref="CJ11:CJ12"/>
    <mergeCell ref="BY9:BY10"/>
    <mergeCell ref="BZ9:BZ10"/>
    <mergeCell ref="CA9:CA10"/>
    <mergeCell ref="CB9:CB10"/>
    <mergeCell ref="S15:S16"/>
    <mergeCell ref="N13:N14"/>
    <mergeCell ref="O13:Q14"/>
    <mergeCell ref="R13:R14"/>
    <mergeCell ref="CK11:CL12"/>
    <mergeCell ref="CM11:CM12"/>
    <mergeCell ref="BY11:BY12"/>
    <mergeCell ref="BZ11:BZ12"/>
    <mergeCell ref="CA11:CA12"/>
    <mergeCell ref="CB11:CB12"/>
    <mergeCell ref="CC11:CC12"/>
    <mergeCell ref="CD11:CD12"/>
    <mergeCell ref="BC14:BC15"/>
    <mergeCell ref="BD14:BD15"/>
    <mergeCell ref="BE14:BE15"/>
    <mergeCell ref="BF14:BF15"/>
    <mergeCell ref="CK15:CL16"/>
    <mergeCell ref="CM15:CM16"/>
    <mergeCell ref="BY15:BY16"/>
    <mergeCell ref="AL12:AO15"/>
    <mergeCell ref="AX12:BA15"/>
    <mergeCell ref="BI12:BM13"/>
    <mergeCell ref="BN12:BO13"/>
    <mergeCell ref="AD11:AD12"/>
    <mergeCell ref="AE11:AE12"/>
    <mergeCell ref="AF11:AF12"/>
    <mergeCell ref="AG11:AG12"/>
    <mergeCell ref="W11:W12"/>
    <mergeCell ref="X11:X12"/>
    <mergeCell ref="Y11:Y12"/>
    <mergeCell ref="Z11:AB12"/>
    <mergeCell ref="AC11:AC12"/>
    <mergeCell ref="X9:X10"/>
    <mergeCell ref="Y9:Y10"/>
    <mergeCell ref="CK9:CL10"/>
    <mergeCell ref="CM9:CM10"/>
    <mergeCell ref="BW11:BW12"/>
    <mergeCell ref="BX11:BX12"/>
    <mergeCell ref="CC9:CC10"/>
    <mergeCell ref="CD9:CD10"/>
    <mergeCell ref="CB13:CB14"/>
    <mergeCell ref="CC13:CC14"/>
    <mergeCell ref="CD13:CD14"/>
    <mergeCell ref="BX13:BX14"/>
    <mergeCell ref="CE13:CE14"/>
    <mergeCell ref="CF13:CH14"/>
    <mergeCell ref="BR13:BU14"/>
    <mergeCell ref="BV13:BV14"/>
    <mergeCell ref="BW13:BW14"/>
    <mergeCell ref="BR11:BU12"/>
    <mergeCell ref="BV11:BV12"/>
    <mergeCell ref="CE9:CE10"/>
    <mergeCell ref="CF9:CH10"/>
    <mergeCell ref="CI9:CI10"/>
    <mergeCell ref="CJ9:CJ10"/>
    <mergeCell ref="BW9:BW10"/>
    <mergeCell ref="CE11:CE12"/>
    <mergeCell ref="CF11:CH12"/>
    <mergeCell ref="CI11:CI12"/>
    <mergeCell ref="AG9:AG10"/>
    <mergeCell ref="AH9:AH10"/>
    <mergeCell ref="AI9:AI10"/>
    <mergeCell ref="BR9:BU10"/>
    <mergeCell ref="BV9:BV10"/>
    <mergeCell ref="Z9:AB10"/>
    <mergeCell ref="AC9:AC10"/>
    <mergeCell ref="AD9:AD10"/>
    <mergeCell ref="AE9:AE10"/>
    <mergeCell ref="C11:C12"/>
    <mergeCell ref="D11:F12"/>
    <mergeCell ref="G11:G12"/>
    <mergeCell ref="H11:H12"/>
    <mergeCell ref="I11:I12"/>
    <mergeCell ref="J11:J12"/>
    <mergeCell ref="K11:K12"/>
    <mergeCell ref="L11:L12"/>
    <mergeCell ref="M11:M12"/>
    <mergeCell ref="BI10:BM11"/>
    <mergeCell ref="BN10:BO11"/>
    <mergeCell ref="N11:N12"/>
    <mergeCell ref="O11:Q12"/>
    <mergeCell ref="R11:R12"/>
    <mergeCell ref="S11:S12"/>
    <mergeCell ref="T11:T12"/>
    <mergeCell ref="U11:U12"/>
    <mergeCell ref="C9:C10"/>
    <mergeCell ref="D9:F10"/>
    <mergeCell ref="G9:G10"/>
    <mergeCell ref="H9:H10"/>
    <mergeCell ref="I9:I10"/>
    <mergeCell ref="V11:V12"/>
    <mergeCell ref="CK7:CL8"/>
    <mergeCell ref="CM7:CM8"/>
    <mergeCell ref="T7:T8"/>
    <mergeCell ref="U7:U8"/>
    <mergeCell ref="V7:V8"/>
    <mergeCell ref="R9:R10"/>
    <mergeCell ref="S9:S10"/>
    <mergeCell ref="T9:T10"/>
    <mergeCell ref="U9:U10"/>
    <mergeCell ref="V9:V10"/>
    <mergeCell ref="W9:W10"/>
    <mergeCell ref="J9:J10"/>
    <mergeCell ref="K9:K10"/>
    <mergeCell ref="L9:L10"/>
    <mergeCell ref="M9:M10"/>
    <mergeCell ref="N9:N10"/>
    <mergeCell ref="O9:Q10"/>
    <mergeCell ref="W7:W8"/>
    <mergeCell ref="CC7:CC8"/>
    <mergeCell ref="CD7:CD8"/>
    <mergeCell ref="CE7:CE8"/>
    <mergeCell ref="CF7:CH8"/>
    <mergeCell ref="CI7:CI8"/>
    <mergeCell ref="CJ7:CJ8"/>
    <mergeCell ref="BW7:BW8"/>
    <mergeCell ref="BX7:BX8"/>
    <mergeCell ref="BY7:BY8"/>
    <mergeCell ref="BZ7:BZ8"/>
    <mergeCell ref="CA7:CA8"/>
    <mergeCell ref="CB7:CB8"/>
    <mergeCell ref="Z7:AB8"/>
    <mergeCell ref="AC7:AC8"/>
    <mergeCell ref="CD5:CD6"/>
    <mergeCell ref="AL6:AN8"/>
    <mergeCell ref="AO6:AQ8"/>
    <mergeCell ref="AR6:AT8"/>
    <mergeCell ref="AU6:AW8"/>
    <mergeCell ref="AX6:AZ8"/>
    <mergeCell ref="BA6:BC8"/>
    <mergeCell ref="BD6:BF8"/>
    <mergeCell ref="BI6:BM7"/>
    <mergeCell ref="AG5:AG6"/>
    <mergeCell ref="AI7:AI8"/>
    <mergeCell ref="BV7:BV8"/>
    <mergeCell ref="W5:W6"/>
    <mergeCell ref="X5:X6"/>
    <mergeCell ref="R5:R6"/>
    <mergeCell ref="C3:F6"/>
    <mergeCell ref="G3:M4"/>
    <mergeCell ref="AC5:AC6"/>
    <mergeCell ref="AD5:AD6"/>
    <mergeCell ref="AE5:AE6"/>
    <mergeCell ref="AF5:AF6"/>
    <mergeCell ref="C7:C8"/>
    <mergeCell ref="D7:F8"/>
    <mergeCell ref="G7:G8"/>
    <mergeCell ref="AD7:AD8"/>
    <mergeCell ref="AE7:AE8"/>
    <mergeCell ref="AF7:AF8"/>
    <mergeCell ref="AG7:AG8"/>
    <mergeCell ref="BI8:BM9"/>
    <mergeCell ref="BN8:BO9"/>
    <mergeCell ref="BX9:BX10"/>
    <mergeCell ref="AF9:AF10"/>
    <mergeCell ref="G5:G6"/>
    <mergeCell ref="H5:H6"/>
    <mergeCell ref="I5:I6"/>
    <mergeCell ref="J5:J6"/>
    <mergeCell ref="K5:K6"/>
    <mergeCell ref="L5:L6"/>
    <mergeCell ref="M5:M6"/>
    <mergeCell ref="X7:X8"/>
    <mergeCell ref="Y7:Y8"/>
    <mergeCell ref="L7:L8"/>
    <mergeCell ref="M7:M8"/>
    <mergeCell ref="N7:N8"/>
    <mergeCell ref="O7:Q8"/>
    <mergeCell ref="R7:R8"/>
    <mergeCell ref="BN3:BO4"/>
    <mergeCell ref="BR3:BU8"/>
    <mergeCell ref="BV3:BW4"/>
    <mergeCell ref="H7:H8"/>
    <mergeCell ref="I7:I8"/>
    <mergeCell ref="J7:J8"/>
    <mergeCell ref="K7:K8"/>
    <mergeCell ref="BX3:BY4"/>
    <mergeCell ref="BZ3:CA4"/>
    <mergeCell ref="CB3:CC4"/>
    <mergeCell ref="BY5:BY6"/>
    <mergeCell ref="BZ5:BZ6"/>
    <mergeCell ref="CA5:CA6"/>
    <mergeCell ref="CB5:CB6"/>
    <mergeCell ref="AR3:AT5"/>
    <mergeCell ref="AU3:AW5"/>
    <mergeCell ref="AX3:AZ5"/>
    <mergeCell ref="BA3:BC5"/>
    <mergeCell ref="BD3:BF5"/>
    <mergeCell ref="BI3:BM4"/>
    <mergeCell ref="S7:S8"/>
    <mergeCell ref="R3:X4"/>
    <mergeCell ref="AC3:AI4"/>
    <mergeCell ref="AL3:AN5"/>
    <mergeCell ref="AO3:AQ5"/>
    <mergeCell ref="S5:S6"/>
    <mergeCell ref="T5:T6"/>
    <mergeCell ref="U5:U6"/>
    <mergeCell ref="V5:V6"/>
    <mergeCell ref="AH5:AH6"/>
    <mergeCell ref="AI5:AI6"/>
    <mergeCell ref="BV5:BV6"/>
    <mergeCell ref="BW5:BW6"/>
    <mergeCell ref="BX5:BX6"/>
    <mergeCell ref="BN6:BO7"/>
    <mergeCell ref="AH7:AH8"/>
    <mergeCell ref="CC5:CC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8147-7955-364A-994B-6D7F5ABAEBDA}">
  <sheetPr>
    <tabColor rgb="FFFFFF00"/>
  </sheetPr>
  <dimension ref="A1:AD104"/>
  <sheetViews>
    <sheetView showGridLines="0" topLeftCell="A17" zoomScaleNormal="125" workbookViewId="0">
      <selection activeCell="C66" sqref="C66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30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02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RUSA</v>
      </c>
      <c r="Q3" s="309">
        <f>Z3</f>
        <v>19</v>
      </c>
      <c r="R3" s="310">
        <f>AA3-AA12</f>
        <v>7</v>
      </c>
      <c r="S3" s="310">
        <f t="shared" ref="S3:S8" si="0">AB3-AB12</f>
        <v>6</v>
      </c>
      <c r="T3" s="310">
        <f>SUM(R3:S3)</f>
        <v>13</v>
      </c>
      <c r="U3" s="252">
        <f>IFERROR(Q3*T3,"-")</f>
        <v>247</v>
      </c>
      <c r="Y3" s="302" t="str">
        <f>$P$27</f>
        <v>RUSA</v>
      </c>
      <c r="Z3" s="309">
        <f>Z35</f>
        <v>19</v>
      </c>
      <c r="AA3" s="310">
        <f>R27+1</f>
        <v>8</v>
      </c>
      <c r="AB3" s="310">
        <f>S27</f>
        <v>7</v>
      </c>
      <c r="AC3" s="310">
        <f>SUM(AA3:AB3)</f>
        <v>15</v>
      </c>
      <c r="AD3" s="252">
        <f>IFERROR(Z3*AC3,"-")</f>
        <v>285</v>
      </c>
    </row>
    <row r="4" spans="2:30" ht="15.75" thickBot="1">
      <c r="B4" s="63"/>
      <c r="C4" s="63"/>
      <c r="D4" s="63"/>
      <c r="P4" s="302" t="str">
        <f>$P$28</f>
        <v>MANOS</v>
      </c>
      <c r="Q4" s="309">
        <f t="shared" ref="Q4:Q6" si="1">Z4</f>
        <v>19</v>
      </c>
      <c r="R4" s="310">
        <f t="shared" ref="R4:R8" si="2">AA4-AA13</f>
        <v>6</v>
      </c>
      <c r="S4" s="310">
        <f t="shared" si="0"/>
        <v>7</v>
      </c>
      <c r="T4" s="310">
        <f t="shared" ref="T4:T8" si="3">SUM(R4:S4)</f>
        <v>13</v>
      </c>
      <c r="U4" s="252">
        <f t="shared" ref="U4:U8" si="4">IFERROR(Q4*T4,"-")</f>
        <v>247</v>
      </c>
      <c r="Y4" s="302" t="str">
        <f>$P$28</f>
        <v>MANOS</v>
      </c>
      <c r="Z4" s="309">
        <f>Z36</f>
        <v>19</v>
      </c>
      <c r="AA4" s="310">
        <f>R28</f>
        <v>7</v>
      </c>
      <c r="AB4" s="310">
        <f>S28+1</f>
        <v>8</v>
      </c>
      <c r="AC4" s="310">
        <f t="shared" ref="AC4:AC8" si="5">SUM(AA4:AB4)</f>
        <v>15</v>
      </c>
      <c r="AD4" s="252">
        <f t="shared" ref="AD4:AD8" si="6">IFERROR(Z4*AC4,"-")</f>
        <v>285</v>
      </c>
    </row>
    <row r="5" spans="2:30" ht="15.75" thickBot="1">
      <c r="B5" s="63"/>
      <c r="C5" s="300" t="s">
        <v>122</v>
      </c>
      <c r="D5" s="301" t="s">
        <v>123</v>
      </c>
      <c r="P5" s="302">
        <f>$P$29</f>
        <v>0</v>
      </c>
      <c r="Q5" s="309">
        <f t="shared" si="1"/>
        <v>0</v>
      </c>
      <c r="R5" s="310">
        <f t="shared" si="2"/>
        <v>0</v>
      </c>
      <c r="S5" s="310">
        <f t="shared" si="0"/>
        <v>0</v>
      </c>
      <c r="T5" s="310">
        <f t="shared" si="3"/>
        <v>0</v>
      </c>
      <c r="U5" s="252">
        <f t="shared" si="4"/>
        <v>0</v>
      </c>
      <c r="Y5" s="302">
        <f>$P$29</f>
        <v>0</v>
      </c>
      <c r="Z5" s="309">
        <f>Z37</f>
        <v>0</v>
      </c>
      <c r="AA5" s="310">
        <f>R29</f>
        <v>0</v>
      </c>
      <c r="AB5" s="310">
        <f>S29</f>
        <v>0</v>
      </c>
      <c r="AC5" s="310">
        <f t="shared" si="5"/>
        <v>0</v>
      </c>
      <c r="AD5" s="252">
        <f t="shared" si="6"/>
        <v>0</v>
      </c>
    </row>
    <row r="6" spans="2:30">
      <c r="B6" s="270" t="s">
        <v>98</v>
      </c>
      <c r="C6" s="266">
        <f>U9</f>
        <v>494</v>
      </c>
      <c r="D6" s="267">
        <f>SUM(L27:$L$61)</f>
        <v>494</v>
      </c>
      <c r="P6" s="302">
        <f>$P$30</f>
        <v>0</v>
      </c>
      <c r="Q6" s="309">
        <f t="shared" si="1"/>
        <v>0</v>
      </c>
      <c r="R6" s="310">
        <f t="shared" si="2"/>
        <v>0</v>
      </c>
      <c r="S6" s="310">
        <f t="shared" si="0"/>
        <v>0</v>
      </c>
      <c r="T6" s="310">
        <f t="shared" si="3"/>
        <v>0</v>
      </c>
      <c r="U6" s="252">
        <f t="shared" si="4"/>
        <v>0</v>
      </c>
      <c r="Y6" s="302">
        <f>$P$30</f>
        <v>0</v>
      </c>
      <c r="Z6" s="309">
        <f>Z38</f>
        <v>0</v>
      </c>
      <c r="AA6" s="310">
        <f>R30</f>
        <v>0</v>
      </c>
      <c r="AB6" s="310">
        <f>S30</f>
        <v>0</v>
      </c>
      <c r="AC6" s="310">
        <f t="shared" si="5"/>
        <v>0</v>
      </c>
      <c r="AD6" s="252">
        <f t="shared" si="6"/>
        <v>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23">
        <f t="shared" si="6"/>
        <v>0</v>
      </c>
    </row>
    <row r="8" spans="2:30" ht="15.75" thickBot="1">
      <c r="B8" s="273" t="s">
        <v>125</v>
      </c>
      <c r="C8" s="257">
        <f>SUM(C6:C7)</f>
        <v>494</v>
      </c>
      <c r="D8" s="258">
        <f>SUM(D6:D7)</f>
        <v>494</v>
      </c>
      <c r="P8" s="279"/>
      <c r="Q8" s="312"/>
      <c r="R8" s="312">
        <f t="shared" si="2"/>
        <v>0</v>
      </c>
      <c r="S8" s="312">
        <f t="shared" si="0"/>
        <v>0</v>
      </c>
      <c r="T8" s="312">
        <f t="shared" si="3"/>
        <v>0</v>
      </c>
      <c r="U8" s="324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324">
        <f t="shared" si="6"/>
        <v>0</v>
      </c>
    </row>
    <row r="9" spans="2:30" ht="15.75" thickBot="1">
      <c r="B9" s="272" t="s">
        <v>126</v>
      </c>
      <c r="C9" s="259">
        <f>-$W$52</f>
        <v>-118</v>
      </c>
      <c r="D9" s="260">
        <f>C9</f>
        <v>-118</v>
      </c>
      <c r="P9" s="305" t="s">
        <v>127</v>
      </c>
      <c r="Q9" s="306"/>
      <c r="R9" s="306"/>
      <c r="S9" s="321"/>
      <c r="T9" s="333">
        <f>SUM(T3:T8)</f>
        <v>26</v>
      </c>
      <c r="U9" s="307">
        <f>SUM(U3:U8)</f>
        <v>494</v>
      </c>
      <c r="Y9" s="305" t="s">
        <v>142</v>
      </c>
      <c r="Z9" s="306"/>
      <c r="AA9" s="306"/>
      <c r="AB9" s="321"/>
      <c r="AC9" s="333">
        <f>SUM(AC3:AC8)</f>
        <v>30</v>
      </c>
      <c r="AD9" s="307">
        <f>SUM(AD3:AD8)</f>
        <v>570</v>
      </c>
    </row>
    <row r="10" spans="2:30" ht="15.75" thickBot="1">
      <c r="B10" s="272" t="s">
        <v>128</v>
      </c>
      <c r="C10" s="259">
        <f>-$U$61</f>
        <v>-93.17</v>
      </c>
      <c r="D10" s="260">
        <f>C10</f>
        <v>-93.17</v>
      </c>
    </row>
    <row r="11" spans="2:30" ht="15.75" thickBot="1">
      <c r="B11" s="272" t="s">
        <v>130</v>
      </c>
      <c r="C11" s="259">
        <v>0</v>
      </c>
      <c r="D11" s="260"/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/>
      <c r="C12" s="259"/>
      <c r="D12" s="260"/>
      <c r="Y12" s="302" t="str">
        <f>$P$27</f>
        <v>RUSA</v>
      </c>
      <c r="Z12" s="309">
        <f>AA35</f>
        <v>-7.8442857142857143</v>
      </c>
      <c r="AA12" s="359">
        <v>1</v>
      </c>
      <c r="AB12" s="359">
        <v>1</v>
      </c>
      <c r="AC12" s="310">
        <f>SUM(AA12:AB12)</f>
        <v>2</v>
      </c>
      <c r="AD12" s="252">
        <f>IFERROR(Z12*AC12,"-")</f>
        <v>-15.688571428571429</v>
      </c>
    </row>
    <row r="13" spans="2:30">
      <c r="B13" s="271"/>
      <c r="C13" s="255"/>
      <c r="D13" s="256"/>
      <c r="Y13" s="302" t="str">
        <f>$P$28</f>
        <v>MANOS</v>
      </c>
      <c r="Z13" s="309">
        <f>AA36</f>
        <v>-7.2392857142857139</v>
      </c>
      <c r="AA13" s="359">
        <v>1</v>
      </c>
      <c r="AB13" s="359">
        <v>1</v>
      </c>
      <c r="AC13" s="310">
        <f t="shared" ref="AC13:AC17" si="7">SUM(AA13:AB13)</f>
        <v>2</v>
      </c>
      <c r="AD13" s="252">
        <f t="shared" ref="AD13:AD17" si="8">IFERROR(Z13*AC13,"-")</f>
        <v>-14.478571428571428</v>
      </c>
    </row>
    <row r="14" spans="2:30">
      <c r="B14" s="273" t="s">
        <v>133</v>
      </c>
      <c r="C14" s="257">
        <f>SUM(C9:C13)</f>
        <v>-211.17000000000002</v>
      </c>
      <c r="D14" s="258">
        <f>SUM(D9:D13)</f>
        <v>-211.17000000000002</v>
      </c>
      <c r="Y14" s="302">
        <f>$P$29</f>
        <v>0</v>
      </c>
      <c r="Z14" s="309">
        <f>AA37</f>
        <v>-5.4285714285714284E-2</v>
      </c>
      <c r="AA14" s="359"/>
      <c r="AB14" s="359"/>
      <c r="AC14" s="310">
        <f t="shared" si="7"/>
        <v>0</v>
      </c>
      <c r="AD14" s="252">
        <f t="shared" si="8"/>
        <v>0</v>
      </c>
    </row>
    <row r="15" spans="2:30" ht="15.75" thickBot="1">
      <c r="B15" s="274"/>
      <c r="C15" s="261"/>
      <c r="D15" s="262"/>
      <c r="Y15" s="302">
        <f>$P$30</f>
        <v>0</v>
      </c>
      <c r="Z15" s="309">
        <f>AA38</f>
        <v>-5.4285714285714284E-2</v>
      </c>
      <c r="AA15" s="359"/>
      <c r="AB15" s="359"/>
      <c r="AC15" s="310">
        <f t="shared" si="7"/>
        <v>0</v>
      </c>
      <c r="AD15" s="252">
        <f t="shared" si="8"/>
        <v>0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23">
        <f t="shared" si="8"/>
        <v>0</v>
      </c>
    </row>
    <row r="17" spans="1:30" ht="15.75" thickBot="1">
      <c r="B17" s="275" t="s">
        <v>110</v>
      </c>
      <c r="C17" s="263">
        <f>C8+C14</f>
        <v>282.83</v>
      </c>
      <c r="D17" s="264">
        <f>D8+D14</f>
        <v>282.83</v>
      </c>
      <c r="Y17" s="279"/>
      <c r="Z17" s="312"/>
      <c r="AA17" s="360"/>
      <c r="AB17" s="360"/>
      <c r="AC17" s="312">
        <f t="shared" si="7"/>
        <v>0</v>
      </c>
      <c r="AD17" s="324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4</v>
      </c>
      <c r="AD18" s="307">
        <f>SUM(AD12:AD17)</f>
        <v>-30.167142857142856</v>
      </c>
    </row>
    <row r="19" spans="1:30">
      <c r="B19" t="s">
        <v>135</v>
      </c>
      <c r="C19" s="198">
        <f>IFERROR(ABS($C$9/$C$8),"-")</f>
        <v>0.23886639676113361</v>
      </c>
      <c r="D19" s="198">
        <f>IFERROR(ABS($D$10/$D$8),"-")</f>
        <v>0.18860323886639677</v>
      </c>
    </row>
    <row r="20" spans="1:30">
      <c r="B20" t="s">
        <v>114</v>
      </c>
      <c r="C20" s="198">
        <f>IFERROR(ABS($C$14/$C$8),"-")</f>
        <v>0.42746963562753038</v>
      </c>
      <c r="D20" s="198">
        <f>IFERROR(ABS($D$14/$D$8),"-")</f>
        <v>0.42746963562753038</v>
      </c>
    </row>
    <row r="21" spans="1:30" ht="15.75" thickBot="1"/>
    <row r="22" spans="1:30">
      <c r="C22" s="835" t="str">
        <f>$P$27</f>
        <v>RUSA</v>
      </c>
      <c r="D22" s="422"/>
      <c r="E22" s="836" t="str">
        <f>$P$28</f>
        <v>MANOS</v>
      </c>
      <c r="F22" s="837"/>
      <c r="G22" s="838">
        <f>$P$29</f>
        <v>0</v>
      </c>
      <c r="H22" s="839"/>
      <c r="I22" s="838">
        <f>$P$30</f>
        <v>0</v>
      </c>
      <c r="J22" s="408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78">
        <f>SUM(C27:C61)</f>
        <v>7</v>
      </c>
      <c r="D24" s="249">
        <f t="shared" ref="D24:J24" si="9">SUM(D27:D61)</f>
        <v>6</v>
      </c>
      <c r="E24" s="286">
        <f t="shared" si="9"/>
        <v>6</v>
      </c>
      <c r="F24" s="249">
        <f t="shared" si="9"/>
        <v>7</v>
      </c>
      <c r="G24" s="284">
        <f t="shared" si="9"/>
        <v>0</v>
      </c>
      <c r="H24" s="248">
        <f t="shared" si="9"/>
        <v>0</v>
      </c>
      <c r="I24" s="284">
        <f t="shared" si="9"/>
        <v>0</v>
      </c>
      <c r="J24" s="246">
        <f t="shared" si="9"/>
        <v>0</v>
      </c>
      <c r="K24" s="322">
        <f>SUM(C24:J24)</f>
        <v>26</v>
      </c>
      <c r="L24" s="276">
        <f>K24-SUM(K27:K61)</f>
        <v>0</v>
      </c>
    </row>
    <row r="25" spans="1:30" ht="15.75" thickBot="1">
      <c r="B25" s="279" t="s">
        <v>137</v>
      </c>
      <c r="C25" s="373">
        <f>R3-C24</f>
        <v>0</v>
      </c>
      <c r="D25" s="291">
        <f t="shared" ref="D25" si="10">S3-D24</f>
        <v>0</v>
      </c>
      <c r="E25" s="290">
        <f>R4-E24</f>
        <v>0</v>
      </c>
      <c r="F25" s="374">
        <f>S4-F24</f>
        <v>0</v>
      </c>
      <c r="G25" s="290">
        <f>R5-G24</f>
        <v>0</v>
      </c>
      <c r="H25" s="291">
        <f>S5-H24</f>
        <v>0</v>
      </c>
      <c r="I25" s="290">
        <f>R6-I24</f>
        <v>0</v>
      </c>
      <c r="J25" s="292">
        <f>S6-J24</f>
        <v>0</v>
      </c>
      <c r="K25" s="247">
        <f>SUM(C25:J25)</f>
        <v>0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>
      <c r="A27">
        <v>1</v>
      </c>
      <c r="B27" s="339" t="s">
        <v>33</v>
      </c>
      <c r="C27" s="340"/>
      <c r="D27" s="341"/>
      <c r="E27" s="340"/>
      <c r="F27" s="341">
        <v>1</v>
      </c>
      <c r="G27" s="340"/>
      <c r="H27" s="341"/>
      <c r="I27" s="340"/>
      <c r="J27" s="342"/>
      <c r="K27" s="334">
        <f>SUM(C27:J27)</f>
        <v>1</v>
      </c>
      <c r="L27" s="254">
        <f>IFERROR(((C27+D27)*$Q$3)+((E27+F27)*$Q$4)+((G27+H27)*$Q$5)+((I27+J27)*$Q$6),"-")</f>
        <v>19</v>
      </c>
      <c r="M27" s="351"/>
      <c r="P27" s="354" t="s">
        <v>370</v>
      </c>
      <c r="Q27" s="355">
        <v>4.16</v>
      </c>
      <c r="R27" s="356">
        <v>7</v>
      </c>
      <c r="S27" s="356">
        <v>7</v>
      </c>
      <c r="T27" s="311">
        <f>R27+S27</f>
        <v>14</v>
      </c>
      <c r="U27" s="332">
        <f>IFERROR($W$36/$T$33,"-")</f>
        <v>5.4285714285714284E-2</v>
      </c>
      <c r="V27" s="375">
        <f>IFERROR(Q27+U27,"-")</f>
        <v>4.2142857142857144</v>
      </c>
      <c r="W27" s="251">
        <f>IFERROR(T27*V27,"-")</f>
        <v>59</v>
      </c>
      <c r="Y27" s="302" t="str">
        <f>$P$27</f>
        <v>RUSA</v>
      </c>
      <c r="Z27" s="316">
        <f>V27</f>
        <v>4.2142857142857144</v>
      </c>
      <c r="AA27" s="309">
        <f>T55</f>
        <v>3.63</v>
      </c>
      <c r="AB27" s="309"/>
      <c r="AC27" s="252">
        <f>SUM(Z27:AB27)</f>
        <v>7.8442857142857143</v>
      </c>
    </row>
    <row r="28" spans="1:30">
      <c r="A28">
        <v>2</v>
      </c>
      <c r="B28" s="343" t="s">
        <v>12</v>
      </c>
      <c r="C28" s="344"/>
      <c r="D28" s="345">
        <v>1</v>
      </c>
      <c r="E28" s="344"/>
      <c r="F28" s="345">
        <v>1</v>
      </c>
      <c r="G28" s="344"/>
      <c r="H28" s="345"/>
      <c r="I28" s="344"/>
      <c r="J28" s="346"/>
      <c r="K28" s="335">
        <f t="shared" ref="K28:K61" si="11">SUM(C28:J28)</f>
        <v>2</v>
      </c>
      <c r="L28" s="259">
        <f t="shared" ref="L28:L61" si="12">IFERROR(((C28+D28)*$Q$3)+((E28+F28)*$Q$4)+((G28+H28)*$Q$5)+((I28+J28)*$Q$6),"-")</f>
        <v>38</v>
      </c>
      <c r="M28" s="352"/>
      <c r="P28" s="357" t="s">
        <v>371</v>
      </c>
      <c r="Q28" s="358">
        <v>4.16</v>
      </c>
      <c r="R28" s="359">
        <v>7</v>
      </c>
      <c r="S28" s="359">
        <v>7</v>
      </c>
      <c r="T28" s="310">
        <f t="shared" ref="T28:T32" si="13">R28+S28</f>
        <v>14</v>
      </c>
      <c r="U28" s="309">
        <f>IFERROR($W$36/$T$33,"-")</f>
        <v>5.4285714285714284E-2</v>
      </c>
      <c r="V28" s="309">
        <f>IFERROR(Q28+U28,"-")</f>
        <v>4.2142857142857144</v>
      </c>
      <c r="W28" s="252">
        <f t="shared" ref="W28:W32" si="14">IFERROR(T28*V28,"-")</f>
        <v>59</v>
      </c>
      <c r="Y28" s="302" t="str">
        <f>$P$28</f>
        <v>MANOS</v>
      </c>
      <c r="Z28" s="316">
        <f>V28</f>
        <v>4.2142857142857144</v>
      </c>
      <c r="AA28" s="309">
        <f>T56</f>
        <v>3.0249999999999999</v>
      </c>
      <c r="AB28" s="309"/>
      <c r="AC28" s="252">
        <f t="shared" ref="AC28:AC32" si="15">SUM(Z28:AB28)</f>
        <v>7.2392857142857139</v>
      </c>
    </row>
    <row r="29" spans="1:30">
      <c r="A29">
        <v>3</v>
      </c>
      <c r="B29" s="343" t="s">
        <v>53</v>
      </c>
      <c r="C29" s="344"/>
      <c r="D29" s="345"/>
      <c r="E29" s="344"/>
      <c r="F29" s="345">
        <v>1</v>
      </c>
      <c r="G29" s="344"/>
      <c r="H29" s="345"/>
      <c r="I29" s="344"/>
      <c r="J29" s="346"/>
      <c r="K29" s="335">
        <f t="shared" si="11"/>
        <v>1</v>
      </c>
      <c r="L29" s="259">
        <f t="shared" si="12"/>
        <v>19</v>
      </c>
      <c r="M29" s="352"/>
      <c r="P29" s="357"/>
      <c r="Q29" s="358"/>
      <c r="R29" s="359"/>
      <c r="S29" s="359"/>
      <c r="T29" s="310">
        <f t="shared" si="13"/>
        <v>0</v>
      </c>
      <c r="U29" s="309">
        <f>IFERROR($W$36/$T$33,"-")</f>
        <v>5.4285714285714284E-2</v>
      </c>
      <c r="V29" s="309">
        <f>IFERROR(Q29+U29,"-")</f>
        <v>5.4285714285714284E-2</v>
      </c>
      <c r="W29" s="252">
        <f t="shared" si="14"/>
        <v>0</v>
      </c>
      <c r="Y29" s="302">
        <f>$P$29</f>
        <v>0</v>
      </c>
      <c r="Z29" s="316">
        <f>V29</f>
        <v>5.4285714285714284E-2</v>
      </c>
      <c r="AA29" s="309" t="str">
        <f>T57</f>
        <v>-</v>
      </c>
      <c r="AB29" s="309"/>
      <c r="AC29" s="252">
        <f t="shared" si="15"/>
        <v>5.4285714285714284E-2</v>
      </c>
    </row>
    <row r="30" spans="1:30">
      <c r="A30">
        <f>A29+1</f>
        <v>4</v>
      </c>
      <c r="B30" s="343" t="s">
        <v>37</v>
      </c>
      <c r="C30" s="344">
        <v>1</v>
      </c>
      <c r="D30" s="345"/>
      <c r="E30" s="344">
        <v>1</v>
      </c>
      <c r="F30" s="345"/>
      <c r="G30" s="344"/>
      <c r="H30" s="345"/>
      <c r="I30" s="344"/>
      <c r="J30" s="346"/>
      <c r="K30" s="335">
        <f t="shared" si="11"/>
        <v>2</v>
      </c>
      <c r="L30" s="259">
        <f t="shared" si="12"/>
        <v>38</v>
      </c>
      <c r="M30" s="352"/>
      <c r="P30" s="357"/>
      <c r="Q30" s="358"/>
      <c r="R30" s="359"/>
      <c r="S30" s="359"/>
      <c r="T30" s="310">
        <f t="shared" si="13"/>
        <v>0</v>
      </c>
      <c r="U30" s="309">
        <f>IFERROR($W$36/$T$33,"-")</f>
        <v>5.4285714285714284E-2</v>
      </c>
      <c r="V30" s="309">
        <f>IFERROR(Q30+U30,"-")</f>
        <v>5.4285714285714284E-2</v>
      </c>
      <c r="W30" s="252">
        <f t="shared" si="14"/>
        <v>0</v>
      </c>
      <c r="Y30" s="302">
        <f>$P$30</f>
        <v>0</v>
      </c>
      <c r="Z30" s="316">
        <f>V30</f>
        <v>5.4285714285714284E-2</v>
      </c>
      <c r="AA30" s="320" t="str">
        <f>T58</f>
        <v>-</v>
      </c>
      <c r="AB30" s="320"/>
      <c r="AC30" s="252">
        <f>SUM(Z30:AB30)</f>
        <v>5.4285714285714284E-2</v>
      </c>
    </row>
    <row r="31" spans="1:30">
      <c r="A31">
        <f t="shared" ref="A31:A61" si="16">A30+1</f>
        <v>5</v>
      </c>
      <c r="B31" s="343" t="s">
        <v>32</v>
      </c>
      <c r="C31" s="344"/>
      <c r="D31" s="345">
        <v>1</v>
      </c>
      <c r="E31" s="344"/>
      <c r="F31" s="345"/>
      <c r="G31" s="344"/>
      <c r="H31" s="345"/>
      <c r="I31" s="344"/>
      <c r="J31" s="346"/>
      <c r="K31" s="335">
        <f t="shared" si="11"/>
        <v>1</v>
      </c>
      <c r="L31" s="259">
        <f t="shared" si="12"/>
        <v>19</v>
      </c>
      <c r="M31" s="352"/>
      <c r="P31" s="343"/>
      <c r="Q31" s="359"/>
      <c r="R31" s="359"/>
      <c r="S31" s="359"/>
      <c r="T31" s="310">
        <f t="shared" si="13"/>
        <v>0</v>
      </c>
      <c r="U31" s="309"/>
      <c r="V31" s="309">
        <f>IFERROR(Q31+U31,"-")</f>
        <v>0</v>
      </c>
      <c r="W31" s="252">
        <f t="shared" si="14"/>
        <v>0</v>
      </c>
      <c r="Y31" s="278"/>
      <c r="Z31" s="310"/>
      <c r="AA31" s="317"/>
      <c r="AB31" s="317"/>
      <c r="AC31" s="323">
        <f t="shared" si="15"/>
        <v>0</v>
      </c>
    </row>
    <row r="32" spans="1:30" ht="15.75" thickBot="1">
      <c r="A32">
        <f t="shared" si="16"/>
        <v>6</v>
      </c>
      <c r="B32" s="343" t="s">
        <v>61</v>
      </c>
      <c r="C32" s="344"/>
      <c r="D32" s="345"/>
      <c r="E32" s="344"/>
      <c r="F32" s="345">
        <v>1</v>
      </c>
      <c r="G32" s="344"/>
      <c r="H32" s="345"/>
      <c r="I32" s="344"/>
      <c r="J32" s="346"/>
      <c r="K32" s="335">
        <f t="shared" si="11"/>
        <v>1</v>
      </c>
      <c r="L32" s="259">
        <f t="shared" si="12"/>
        <v>19</v>
      </c>
      <c r="M32" s="352"/>
      <c r="P32" s="347"/>
      <c r="Q32" s="360"/>
      <c r="R32" s="360"/>
      <c r="S32" s="360"/>
      <c r="T32" s="312">
        <f t="shared" si="13"/>
        <v>0</v>
      </c>
      <c r="U32" s="328"/>
      <c r="V32" s="328">
        <f>IFERROR(Q32+U32,"-")</f>
        <v>0</v>
      </c>
      <c r="W32" s="253">
        <f t="shared" si="14"/>
        <v>0</v>
      </c>
      <c r="Y32" s="279"/>
      <c r="Z32" s="312"/>
      <c r="AA32" s="319"/>
      <c r="AB32" s="319"/>
      <c r="AC32" s="324">
        <f t="shared" si="15"/>
        <v>0</v>
      </c>
    </row>
    <row r="33" spans="1:29" ht="15.75" thickBot="1">
      <c r="A33">
        <f t="shared" si="16"/>
        <v>7</v>
      </c>
      <c r="B33" s="343" t="s">
        <v>52</v>
      </c>
      <c r="C33" s="344">
        <v>1</v>
      </c>
      <c r="D33" s="345"/>
      <c r="E33" s="344"/>
      <c r="F33" s="345"/>
      <c r="G33" s="344"/>
      <c r="H33" s="345"/>
      <c r="I33" s="344"/>
      <c r="J33" s="346"/>
      <c r="K33" s="335">
        <f t="shared" si="11"/>
        <v>1</v>
      </c>
      <c r="L33" s="259">
        <f t="shared" si="12"/>
        <v>19</v>
      </c>
      <c r="M33" s="352"/>
      <c r="P33" s="313" t="s">
        <v>113</v>
      </c>
      <c r="Q33" s="308"/>
      <c r="R33" s="308"/>
      <c r="S33" s="308"/>
      <c r="T33" s="308">
        <f>SUM(T27:T32)</f>
        <v>28</v>
      </c>
      <c r="U33" s="329"/>
      <c r="V33" s="308"/>
      <c r="W33" s="314">
        <f>SUM(W27:W32)</f>
        <v>118</v>
      </c>
    </row>
    <row r="34" spans="1:29" ht="15.75" thickBot="1">
      <c r="A34">
        <f t="shared" si="16"/>
        <v>8</v>
      </c>
      <c r="B34" s="343" t="s">
        <v>35</v>
      </c>
      <c r="C34" s="344">
        <v>1</v>
      </c>
      <c r="D34" s="345"/>
      <c r="E34" s="344">
        <v>1</v>
      </c>
      <c r="F34" s="345"/>
      <c r="G34" s="344"/>
      <c r="H34" s="345"/>
      <c r="I34" s="344"/>
      <c r="J34" s="346"/>
      <c r="K34" s="335">
        <f t="shared" si="11"/>
        <v>2</v>
      </c>
      <c r="L34" s="259">
        <f t="shared" si="12"/>
        <v>38</v>
      </c>
      <c r="M34" s="352"/>
      <c r="P34" s="357" t="s">
        <v>129</v>
      </c>
      <c r="Q34" s="361"/>
      <c r="R34" s="361"/>
      <c r="S34" s="361"/>
      <c r="T34" s="361"/>
      <c r="U34" s="361"/>
      <c r="V34" s="361"/>
      <c r="W34" s="362"/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>
      <c r="A35">
        <f t="shared" si="16"/>
        <v>9</v>
      </c>
      <c r="B35" s="343" t="s">
        <v>88</v>
      </c>
      <c r="C35" s="344">
        <v>1</v>
      </c>
      <c r="D35" s="345"/>
      <c r="E35" s="344"/>
      <c r="F35" s="345"/>
      <c r="G35" s="344"/>
      <c r="H35" s="345"/>
      <c r="I35" s="344"/>
      <c r="J35" s="346"/>
      <c r="K35" s="335">
        <f t="shared" si="11"/>
        <v>1</v>
      </c>
      <c r="L35" s="259">
        <f t="shared" si="12"/>
        <v>19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f>1.52</f>
        <v>1.52</v>
      </c>
      <c r="Y35" s="302" t="str">
        <f>$P$27</f>
        <v>RUSA</v>
      </c>
      <c r="Z35" s="363">
        <v>19</v>
      </c>
      <c r="AA35" s="309">
        <f>-AC27</f>
        <v>-7.8442857142857143</v>
      </c>
      <c r="AB35" s="309">
        <f>SUM(Z35:AA35)</f>
        <v>11.155714285714286</v>
      </c>
      <c r="AC35" s="330">
        <f>AB35/Z35</f>
        <v>0.58714285714285719</v>
      </c>
    </row>
    <row r="36" spans="1:29" ht="15.75" thickBot="1">
      <c r="A36">
        <f t="shared" si="16"/>
        <v>10</v>
      </c>
      <c r="B36" s="343" t="s">
        <v>46</v>
      </c>
      <c r="C36" s="344"/>
      <c r="D36" s="345">
        <v>1</v>
      </c>
      <c r="E36" s="344"/>
      <c r="F36" s="345"/>
      <c r="G36" s="344"/>
      <c r="H36" s="345"/>
      <c r="I36" s="344"/>
      <c r="J36" s="346"/>
      <c r="K36" s="335">
        <f t="shared" si="11"/>
        <v>1</v>
      </c>
      <c r="L36" s="259">
        <f t="shared" si="12"/>
        <v>19</v>
      </c>
      <c r="M36" s="352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1.52</v>
      </c>
      <c r="Y36" s="302" t="str">
        <f>$P$28</f>
        <v>MANOS</v>
      </c>
      <c r="Z36" s="363">
        <v>19</v>
      </c>
      <c r="AA36" s="309">
        <f>-AC28</f>
        <v>-7.2392857142857139</v>
      </c>
      <c r="AB36" s="309">
        <f t="shared" ref="AB36:AB38" si="17">SUM(Z36:AA36)</f>
        <v>11.760714285714286</v>
      </c>
      <c r="AC36" s="330">
        <f t="shared" ref="AC36:AC38" si="18">AB36/Z36</f>
        <v>0.61898496240601508</v>
      </c>
    </row>
    <row r="37" spans="1:29" ht="15.75" thickBot="1">
      <c r="A37">
        <f t="shared" si="16"/>
        <v>11</v>
      </c>
      <c r="B37" s="343" t="s">
        <v>42</v>
      </c>
      <c r="C37" s="344"/>
      <c r="D37" s="345"/>
      <c r="E37" s="344">
        <v>1</v>
      </c>
      <c r="F37" s="345"/>
      <c r="G37" s="344"/>
      <c r="H37" s="345"/>
      <c r="I37" s="344"/>
      <c r="J37" s="346"/>
      <c r="K37" s="335">
        <f t="shared" si="11"/>
        <v>1</v>
      </c>
      <c r="L37" s="259">
        <f t="shared" si="12"/>
        <v>19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118</v>
      </c>
      <c r="Y37" s="302">
        <f>$P$29</f>
        <v>0</v>
      </c>
      <c r="Z37" s="363"/>
      <c r="AA37" s="309">
        <f>-AC29</f>
        <v>-5.4285714285714284E-2</v>
      </c>
      <c r="AB37" s="309">
        <f t="shared" si="17"/>
        <v>-5.4285714285714284E-2</v>
      </c>
      <c r="AC37" s="330" t="e">
        <f t="shared" si="18"/>
        <v>#DIV/0!</v>
      </c>
    </row>
    <row r="38" spans="1:29" ht="15.75" thickBot="1">
      <c r="A38">
        <f t="shared" si="16"/>
        <v>12</v>
      </c>
      <c r="B38" s="343" t="s">
        <v>64</v>
      </c>
      <c r="C38" s="344">
        <v>1</v>
      </c>
      <c r="D38" s="345"/>
      <c r="E38" s="344"/>
      <c r="F38" s="345"/>
      <c r="G38" s="344"/>
      <c r="H38" s="345"/>
      <c r="I38" s="344"/>
      <c r="J38" s="346"/>
      <c r="K38" s="335">
        <f t="shared" si="11"/>
        <v>1</v>
      </c>
      <c r="L38" s="259">
        <f t="shared" si="12"/>
        <v>19</v>
      </c>
      <c r="M38" s="352"/>
      <c r="W38" s="276">
        <f>Q27*T27+Q28*T28+Q29*T29+Q30*T30+Q31*T31+Q32*T32+W36-W37</f>
        <v>0</v>
      </c>
      <c r="Y38" s="302">
        <f>$P$30</f>
        <v>0</v>
      </c>
      <c r="Z38" s="363"/>
      <c r="AA38" s="320">
        <f>-AC30</f>
        <v>-5.4285714285714284E-2</v>
      </c>
      <c r="AB38" s="320">
        <f t="shared" si="17"/>
        <v>-5.4285714285714284E-2</v>
      </c>
      <c r="AC38" s="330" t="e">
        <f t="shared" si="18"/>
        <v>#DIV/0!</v>
      </c>
    </row>
    <row r="39" spans="1:29" ht="15.75" thickBot="1">
      <c r="A39">
        <f t="shared" si="16"/>
        <v>13</v>
      </c>
      <c r="B39" s="343" t="s">
        <v>44</v>
      </c>
      <c r="C39" s="344">
        <v>1</v>
      </c>
      <c r="D39" s="345"/>
      <c r="E39" s="344"/>
      <c r="F39" s="345"/>
      <c r="G39" s="344"/>
      <c r="H39" s="345"/>
      <c r="I39" s="344"/>
      <c r="J39" s="346"/>
      <c r="K39" s="335">
        <f t="shared" si="11"/>
        <v>1</v>
      </c>
      <c r="L39" s="259">
        <f t="shared" si="12"/>
        <v>19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5.75" thickBot="1">
      <c r="A40">
        <f t="shared" si="16"/>
        <v>14</v>
      </c>
      <c r="B40" s="343" t="s">
        <v>73</v>
      </c>
      <c r="C40" s="344"/>
      <c r="D40" s="345">
        <v>1</v>
      </c>
      <c r="E40" s="344"/>
      <c r="F40" s="345">
        <v>1</v>
      </c>
      <c r="G40" s="344"/>
      <c r="H40" s="345"/>
      <c r="I40" s="344"/>
      <c r="J40" s="346"/>
      <c r="K40" s="335">
        <f t="shared" si="11"/>
        <v>2</v>
      </c>
      <c r="L40" s="259">
        <f t="shared" si="12"/>
        <v>38</v>
      </c>
      <c r="M40" s="352"/>
      <c r="P40" s="357"/>
      <c r="Q40" s="358"/>
      <c r="R40" s="356"/>
      <c r="S40" s="356"/>
      <c r="T40" s="311">
        <f>SUM(R40:S40)</f>
        <v>0</v>
      </c>
      <c r="U40" s="316" t="str">
        <f>IFERROR($W$49/$T$46,"-")</f>
        <v>-</v>
      </c>
      <c r="V40" s="376" t="str">
        <f>IFERROR(Q40+U40,"-")</f>
        <v>-</v>
      </c>
      <c r="W40" s="252" t="str">
        <f>IFERROR(T40*V40,"-")</f>
        <v>-</v>
      </c>
      <c r="Y40" s="279"/>
      <c r="Z40" s="360"/>
      <c r="AA40" s="319"/>
      <c r="AB40" s="319"/>
      <c r="AC40" s="205"/>
    </row>
    <row r="41" spans="1:29">
      <c r="A41">
        <f t="shared" si="16"/>
        <v>15</v>
      </c>
      <c r="B41" s="343" t="s">
        <v>34</v>
      </c>
      <c r="C41" s="344"/>
      <c r="D41" s="345">
        <v>1</v>
      </c>
      <c r="E41" s="344"/>
      <c r="F41" s="345">
        <v>1</v>
      </c>
      <c r="G41" s="344"/>
      <c r="H41" s="345"/>
      <c r="I41" s="344"/>
      <c r="J41" s="346"/>
      <c r="K41" s="335">
        <f t="shared" si="11"/>
        <v>2</v>
      </c>
      <c r="L41" s="259">
        <f t="shared" si="12"/>
        <v>38</v>
      </c>
      <c r="M41" s="352"/>
      <c r="P41" s="357"/>
      <c r="Q41" s="358"/>
      <c r="R41" s="359"/>
      <c r="S41" s="359"/>
      <c r="T41" s="310">
        <f t="shared" ref="T41:T45" si="19">SUM(R41:S41)</f>
        <v>0</v>
      </c>
      <c r="U41" s="309" t="str">
        <f>IFERROR($W$49/$T$46,"-")</f>
        <v>-</v>
      </c>
      <c r="V41" s="309" t="str">
        <f>IFERROR(Q41+U41,"-")</f>
        <v>-</v>
      </c>
      <c r="W41" s="252" t="str">
        <f t="shared" ref="W41:W45" si="20">IFERROR(T41*V41,"-")</f>
        <v>-</v>
      </c>
    </row>
    <row r="42" spans="1:29">
      <c r="A42">
        <f t="shared" si="16"/>
        <v>16</v>
      </c>
      <c r="B42" s="343" t="s">
        <v>65</v>
      </c>
      <c r="C42" s="344"/>
      <c r="D42" s="345"/>
      <c r="E42" s="344">
        <v>1</v>
      </c>
      <c r="F42" s="345"/>
      <c r="G42" s="344"/>
      <c r="H42" s="345"/>
      <c r="I42" s="344"/>
      <c r="J42" s="346"/>
      <c r="K42" s="335">
        <f t="shared" si="11"/>
        <v>1</v>
      </c>
      <c r="L42" s="259">
        <f t="shared" si="12"/>
        <v>19</v>
      </c>
      <c r="M42" s="352"/>
      <c r="P42" s="357"/>
      <c r="Q42" s="358"/>
      <c r="R42" s="359"/>
      <c r="S42" s="359"/>
      <c r="T42" s="310">
        <f t="shared" si="19"/>
        <v>0</v>
      </c>
      <c r="U42" s="309" t="str">
        <f>IFERROR($W$49/$T$46,"-")</f>
        <v>-</v>
      </c>
      <c r="V42" s="309" t="str">
        <f>IFERROR(Q42+U42,"-")</f>
        <v>-</v>
      </c>
      <c r="W42" s="252" t="str">
        <f t="shared" si="20"/>
        <v>-</v>
      </c>
    </row>
    <row r="43" spans="1:29">
      <c r="A43">
        <f t="shared" si="16"/>
        <v>17</v>
      </c>
      <c r="B43" s="343" t="s">
        <v>51</v>
      </c>
      <c r="C43" s="344">
        <v>1</v>
      </c>
      <c r="D43" s="345"/>
      <c r="E43" s="344"/>
      <c r="F43" s="345"/>
      <c r="G43" s="344"/>
      <c r="H43" s="345"/>
      <c r="I43" s="344"/>
      <c r="J43" s="346"/>
      <c r="K43" s="335">
        <f t="shared" si="11"/>
        <v>1</v>
      </c>
      <c r="L43" s="259">
        <f t="shared" si="12"/>
        <v>19</v>
      </c>
      <c r="M43" s="352"/>
      <c r="P43" s="357"/>
      <c r="Q43" s="358"/>
      <c r="R43" s="359"/>
      <c r="S43" s="359"/>
      <c r="T43" s="310">
        <f t="shared" si="19"/>
        <v>0</v>
      </c>
      <c r="U43" s="309" t="str">
        <f>IFERROR($W$49/$T$46,"-")</f>
        <v>-</v>
      </c>
      <c r="V43" s="309" t="str">
        <f>IFERROR(Q43+U43,"-")</f>
        <v>-</v>
      </c>
      <c r="W43" s="252" t="str">
        <f t="shared" si="20"/>
        <v>-</v>
      </c>
    </row>
    <row r="44" spans="1:29">
      <c r="A44">
        <f t="shared" si="16"/>
        <v>18</v>
      </c>
      <c r="B44" s="343" t="s">
        <v>55</v>
      </c>
      <c r="C44" s="344"/>
      <c r="D44" s="345"/>
      <c r="E44" s="344">
        <v>1</v>
      </c>
      <c r="F44" s="345"/>
      <c r="G44" s="344"/>
      <c r="H44" s="345"/>
      <c r="I44" s="344"/>
      <c r="J44" s="346"/>
      <c r="K44" s="335">
        <f t="shared" si="11"/>
        <v>1</v>
      </c>
      <c r="L44" s="259">
        <f t="shared" si="12"/>
        <v>19</v>
      </c>
      <c r="M44" s="352"/>
      <c r="P44" s="343"/>
      <c r="Q44" s="359"/>
      <c r="R44" s="359"/>
      <c r="S44" s="359"/>
      <c r="T44" s="310">
        <f t="shared" si="19"/>
        <v>0</v>
      </c>
      <c r="U44" s="309"/>
      <c r="V44" s="309">
        <f>IFERROR(Q44+U44,"-")</f>
        <v>0</v>
      </c>
      <c r="W44" s="252">
        <f t="shared" si="20"/>
        <v>0</v>
      </c>
    </row>
    <row r="45" spans="1:29" ht="15.75" thickBot="1">
      <c r="A45">
        <f t="shared" si="16"/>
        <v>19</v>
      </c>
      <c r="B45" s="343" t="s">
        <v>59</v>
      </c>
      <c r="C45" s="344"/>
      <c r="D45" s="345">
        <v>1</v>
      </c>
      <c r="E45" s="344"/>
      <c r="F45" s="345">
        <v>1</v>
      </c>
      <c r="G45" s="344"/>
      <c r="H45" s="345"/>
      <c r="I45" s="344"/>
      <c r="J45" s="346"/>
      <c r="K45" s="335">
        <f t="shared" si="11"/>
        <v>2</v>
      </c>
      <c r="L45" s="259">
        <f t="shared" si="12"/>
        <v>38</v>
      </c>
      <c r="M45" s="352"/>
      <c r="P45" s="347"/>
      <c r="Q45" s="360"/>
      <c r="R45" s="360"/>
      <c r="S45" s="360"/>
      <c r="T45" s="312">
        <f t="shared" si="19"/>
        <v>0</v>
      </c>
      <c r="U45" s="328"/>
      <c r="V45" s="328">
        <f>IFERROR(Q45+U45,"-")</f>
        <v>0</v>
      </c>
      <c r="W45" s="253">
        <f t="shared" si="20"/>
        <v>0</v>
      </c>
    </row>
    <row r="46" spans="1:29">
      <c r="A46">
        <f t="shared" si="16"/>
        <v>20</v>
      </c>
      <c r="B46" s="343" t="s">
        <v>38</v>
      </c>
      <c r="C46" s="344"/>
      <c r="D46" s="345"/>
      <c r="E46" s="344">
        <v>1</v>
      </c>
      <c r="F46" s="345"/>
      <c r="G46" s="344"/>
      <c r="H46" s="345"/>
      <c r="I46" s="344"/>
      <c r="J46" s="346"/>
      <c r="K46" s="335">
        <f t="shared" si="11"/>
        <v>1</v>
      </c>
      <c r="L46" s="259">
        <f t="shared" si="12"/>
        <v>19</v>
      </c>
      <c r="M46" s="352"/>
      <c r="P46" s="313" t="s">
        <v>113</v>
      </c>
      <c r="Q46" s="308"/>
      <c r="R46" s="308"/>
      <c r="S46" s="308"/>
      <c r="T46" s="308">
        <f>SUM(T40:T45)</f>
        <v>0</v>
      </c>
      <c r="U46" s="329"/>
      <c r="V46" s="308"/>
      <c r="W46" s="314">
        <f>SUM(W40:W45)</f>
        <v>0</v>
      </c>
    </row>
    <row r="47" spans="1:29">
      <c r="A47">
        <f t="shared" si="16"/>
        <v>21</v>
      </c>
      <c r="B47" s="343"/>
      <c r="C47" s="344"/>
      <c r="D47" s="345"/>
      <c r="E47" s="344"/>
      <c r="F47" s="345"/>
      <c r="G47" s="344"/>
      <c r="H47" s="345"/>
      <c r="I47" s="344"/>
      <c r="J47" s="346"/>
      <c r="K47" s="335">
        <f t="shared" si="11"/>
        <v>0</v>
      </c>
      <c r="L47" s="259">
        <f t="shared" si="12"/>
        <v>0</v>
      </c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>
      <c r="A48">
        <f t="shared" si="16"/>
        <v>22</v>
      </c>
      <c r="B48" s="343"/>
      <c r="C48" s="344"/>
      <c r="D48" s="345"/>
      <c r="E48" s="344"/>
      <c r="F48" s="345"/>
      <c r="G48" s="344"/>
      <c r="H48" s="345"/>
      <c r="I48" s="344"/>
      <c r="J48" s="346"/>
      <c r="K48" s="335">
        <f t="shared" si="11"/>
        <v>0</v>
      </c>
      <c r="L48" s="259">
        <f t="shared" si="12"/>
        <v>0</v>
      </c>
      <c r="M48" s="352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5.75" thickBot="1">
      <c r="A49">
        <f t="shared" si="16"/>
        <v>23</v>
      </c>
      <c r="B49" s="343"/>
      <c r="C49" s="344"/>
      <c r="D49" s="345"/>
      <c r="E49" s="344"/>
      <c r="F49" s="345"/>
      <c r="G49" s="344"/>
      <c r="H49" s="345"/>
      <c r="I49" s="344"/>
      <c r="J49" s="346"/>
      <c r="K49" s="335">
        <f t="shared" si="11"/>
        <v>0</v>
      </c>
      <c r="L49" s="259">
        <f t="shared" si="12"/>
        <v>0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5.75" thickBot="1">
      <c r="A50">
        <f t="shared" si="16"/>
        <v>24</v>
      </c>
      <c r="B50" s="343"/>
      <c r="C50" s="344"/>
      <c r="D50" s="345"/>
      <c r="E50" s="344"/>
      <c r="F50" s="345"/>
      <c r="G50" s="344"/>
      <c r="H50" s="345"/>
      <c r="I50" s="344"/>
      <c r="J50" s="346"/>
      <c r="K50" s="335">
        <f t="shared" si="11"/>
        <v>0</v>
      </c>
      <c r="L50" s="259">
        <f t="shared" si="12"/>
        <v>0</v>
      </c>
      <c r="M50" s="352"/>
      <c r="P50" s="305" t="s">
        <v>132</v>
      </c>
      <c r="Q50" s="306"/>
      <c r="R50" s="306"/>
      <c r="S50" s="306"/>
      <c r="T50" s="306"/>
      <c r="U50" s="306"/>
      <c r="V50" s="306"/>
      <c r="W50" s="307">
        <f>-W46</f>
        <v>0</v>
      </c>
    </row>
    <row r="51" spans="1:23" ht="15.75" thickBot="1">
      <c r="A51">
        <f t="shared" si="16"/>
        <v>25</v>
      </c>
      <c r="B51" s="343"/>
      <c r="C51" s="344"/>
      <c r="D51" s="345"/>
      <c r="E51" s="344"/>
      <c r="F51" s="345"/>
      <c r="G51" s="344"/>
      <c r="H51" s="345"/>
      <c r="I51" s="344"/>
      <c r="J51" s="346"/>
      <c r="K51" s="335">
        <f t="shared" si="11"/>
        <v>0</v>
      </c>
      <c r="L51" s="259">
        <f t="shared" si="12"/>
        <v>0</v>
      </c>
      <c r="M51" s="352"/>
      <c r="W51" s="276">
        <f>Q40*T40+Q41*T41+Q42*T42+Q43*T43+Q44*T44+Q45*T45+W49+W50</f>
        <v>0</v>
      </c>
    </row>
    <row r="52" spans="1:23" ht="15.75" thickBot="1">
      <c r="A52">
        <f t="shared" si="16"/>
        <v>26</v>
      </c>
      <c r="B52" s="343"/>
      <c r="C52" s="344"/>
      <c r="D52" s="345"/>
      <c r="E52" s="344"/>
      <c r="F52" s="345"/>
      <c r="G52" s="344"/>
      <c r="H52" s="345"/>
      <c r="I52" s="344"/>
      <c r="J52" s="346"/>
      <c r="K52" s="335">
        <f t="shared" si="11"/>
        <v>0</v>
      </c>
      <c r="L52" s="259">
        <f t="shared" si="12"/>
        <v>0</v>
      </c>
      <c r="M52" s="352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118</v>
      </c>
    </row>
    <row r="53" spans="1:23" ht="15.75" thickBot="1">
      <c r="A53">
        <f t="shared" si="16"/>
        <v>27</v>
      </c>
      <c r="B53" s="343"/>
      <c r="C53" s="344"/>
      <c r="D53" s="345"/>
      <c r="E53" s="344"/>
      <c r="F53" s="345"/>
      <c r="G53" s="344"/>
      <c r="H53" s="345"/>
      <c r="I53" s="344"/>
      <c r="J53" s="346"/>
      <c r="K53" s="335">
        <f t="shared" si="11"/>
        <v>0</v>
      </c>
      <c r="L53" s="259">
        <f t="shared" si="12"/>
        <v>0</v>
      </c>
      <c r="M53" s="352"/>
    </row>
    <row r="54" spans="1:23" ht="15.75" thickBot="1">
      <c r="A54">
        <f t="shared" si="16"/>
        <v>28</v>
      </c>
      <c r="B54" s="343"/>
      <c r="C54" s="344"/>
      <c r="D54" s="345"/>
      <c r="E54" s="344"/>
      <c r="F54" s="345"/>
      <c r="G54" s="344"/>
      <c r="H54" s="345"/>
      <c r="I54" s="344"/>
      <c r="J54" s="346"/>
      <c r="K54" s="335">
        <f t="shared" si="11"/>
        <v>0</v>
      </c>
      <c r="L54" s="259">
        <f t="shared" si="12"/>
        <v>0</v>
      </c>
      <c r="M54" s="352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>
      <c r="A55">
        <f t="shared" si="16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35">
        <f t="shared" si="11"/>
        <v>0</v>
      </c>
      <c r="L55" s="259">
        <f t="shared" si="12"/>
        <v>0</v>
      </c>
      <c r="M55" s="352"/>
      <c r="P55" s="302" t="str">
        <f>$P$27</f>
        <v>RUSA</v>
      </c>
      <c r="Q55" s="358">
        <v>3</v>
      </c>
      <c r="R55" s="310">
        <f>T27</f>
        <v>14</v>
      </c>
      <c r="S55" s="309">
        <f>IFERROR(((Q55*R55)*0.21)/R55,"-")</f>
        <v>0.63</v>
      </c>
      <c r="T55" s="309">
        <f>IFERROR(Q55+S55,"-")</f>
        <v>3.63</v>
      </c>
      <c r="U55" s="252">
        <f>IFERROR(R55*T55,"-")</f>
        <v>50.82</v>
      </c>
    </row>
    <row r="56" spans="1:23">
      <c r="A56">
        <f t="shared" si="16"/>
        <v>30</v>
      </c>
      <c r="B56" s="343"/>
      <c r="C56" s="344"/>
      <c r="D56" s="345"/>
      <c r="E56" s="344"/>
      <c r="F56" s="345"/>
      <c r="G56" s="344"/>
      <c r="H56" s="345"/>
      <c r="I56" s="344"/>
      <c r="J56" s="346"/>
      <c r="K56" s="335">
        <f t="shared" si="11"/>
        <v>0</v>
      </c>
      <c r="L56" s="259">
        <f t="shared" si="12"/>
        <v>0</v>
      </c>
      <c r="M56" s="352"/>
      <c r="P56" s="302" t="str">
        <f>$P$28</f>
        <v>MANOS</v>
      </c>
      <c r="Q56" s="358">
        <v>2.5</v>
      </c>
      <c r="R56" s="310">
        <f>T28</f>
        <v>14</v>
      </c>
      <c r="S56" s="309">
        <f>IFERROR(((Q56*R56)*0.21)/R56,"-")</f>
        <v>0.52500000000000002</v>
      </c>
      <c r="T56" s="309">
        <f>IFERROR(Q56+S56,"-")</f>
        <v>3.0249999999999999</v>
      </c>
      <c r="U56" s="252">
        <f>IFERROR(R56*T56,"-")</f>
        <v>42.35</v>
      </c>
    </row>
    <row r="57" spans="1:23">
      <c r="A57">
        <f t="shared" si="16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35">
        <f t="shared" si="11"/>
        <v>0</v>
      </c>
      <c r="L57" s="259">
        <f t="shared" si="12"/>
        <v>0</v>
      </c>
      <c r="M57" s="352"/>
      <c r="P57" s="302">
        <f>$P$29</f>
        <v>0</v>
      </c>
      <c r="Q57" s="358"/>
      <c r="R57" s="310">
        <f>T29</f>
        <v>0</v>
      </c>
      <c r="S57" s="309" t="str">
        <f>IFERROR(((Q57*R57)*0.21)/R57,"-")</f>
        <v>-</v>
      </c>
      <c r="T57" s="309" t="str">
        <f>IFERROR(Q57+S57,"-")</f>
        <v>-</v>
      </c>
      <c r="U57" s="252" t="str">
        <f>IFERROR(R57*T57,"-")</f>
        <v>-</v>
      </c>
    </row>
    <row r="58" spans="1:23">
      <c r="A58">
        <f t="shared" si="16"/>
        <v>32</v>
      </c>
      <c r="B58" s="343"/>
      <c r="C58" s="344"/>
      <c r="D58" s="345"/>
      <c r="E58" s="344"/>
      <c r="F58" s="345"/>
      <c r="G58" s="344"/>
      <c r="H58" s="345"/>
      <c r="I58" s="344"/>
      <c r="J58" s="346"/>
      <c r="K58" s="335">
        <f t="shared" si="11"/>
        <v>0</v>
      </c>
      <c r="L58" s="259">
        <f t="shared" si="12"/>
        <v>0</v>
      </c>
      <c r="M58" s="352"/>
      <c r="P58" s="302">
        <f>$P$30</f>
        <v>0</v>
      </c>
      <c r="Q58" s="358"/>
      <c r="R58" s="310">
        <f>T30</f>
        <v>0</v>
      </c>
      <c r="S58" s="320" t="str">
        <f>IFERROR(((Q58*R58)*0.21)/R58,"-")</f>
        <v>-</v>
      </c>
      <c r="T58" s="309" t="str">
        <f>IFERROR(Q58+S58,"-")</f>
        <v>-</v>
      </c>
      <c r="U58" s="252" t="str">
        <f>IFERROR(R58*T58,"-")</f>
        <v>-</v>
      </c>
    </row>
    <row r="59" spans="1:23">
      <c r="A59">
        <f t="shared" si="16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35">
        <f t="shared" si="11"/>
        <v>0</v>
      </c>
      <c r="L59" s="259">
        <f t="shared" si="12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5.75" thickBot="1">
      <c r="A60">
        <f t="shared" si="16"/>
        <v>34</v>
      </c>
      <c r="B60" s="343"/>
      <c r="C60" s="344"/>
      <c r="D60" s="345"/>
      <c r="E60" s="344"/>
      <c r="F60" s="345"/>
      <c r="G60" s="344"/>
      <c r="H60" s="345"/>
      <c r="I60" s="344"/>
      <c r="J60" s="346"/>
      <c r="K60" s="335">
        <f t="shared" si="11"/>
        <v>0</v>
      </c>
      <c r="L60" s="259">
        <f t="shared" si="12"/>
        <v>0</v>
      </c>
      <c r="M60" s="352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5.75" thickBot="1">
      <c r="A61">
        <f t="shared" si="16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36">
        <f t="shared" si="11"/>
        <v>0</v>
      </c>
      <c r="L61" s="261">
        <f t="shared" si="12"/>
        <v>0</v>
      </c>
      <c r="M61" s="353"/>
      <c r="P61" s="305" t="s">
        <v>112</v>
      </c>
      <c r="Q61" s="306"/>
      <c r="R61" s="306">
        <f>SUM(R55:R60)</f>
        <v>28</v>
      </c>
      <c r="S61" s="321"/>
      <c r="T61" s="321"/>
      <c r="U61" s="307">
        <f>SUM(U55:U60)</f>
        <v>93.17</v>
      </c>
    </row>
    <row r="65" spans="1:7" ht="15.95" customHeight="1">
      <c r="A65" s="364">
        <v>1</v>
      </c>
      <c r="B65" s="364" t="str">
        <f>B27</f>
        <v>MUÑOZ</v>
      </c>
      <c r="C65" s="364" t="str">
        <f>_xlfn.TEXTJOIN(", ",TRUE,
IF(OR(C27&gt;0,E27&gt;0,G27&gt;0,I27&gt;0),"M",""),
IF(OR(D27&gt;0,F27&gt;0,H27&gt;0,J27&gt;0),"L","")
)</f>
        <v>L</v>
      </c>
      <c r="D65" s="364">
        <f>IF(C65="M",1,IF(C65="L",2,IF(C65="M, L",3)))</f>
        <v>2</v>
      </c>
      <c r="E65" s="365">
        <f>K27</f>
        <v>1</v>
      </c>
      <c r="F65" s="366">
        <f>L27</f>
        <v>19</v>
      </c>
      <c r="G65" s="364" t="str">
        <f>$B$2</f>
        <v>SUMMER DROP</v>
      </c>
    </row>
    <row r="66" spans="1:7" ht="17.100000000000001" customHeight="1">
      <c r="A66" s="364">
        <v>2</v>
      </c>
      <c r="B66" s="364" t="str">
        <f>B28</f>
        <v>PETER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2</v>
      </c>
      <c r="F66" s="366">
        <f>L28</f>
        <v>38</v>
      </c>
      <c r="G66" s="364" t="str">
        <f t="shared" ref="G66:G99" si="21">$B$2</f>
        <v>SUMMER DROP</v>
      </c>
    </row>
    <row r="67" spans="1:7" ht="15.95" customHeight="1">
      <c r="A67" s="364">
        <v>3</v>
      </c>
      <c r="B67" s="364" t="str">
        <f>B29</f>
        <v>JUANMA</v>
      </c>
      <c r="C67" s="364" t="str">
        <f>_xlfn.TEXTJOIN(", ",TRUE,
IF(OR(C29&gt;0,E29&gt;0,G29&gt;0,I29&gt;0),"M",""),
IF(OR(D29&gt;0,F29&gt;0,H29&gt;0,J29&gt;0),"L","")
)</f>
        <v>L</v>
      </c>
      <c r="D67" s="364">
        <f>IF(C67="M",1,IF(C67="L",2,IF(C67="M, L",3)))</f>
        <v>2</v>
      </c>
      <c r="E67" s="365">
        <f>K29</f>
        <v>1</v>
      </c>
      <c r="F67" s="366">
        <f>L29</f>
        <v>19</v>
      </c>
      <c r="G67" s="364" t="str">
        <f t="shared" si="21"/>
        <v>SUMMER DROP</v>
      </c>
    </row>
    <row r="68" spans="1:7" ht="17.100000000000001" customHeight="1">
      <c r="A68" s="364">
        <f>A67+1</f>
        <v>4</v>
      </c>
      <c r="B68" s="364" t="str">
        <f>B30</f>
        <v>NICO RUIZ</v>
      </c>
      <c r="C68" s="364" t="str">
        <f>_xlfn.TEXTJOIN(", ",TRUE,
IF(OR(C30&gt;0,E30&gt;0,G30&gt;0,I30&gt;0),"M",""),
IF(OR(D30&gt;0,F30&gt;0,H30&gt;0,J30&gt;0),"L","")
)</f>
        <v>M</v>
      </c>
      <c r="D68" s="364">
        <f>IF(C68="M",1,IF(C68="L",2,IF(C68="M, L",3)))</f>
        <v>1</v>
      </c>
      <c r="E68" s="365">
        <f>K30</f>
        <v>2</v>
      </c>
      <c r="F68" s="366">
        <f>L30</f>
        <v>38</v>
      </c>
      <c r="G68" s="364" t="str">
        <f t="shared" si="21"/>
        <v>SUMMER DROP</v>
      </c>
    </row>
    <row r="69" spans="1:7" ht="15.95" customHeight="1">
      <c r="A69" s="364">
        <f t="shared" ref="A69:A99" si="22">A68+1</f>
        <v>5</v>
      </c>
      <c r="B69" s="364" t="str">
        <f>B31</f>
        <v>ASTARLOA</v>
      </c>
      <c r="C69" s="364" t="str">
        <f>_xlfn.TEXTJOIN(", ",TRUE,
IF(OR(C31&gt;0,E31&gt;0,G31&gt;0,I31&gt;0),"M",""),
IF(OR(D31&gt;0,F31&gt;0,H31&gt;0,J31&gt;0),"L","")
)</f>
        <v>L</v>
      </c>
      <c r="D69" s="364">
        <f>IF(C69="M",1,IF(C69="L",2,IF(C69="M, L",3)))</f>
        <v>2</v>
      </c>
      <c r="E69" s="365">
        <f>K31</f>
        <v>1</v>
      </c>
      <c r="F69" s="366">
        <f>L31</f>
        <v>19</v>
      </c>
      <c r="G69" s="364" t="str">
        <f t="shared" si="21"/>
        <v>SUMMER DROP</v>
      </c>
    </row>
    <row r="70" spans="1:7" ht="17.100000000000001" customHeight="1">
      <c r="A70" s="364">
        <f t="shared" si="22"/>
        <v>6</v>
      </c>
      <c r="B70" s="364" t="str">
        <f>B32</f>
        <v>RUBINI</v>
      </c>
      <c r="C70" s="364" t="str">
        <f>_xlfn.TEXTJOIN(", ",TRUE,
IF(OR(C32&gt;0,E32&gt;0,G32&gt;0,I32&gt;0),"M",""),
IF(OR(D32&gt;0,F32&gt;0,H32&gt;0,J32&gt;0),"L","")
)</f>
        <v>L</v>
      </c>
      <c r="D70" s="364">
        <f>IF(C70="M",1,IF(C70="L",2,IF(C70="M, L",3)))</f>
        <v>2</v>
      </c>
      <c r="E70" s="365">
        <f>K32</f>
        <v>1</v>
      </c>
      <c r="F70" s="366">
        <f>L32</f>
        <v>19</v>
      </c>
      <c r="G70" s="364" t="str">
        <f t="shared" si="21"/>
        <v>SUMMER DROP</v>
      </c>
    </row>
    <row r="71" spans="1:7" ht="15.95" customHeight="1">
      <c r="A71" s="364">
        <f t="shared" si="22"/>
        <v>7</v>
      </c>
      <c r="B71" s="364" t="str">
        <f>B33</f>
        <v>PUIG AMIGO JACO</v>
      </c>
      <c r="C71" s="364" t="str">
        <f>_xlfn.TEXTJOIN(", ",TRUE,
IF(OR(C33&gt;0,E33&gt;0,G33&gt;0,I33&gt;0),"M",""),
IF(OR(D33&gt;0,F33&gt;0,H33&gt;0,J33&gt;0),"L","")
)</f>
        <v>M</v>
      </c>
      <c r="D71" s="364">
        <f>IF(C71="M",1,IF(C71="L",2,IF(C71="M, L",3)))</f>
        <v>1</v>
      </c>
      <c r="E71" s="365">
        <f>K33</f>
        <v>1</v>
      </c>
      <c r="F71" s="366">
        <f>L33</f>
        <v>19</v>
      </c>
      <c r="G71" s="364" t="str">
        <f t="shared" si="21"/>
        <v>SUMMER DROP</v>
      </c>
    </row>
    <row r="72" spans="1:7" ht="17.100000000000001" customHeight="1">
      <c r="A72" s="364">
        <f t="shared" si="22"/>
        <v>8</v>
      </c>
      <c r="B72" s="364" t="str">
        <f>B34</f>
        <v>JUANTO</v>
      </c>
      <c r="C72" s="364" t="str">
        <f>_xlfn.TEXTJOIN(", ",TRUE,
IF(OR(C34&gt;0,E34&gt;0,G34&gt;0,I34&gt;0),"M",""),
IF(OR(D34&gt;0,F34&gt;0,H34&gt;0,J34&gt;0),"L","")
)</f>
        <v>M</v>
      </c>
      <c r="D72" s="364">
        <f>IF(C72="M",1,IF(C72="L",2,IF(C72="M, L",3)))</f>
        <v>1</v>
      </c>
      <c r="E72" s="365">
        <f>K34</f>
        <v>2</v>
      </c>
      <c r="F72" s="366">
        <f>L34</f>
        <v>38</v>
      </c>
      <c r="G72" s="364" t="str">
        <f t="shared" si="21"/>
        <v>SUMMER DROP</v>
      </c>
    </row>
    <row r="73" spans="1:7" ht="15.95" customHeight="1">
      <c r="A73" s="364">
        <f t="shared" si="22"/>
        <v>9</v>
      </c>
      <c r="B73" s="364" t="str">
        <f>B35</f>
        <v>NICO DIAMANTO</v>
      </c>
      <c r="C73" s="364" t="str">
        <f>_xlfn.TEXTJOIN(", ",TRUE,
IF(OR(C35&gt;0,E35&gt;0,G35&gt;0,I35&gt;0),"M",""),
IF(OR(D35&gt;0,F35&gt;0,H35&gt;0,J35&gt;0),"L","")
)</f>
        <v>M</v>
      </c>
      <c r="D73" s="364">
        <f>IF(C73="M",1,IF(C73="L",2,IF(C73="M, L",3)))</f>
        <v>1</v>
      </c>
      <c r="E73" s="365">
        <f>K35</f>
        <v>1</v>
      </c>
      <c r="F73" s="366">
        <f>L35</f>
        <v>19</v>
      </c>
      <c r="G73" s="364" t="str">
        <f t="shared" si="21"/>
        <v>SUMMER DROP</v>
      </c>
    </row>
    <row r="74" spans="1:7" ht="17.100000000000001" customHeight="1">
      <c r="A74" s="364">
        <f t="shared" si="22"/>
        <v>10</v>
      </c>
      <c r="B74" s="364" t="str">
        <f>B36</f>
        <v>DOMINGUEZ</v>
      </c>
      <c r="C74" s="364" t="str">
        <f>_xlfn.TEXTJOIN(", ",TRUE,
IF(OR(C36&gt;0,E36&gt;0,G36&gt;0,I36&gt;0),"M",""),
IF(OR(D36&gt;0,F36&gt;0,H36&gt;0,J36&gt;0),"L","")
)</f>
        <v>L</v>
      </c>
      <c r="D74" s="364">
        <f>IF(C74="M",1,IF(C74="L",2,IF(C74="M, L",3)))</f>
        <v>2</v>
      </c>
      <c r="E74" s="365">
        <f>K36</f>
        <v>1</v>
      </c>
      <c r="F74" s="366">
        <f>L36</f>
        <v>19</v>
      </c>
      <c r="G74" s="364" t="str">
        <f t="shared" si="21"/>
        <v>SUMMER DROP</v>
      </c>
    </row>
    <row r="75" spans="1:7" ht="15.95" customHeight="1">
      <c r="A75" s="364">
        <f t="shared" si="22"/>
        <v>11</v>
      </c>
      <c r="B75" s="364" t="str">
        <f>B37</f>
        <v>CHORVO</v>
      </c>
      <c r="C75" s="364" t="str">
        <f>_xlfn.TEXTJOIN(", ",TRUE,
IF(OR(C37&gt;0,E37&gt;0,G37&gt;0,I37&gt;0),"M",""),
IF(OR(D37&gt;0,F37&gt;0,H37&gt;0,J37&gt;0),"L","")
)</f>
        <v>M</v>
      </c>
      <c r="D75" s="364">
        <f>IF(C75="M",1,IF(C75="L",2,IF(C75="M, L",3)))</f>
        <v>1</v>
      </c>
      <c r="E75" s="365">
        <f>K37</f>
        <v>1</v>
      </c>
      <c r="F75" s="366">
        <f>L37</f>
        <v>19</v>
      </c>
      <c r="G75" s="364" t="str">
        <f t="shared" si="21"/>
        <v>SUMMER DROP</v>
      </c>
    </row>
    <row r="76" spans="1:7" ht="17.100000000000001" customHeight="1">
      <c r="A76" s="364">
        <f t="shared" si="22"/>
        <v>12</v>
      </c>
      <c r="B76" s="364" t="str">
        <f>B38</f>
        <v>DIRECTOR AMIGO JACO</v>
      </c>
      <c r="C76" s="364" t="str">
        <f>_xlfn.TEXTJOIN(", ",TRUE,
IF(OR(C38&gt;0,E38&gt;0,G38&gt;0,I38&gt;0),"M",""),
IF(OR(D38&gt;0,F38&gt;0,H38&gt;0,J38&gt;0),"L","")
)</f>
        <v>M</v>
      </c>
      <c r="D76" s="364">
        <f>IF(C76="M",1,IF(C76="L",2,IF(C76="M, L",3)))</f>
        <v>1</v>
      </c>
      <c r="E76" s="365">
        <f>K38</f>
        <v>1</v>
      </c>
      <c r="F76" s="366">
        <f>L38</f>
        <v>19</v>
      </c>
      <c r="G76" s="364" t="str">
        <f t="shared" si="21"/>
        <v>SUMMER DROP</v>
      </c>
    </row>
    <row r="77" spans="1:7" ht="15.95" customHeight="1">
      <c r="A77" s="364">
        <f t="shared" si="22"/>
        <v>13</v>
      </c>
      <c r="B77" s="364" t="str">
        <f>B39</f>
        <v>NACHO PEREZ</v>
      </c>
      <c r="C77" s="364" t="str">
        <f>_xlfn.TEXTJOIN(", ",TRUE,
IF(OR(C39&gt;0,E39&gt;0,G39&gt;0,I39&gt;0),"M",""),
IF(OR(D39&gt;0,F39&gt;0,H39&gt;0,J39&gt;0),"L","")
)</f>
        <v>M</v>
      </c>
      <c r="D77" s="364">
        <f>IF(C77="M",1,IF(C77="L",2,IF(C77="M, L",3)))</f>
        <v>1</v>
      </c>
      <c r="E77" s="365">
        <f>K39</f>
        <v>1</v>
      </c>
      <c r="F77" s="366">
        <f>L39</f>
        <v>19</v>
      </c>
      <c r="G77" s="364" t="str">
        <f t="shared" si="21"/>
        <v>SUMMER DROP</v>
      </c>
    </row>
    <row r="78" spans="1:7" ht="17.100000000000001" customHeight="1">
      <c r="A78" s="364">
        <f t="shared" si="22"/>
        <v>14</v>
      </c>
      <c r="B78" s="364" t="str">
        <f>B40</f>
        <v>JOSE AMIGO JACO</v>
      </c>
      <c r="C78" s="364" t="str">
        <f>_xlfn.TEXTJOIN(", ",TRUE,
IF(OR(C40&gt;0,E40&gt;0,G40&gt;0,I40&gt;0),"M",""),
IF(OR(D40&gt;0,F40&gt;0,H40&gt;0,J40&gt;0),"L","")
)</f>
        <v>L</v>
      </c>
      <c r="D78" s="364">
        <f>IF(C78="M",1,IF(C78="L",2,IF(C78="M, L",3)))</f>
        <v>2</v>
      </c>
      <c r="E78" s="365">
        <f>K40</f>
        <v>2</v>
      </c>
      <c r="F78" s="366">
        <f>L40</f>
        <v>38</v>
      </c>
      <c r="G78" s="364" t="str">
        <f t="shared" si="21"/>
        <v>SUMMER DROP</v>
      </c>
    </row>
    <row r="79" spans="1:7" ht="15.95" customHeight="1">
      <c r="A79" s="364">
        <f t="shared" si="22"/>
        <v>15</v>
      </c>
      <c r="B79" s="364" t="str">
        <f>B41</f>
        <v>BARALLOBRE</v>
      </c>
      <c r="C79" s="364" t="str">
        <f>_xlfn.TEXTJOIN(", ",TRUE,
IF(OR(C41&gt;0,E41&gt;0,G41&gt;0,I41&gt;0),"M",""),
IF(OR(D41&gt;0,F41&gt;0,H41&gt;0,J41&gt;0),"L","")
)</f>
        <v>L</v>
      </c>
      <c r="D79" s="364">
        <f>IF(C79="M",1,IF(C79="L",2,IF(C79="M, L",3)))</f>
        <v>2</v>
      </c>
      <c r="E79" s="365">
        <f>K41</f>
        <v>2</v>
      </c>
      <c r="F79" s="366">
        <f>L41</f>
        <v>38</v>
      </c>
      <c r="G79" s="364" t="str">
        <f t="shared" si="21"/>
        <v>SUMMER DROP</v>
      </c>
    </row>
    <row r="80" spans="1:7" ht="17.100000000000001" customHeight="1">
      <c r="A80" s="364">
        <f t="shared" si="22"/>
        <v>16</v>
      </c>
      <c r="B80" s="364" t="str">
        <f>B42</f>
        <v>IAGO AMIGO JACO</v>
      </c>
      <c r="C80" s="364" t="str">
        <f>_xlfn.TEXTJOIN(", ",TRUE,
IF(OR(C42&gt;0,E42&gt;0,G42&gt;0,I42&gt;0),"M",""),
IF(OR(D42&gt;0,F42&gt;0,H42&gt;0,J42&gt;0),"L","")
)</f>
        <v>M</v>
      </c>
      <c r="D80" s="364">
        <f>IF(C80="M",1,IF(C80="L",2,IF(C80="M, L",3)))</f>
        <v>1</v>
      </c>
      <c r="E80" s="365">
        <f>K42</f>
        <v>1</v>
      </c>
      <c r="F80" s="366">
        <f>L42</f>
        <v>19</v>
      </c>
      <c r="G80" s="364" t="str">
        <f t="shared" si="21"/>
        <v>SUMMER DROP</v>
      </c>
    </row>
    <row r="81" spans="1:7" ht="15.95" customHeight="1">
      <c r="A81" s="364">
        <f t="shared" si="22"/>
        <v>17</v>
      </c>
      <c r="B81" s="364" t="str">
        <f t="shared" ref="B81:B99" si="23">B43</f>
        <v>CASADO</v>
      </c>
      <c r="C81" s="364" t="str">
        <f t="shared" ref="C81:C99" si="24">_xlfn.TEXTJOIN(", ",TRUE,
IF(OR(C43&gt;0,E43&gt;0,G43&gt;0,I43&gt;0),"M",""),
IF(OR(D43&gt;0,F43&gt;0,H43&gt;0,J43&gt;0),"L","")
)</f>
        <v>M</v>
      </c>
      <c r="D81" s="364">
        <f>IF(C81="M",1,IF(C81="L",2,IF(C81="M, L",3)))</f>
        <v>1</v>
      </c>
      <c r="E81" s="365">
        <f>K43</f>
        <v>1</v>
      </c>
      <c r="F81" s="366">
        <f>L43</f>
        <v>19</v>
      </c>
      <c r="G81" s="364" t="str">
        <f t="shared" si="21"/>
        <v>SUMMER DROP</v>
      </c>
    </row>
    <row r="82" spans="1:7" ht="17.100000000000001" customHeight="1">
      <c r="A82" s="364">
        <f t="shared" si="22"/>
        <v>18</v>
      </c>
      <c r="B82" s="364" t="str">
        <f t="shared" si="23"/>
        <v>JORGE PUIG</v>
      </c>
      <c r="C82" s="364" t="str">
        <f t="shared" si="24"/>
        <v>M</v>
      </c>
      <c r="D82" s="364">
        <f>IF(C82="M",1,IF(C82="L",2,IF(C82="M, L",3)))</f>
        <v>1</v>
      </c>
      <c r="E82" s="365">
        <f>K44</f>
        <v>1</v>
      </c>
      <c r="F82" s="366">
        <f>L44</f>
        <v>19</v>
      </c>
      <c r="G82" s="364" t="str">
        <f t="shared" si="21"/>
        <v>SUMMER DROP</v>
      </c>
    </row>
    <row r="83" spans="1:7" ht="15.95" customHeight="1">
      <c r="A83" s="364">
        <f t="shared" si="22"/>
        <v>19</v>
      </c>
      <c r="B83" s="364" t="str">
        <f t="shared" si="23"/>
        <v>IÑIGO</v>
      </c>
      <c r="C83" s="364" t="str">
        <f t="shared" si="24"/>
        <v>L</v>
      </c>
      <c r="D83" s="364">
        <f>IF(C83="M",1,IF(C83="L",2,IF(C83="M, L",3)))</f>
        <v>2</v>
      </c>
      <c r="E83" s="365">
        <f>K45</f>
        <v>2</v>
      </c>
      <c r="F83" s="366">
        <f>L45</f>
        <v>38</v>
      </c>
      <c r="G83" s="364" t="str">
        <f t="shared" si="21"/>
        <v>SUMMER DROP</v>
      </c>
    </row>
    <row r="84" spans="1:7" ht="17.100000000000001" customHeight="1">
      <c r="A84" s="364">
        <f t="shared" si="22"/>
        <v>20</v>
      </c>
      <c r="B84" s="364" t="str">
        <f t="shared" si="23"/>
        <v>BRUNITO</v>
      </c>
      <c r="C84" s="364" t="str">
        <f t="shared" si="24"/>
        <v>M</v>
      </c>
      <c r="D84" s="364">
        <f>IF(C84="M",1,IF(C84="L",2,IF(C84="M, L",3)))</f>
        <v>1</v>
      </c>
      <c r="E84" s="365">
        <f>K46</f>
        <v>1</v>
      </c>
      <c r="F84" s="366">
        <f>L46</f>
        <v>19</v>
      </c>
      <c r="G84" s="364" t="str">
        <f t="shared" si="21"/>
        <v>SUMMER DROP</v>
      </c>
    </row>
    <row r="85" spans="1:7" ht="15.95" customHeight="1">
      <c r="A85" s="364">
        <f t="shared" si="22"/>
        <v>21</v>
      </c>
      <c r="B85" s="364">
        <f t="shared" si="23"/>
        <v>0</v>
      </c>
      <c r="C85" s="364" t="str">
        <f t="shared" si="24"/>
        <v/>
      </c>
      <c r="D85" s="364" t="b">
        <f>IF(C85="M",1,IF(C85="L",2,IF(C85="M, L",3)))</f>
        <v>0</v>
      </c>
      <c r="E85" s="365">
        <f>K47</f>
        <v>0</v>
      </c>
      <c r="F85" s="366">
        <f>L47</f>
        <v>0</v>
      </c>
      <c r="G85" s="364" t="str">
        <f t="shared" si="21"/>
        <v>SUMMER DROP</v>
      </c>
    </row>
    <row r="86" spans="1:7" ht="17.100000000000001" customHeight="1">
      <c r="A86" s="364">
        <f t="shared" si="22"/>
        <v>22</v>
      </c>
      <c r="B86" s="364">
        <f t="shared" si="23"/>
        <v>0</v>
      </c>
      <c r="C86" s="364" t="str">
        <f t="shared" si="24"/>
        <v/>
      </c>
      <c r="D86" s="364" t="b">
        <f>IF(C86="M",1,IF(C86="L",2,IF(C86="M, L",3)))</f>
        <v>0</v>
      </c>
      <c r="E86" s="365">
        <f>K48</f>
        <v>0</v>
      </c>
      <c r="F86" s="366">
        <f>L48</f>
        <v>0</v>
      </c>
      <c r="G86" s="364" t="str">
        <f t="shared" si="21"/>
        <v>SUMMER DROP</v>
      </c>
    </row>
    <row r="87" spans="1:7" ht="15.95" customHeight="1">
      <c r="A87" s="364">
        <f t="shared" si="22"/>
        <v>23</v>
      </c>
      <c r="B87" s="364">
        <f t="shared" si="23"/>
        <v>0</v>
      </c>
      <c r="C87" s="364" t="str">
        <f t="shared" si="24"/>
        <v/>
      </c>
      <c r="D87" s="364" t="b">
        <f>IF(C87="M",1,IF(C87="L",2,IF(C87="M, L",3)))</f>
        <v>0</v>
      </c>
      <c r="E87" s="365">
        <f>K49</f>
        <v>0</v>
      </c>
      <c r="F87" s="366">
        <f>L49</f>
        <v>0</v>
      </c>
      <c r="G87" s="364" t="str">
        <f t="shared" si="21"/>
        <v>SUMMER DROP</v>
      </c>
    </row>
    <row r="88" spans="1:7" ht="17.100000000000001" customHeight="1">
      <c r="A88" s="364">
        <f t="shared" si="22"/>
        <v>24</v>
      </c>
      <c r="B88" s="364">
        <f t="shared" si="23"/>
        <v>0</v>
      </c>
      <c r="C88" s="364" t="str">
        <f t="shared" si="24"/>
        <v/>
      </c>
      <c r="D88" s="364" t="b">
        <f>IF(C88="M",1,IF(C88="L",2,IF(C88="M, L",3)))</f>
        <v>0</v>
      </c>
      <c r="E88" s="365">
        <f>K50</f>
        <v>0</v>
      </c>
      <c r="F88" s="366">
        <f>L50</f>
        <v>0</v>
      </c>
      <c r="G88" s="364" t="str">
        <f t="shared" si="21"/>
        <v>SUMMER DROP</v>
      </c>
    </row>
    <row r="89" spans="1:7" ht="15.95" customHeight="1">
      <c r="A89" s="364">
        <f t="shared" si="22"/>
        <v>25</v>
      </c>
      <c r="B89" s="364">
        <f t="shared" si="23"/>
        <v>0</v>
      </c>
      <c r="C89" s="364" t="str">
        <f t="shared" si="24"/>
        <v/>
      </c>
      <c r="D89" s="364" t="b">
        <f>IF(C89="M",1,IF(C89="L",2,IF(C89="M, L",3)))</f>
        <v>0</v>
      </c>
      <c r="E89" s="365">
        <f>K51</f>
        <v>0</v>
      </c>
      <c r="F89" s="366">
        <f>L51</f>
        <v>0</v>
      </c>
      <c r="G89" s="364" t="str">
        <f t="shared" si="21"/>
        <v>SUMMER DROP</v>
      </c>
    </row>
    <row r="90" spans="1:7" ht="17.100000000000001" customHeight="1">
      <c r="A90" s="364">
        <f t="shared" si="22"/>
        <v>26</v>
      </c>
      <c r="B90" s="364">
        <f t="shared" si="23"/>
        <v>0</v>
      </c>
      <c r="C90" s="364" t="str">
        <f t="shared" si="24"/>
        <v/>
      </c>
      <c r="D90" s="364" t="b">
        <f>IF(C90="M",1,IF(C90="L",2,IF(C90="M, L",3)))</f>
        <v>0</v>
      </c>
      <c r="E90" s="365">
        <f>K52</f>
        <v>0</v>
      </c>
      <c r="F90" s="366">
        <f>L52</f>
        <v>0</v>
      </c>
      <c r="G90" s="364" t="str">
        <f t="shared" si="21"/>
        <v>SUMMER DROP</v>
      </c>
    </row>
    <row r="91" spans="1:7" ht="15.95" customHeight="1">
      <c r="A91" s="364">
        <f t="shared" si="22"/>
        <v>27</v>
      </c>
      <c r="B91" s="364">
        <f t="shared" si="23"/>
        <v>0</v>
      </c>
      <c r="C91" s="364" t="str">
        <f t="shared" si="24"/>
        <v/>
      </c>
      <c r="D91" s="364" t="b">
        <f>IF(C91="M",1,IF(C91="L",2,IF(C91="M, L",3)))</f>
        <v>0</v>
      </c>
      <c r="E91" s="365">
        <f>K53</f>
        <v>0</v>
      </c>
      <c r="F91" s="366">
        <f>L53</f>
        <v>0</v>
      </c>
      <c r="G91" s="364" t="str">
        <f t="shared" si="21"/>
        <v>SUMMER DROP</v>
      </c>
    </row>
    <row r="92" spans="1:7" ht="17.100000000000001" customHeight="1">
      <c r="A92" s="364">
        <f t="shared" si="22"/>
        <v>28</v>
      </c>
      <c r="B92" s="364">
        <f t="shared" si="23"/>
        <v>0</v>
      </c>
      <c r="C92" s="364" t="str">
        <f t="shared" si="24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  <c r="G92" s="364" t="str">
        <f t="shared" si="21"/>
        <v>SUMMER DROP</v>
      </c>
    </row>
    <row r="93" spans="1:7" ht="15.95" customHeight="1">
      <c r="A93" s="364">
        <f t="shared" si="22"/>
        <v>29</v>
      </c>
      <c r="B93" s="364">
        <f t="shared" si="23"/>
        <v>0</v>
      </c>
      <c r="C93" s="364" t="str">
        <f t="shared" si="24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  <c r="G93" s="364" t="str">
        <f t="shared" si="21"/>
        <v>SUMMER DROP</v>
      </c>
    </row>
    <row r="94" spans="1:7" ht="17.100000000000001" customHeight="1">
      <c r="A94" s="364">
        <f t="shared" si="22"/>
        <v>30</v>
      </c>
      <c r="B94" s="364">
        <f t="shared" si="23"/>
        <v>0</v>
      </c>
      <c r="C94" s="364" t="str">
        <f t="shared" si="24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  <c r="G94" s="364" t="str">
        <f t="shared" si="21"/>
        <v>SUMMER DROP</v>
      </c>
    </row>
    <row r="95" spans="1:7" ht="15.95" customHeight="1">
      <c r="A95" s="364">
        <f t="shared" si="22"/>
        <v>31</v>
      </c>
      <c r="B95" s="364">
        <f t="shared" si="23"/>
        <v>0</v>
      </c>
      <c r="C95" s="364" t="str">
        <f t="shared" si="24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  <c r="G95" s="364" t="str">
        <f t="shared" si="21"/>
        <v>SUMMER DROP</v>
      </c>
    </row>
    <row r="96" spans="1:7" ht="17.100000000000001" customHeight="1">
      <c r="A96" s="364">
        <f t="shared" si="22"/>
        <v>32</v>
      </c>
      <c r="B96" s="364">
        <f t="shared" si="23"/>
        <v>0</v>
      </c>
      <c r="C96" s="364" t="str">
        <f t="shared" si="24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  <c r="G96" s="364" t="str">
        <f t="shared" si="21"/>
        <v>SUMMER DROP</v>
      </c>
    </row>
    <row r="97" spans="1:7" ht="15.95" customHeight="1">
      <c r="A97" s="364">
        <f t="shared" si="22"/>
        <v>33</v>
      </c>
      <c r="B97" s="364">
        <f t="shared" si="23"/>
        <v>0</v>
      </c>
      <c r="C97" s="364" t="str">
        <f t="shared" si="24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21"/>
        <v>SUMMER DROP</v>
      </c>
    </row>
    <row r="98" spans="1:7" ht="17.100000000000001" customHeight="1">
      <c r="A98" s="364">
        <f t="shared" si="22"/>
        <v>34</v>
      </c>
      <c r="B98" s="364">
        <f t="shared" si="23"/>
        <v>0</v>
      </c>
      <c r="C98" s="364" t="str">
        <f t="shared" si="24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21"/>
        <v>SUMMER DROP</v>
      </c>
    </row>
    <row r="99" spans="1:7" ht="15.95" customHeight="1">
      <c r="A99" s="364">
        <f t="shared" si="22"/>
        <v>35</v>
      </c>
      <c r="B99" s="364">
        <f t="shared" si="23"/>
        <v>0</v>
      </c>
      <c r="C99" s="364" t="str">
        <f t="shared" si="24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21"/>
        <v>SUMMER DROP</v>
      </c>
    </row>
    <row r="100" spans="1:7" ht="17.100000000000001" customHeight="1"/>
    <row r="101" spans="1:7" ht="15.95" customHeight="1"/>
    <row r="102" spans="1:7" ht="17.100000000000001" customHeight="1"/>
    <row r="103" spans="1:7" ht="15.95" customHeight="1"/>
    <row r="104" spans="1:7" ht="17.100000000000001" customHeight="1"/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EF27BA-A894-0540-A381-3E22DF13397A}">
          <x14:formula1>
            <xm:f>CLIENTES!$A$2:$A$1048576</xm:f>
          </x14:formula1>
          <xm:sqref>B27:B61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90EC-869F-D140-BC6F-8926AD8DE3CC}">
  <sheetPr>
    <tabColor theme="3" tint="0.79998168889431442"/>
  </sheetPr>
  <dimension ref="A1:AD108"/>
  <sheetViews>
    <sheetView showGridLines="0" zoomScale="85" zoomScaleNormal="125" workbookViewId="0">
      <selection activeCell="L89" sqref="L89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15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02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 xml:space="preserve">CABEZA </v>
      </c>
      <c r="Q3" s="309">
        <f>Z3</f>
        <v>35</v>
      </c>
      <c r="R3" s="310">
        <f>AA3-AA12</f>
        <v>8</v>
      </c>
      <c r="S3" s="310">
        <f t="shared" ref="S3:S8" si="0">AB3-AB12</f>
        <v>7</v>
      </c>
      <c r="T3" s="310">
        <f>SUM(R3:S3)</f>
        <v>15</v>
      </c>
      <c r="U3" s="252">
        <f>IFERROR(Q3*T3,"-")</f>
        <v>525</v>
      </c>
      <c r="Y3" s="302" t="str">
        <f>$P$27</f>
        <v xml:space="preserve">CABEZA </v>
      </c>
      <c r="Z3" s="309">
        <f>Z35</f>
        <v>35</v>
      </c>
      <c r="AA3" s="310">
        <f>R27</f>
        <v>9</v>
      </c>
      <c r="AB3" s="310">
        <f>S27</f>
        <v>8</v>
      </c>
      <c r="AC3" s="310">
        <f>SUM(AA3:AB3)</f>
        <v>17</v>
      </c>
      <c r="AD3" s="252">
        <f>IFERROR(Z3*AC3,"-")</f>
        <v>595</v>
      </c>
    </row>
    <row r="4" spans="2:30" ht="15.75" thickBot="1">
      <c r="B4" s="63"/>
      <c r="C4" s="63"/>
      <c r="D4" s="63"/>
      <c r="P4" s="302" t="str">
        <f>$P$28</f>
        <v>CALAVERA</v>
      </c>
      <c r="Q4" s="309">
        <f t="shared" ref="Q4:Q6" si="1">Z4</f>
        <v>35</v>
      </c>
      <c r="R4" s="310">
        <f t="shared" ref="R4:R8" si="2">AA4-AA13</f>
        <v>5</v>
      </c>
      <c r="S4" s="310">
        <f t="shared" si="0"/>
        <v>5</v>
      </c>
      <c r="T4" s="310">
        <f t="shared" ref="T4:T8" si="3">SUM(R4:S4)</f>
        <v>10</v>
      </c>
      <c r="U4" s="252">
        <f t="shared" ref="U4:U8" si="4">IFERROR(Q4*T4,"-")</f>
        <v>350</v>
      </c>
      <c r="Y4" s="302" t="str">
        <f>$P$28</f>
        <v>CALAVERA</v>
      </c>
      <c r="Z4" s="309">
        <f>Z36</f>
        <v>35</v>
      </c>
      <c r="AA4" s="310">
        <f>R28</f>
        <v>6</v>
      </c>
      <c r="AB4" s="310">
        <f>S28</f>
        <v>6</v>
      </c>
      <c r="AC4" s="310">
        <f t="shared" ref="AC4:AC8" si="5">SUM(AA4:AB4)</f>
        <v>12</v>
      </c>
      <c r="AD4" s="252">
        <f t="shared" ref="AD4:AD8" si="6">IFERROR(Z4*AC4,"-")</f>
        <v>420</v>
      </c>
    </row>
    <row r="5" spans="2:30" ht="15.75" thickBot="1">
      <c r="B5" s="63"/>
      <c r="C5" s="300" t="s">
        <v>122</v>
      </c>
      <c r="D5" s="301" t="s">
        <v>123</v>
      </c>
      <c r="P5" s="302">
        <f>$P$29</f>
        <v>0</v>
      </c>
      <c r="Q5" s="309">
        <f t="shared" si="1"/>
        <v>0</v>
      </c>
      <c r="R5" s="310">
        <f t="shared" si="2"/>
        <v>0</v>
      </c>
      <c r="S5" s="310">
        <f t="shared" si="0"/>
        <v>0</v>
      </c>
      <c r="T5" s="310">
        <f t="shared" si="3"/>
        <v>0</v>
      </c>
      <c r="U5" s="252">
        <f t="shared" si="4"/>
        <v>0</v>
      </c>
      <c r="Y5" s="302">
        <f>$P$29</f>
        <v>0</v>
      </c>
      <c r="Z5" s="309">
        <f>Z37</f>
        <v>0</v>
      </c>
      <c r="AA5" s="310">
        <f>R29</f>
        <v>0</v>
      </c>
      <c r="AB5" s="310">
        <f>S29</f>
        <v>0</v>
      </c>
      <c r="AC5" s="310">
        <f t="shared" si="5"/>
        <v>0</v>
      </c>
      <c r="AD5" s="252">
        <f t="shared" si="6"/>
        <v>0</v>
      </c>
    </row>
    <row r="6" spans="2:30">
      <c r="B6" s="270" t="s">
        <v>98</v>
      </c>
      <c r="C6" s="266">
        <f>U9</f>
        <v>875</v>
      </c>
      <c r="D6" s="267">
        <f>SUM(L27:$L$61)</f>
        <v>830</v>
      </c>
      <c r="P6" s="302">
        <f>$P$30</f>
        <v>0</v>
      </c>
      <c r="Q6" s="309">
        <f t="shared" si="1"/>
        <v>0</v>
      </c>
      <c r="R6" s="310">
        <f t="shared" si="2"/>
        <v>0</v>
      </c>
      <c r="S6" s="310">
        <f t="shared" si="0"/>
        <v>0</v>
      </c>
      <c r="T6" s="310">
        <f t="shared" si="3"/>
        <v>0</v>
      </c>
      <c r="U6" s="252">
        <f t="shared" si="4"/>
        <v>0</v>
      </c>
      <c r="Y6" s="302">
        <f>$P$30</f>
        <v>0</v>
      </c>
      <c r="Z6" s="309">
        <f>Z38</f>
        <v>0</v>
      </c>
      <c r="AA6" s="310">
        <f>R30</f>
        <v>0</v>
      </c>
      <c r="AB6" s="310">
        <f>S30</f>
        <v>0</v>
      </c>
      <c r="AC6" s="310">
        <f t="shared" si="5"/>
        <v>0</v>
      </c>
      <c r="AD6" s="252">
        <f t="shared" si="6"/>
        <v>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23">
        <f t="shared" si="6"/>
        <v>0</v>
      </c>
    </row>
    <row r="8" spans="2:30" ht="15.75" thickBot="1">
      <c r="B8" s="273" t="s">
        <v>125</v>
      </c>
      <c r="C8" s="257">
        <f>SUM(C6:C7)</f>
        <v>875</v>
      </c>
      <c r="D8" s="258">
        <f>SUM(D6:D7)</f>
        <v>830</v>
      </c>
      <c r="P8" s="279"/>
      <c r="Q8" s="312"/>
      <c r="R8" s="312">
        <f t="shared" si="2"/>
        <v>0</v>
      </c>
      <c r="S8" s="312">
        <f t="shared" si="0"/>
        <v>0</v>
      </c>
      <c r="T8" s="312">
        <f t="shared" si="3"/>
        <v>0</v>
      </c>
      <c r="U8" s="324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324">
        <f t="shared" si="6"/>
        <v>0</v>
      </c>
    </row>
    <row r="9" spans="2:30" ht="15.75" thickBot="1">
      <c r="B9" s="272" t="s">
        <v>126</v>
      </c>
      <c r="C9" s="259">
        <f>-$W$52</f>
        <v>-578.11</v>
      </c>
      <c r="D9" s="260">
        <f>C9</f>
        <v>-578.11</v>
      </c>
      <c r="P9" s="305" t="s">
        <v>127</v>
      </c>
      <c r="Q9" s="306"/>
      <c r="R9" s="306"/>
      <c r="S9" s="321"/>
      <c r="T9" s="333">
        <f>SUM(T3:T8)</f>
        <v>25</v>
      </c>
      <c r="U9" s="307">
        <f>SUM(U3:U8)</f>
        <v>875</v>
      </c>
      <c r="Y9" s="305" t="s">
        <v>142</v>
      </c>
      <c r="Z9" s="306"/>
      <c r="AA9" s="306"/>
      <c r="AB9" s="321"/>
      <c r="AC9" s="333">
        <f>SUM(AC3:AC8)</f>
        <v>29</v>
      </c>
      <c r="AD9" s="307">
        <f>SUM(AD3:AD8)</f>
        <v>1015</v>
      </c>
    </row>
    <row r="10" spans="2:30" ht="15.75" thickBot="1">
      <c r="B10" s="272" t="s">
        <v>128</v>
      </c>
      <c r="C10" s="259">
        <f>-$U$61</f>
        <v>-212.72</v>
      </c>
      <c r="D10" s="260">
        <f>C10</f>
        <v>-212.72</v>
      </c>
    </row>
    <row r="11" spans="2:30" ht="15.75" thickBot="1">
      <c r="B11" s="272" t="s">
        <v>130</v>
      </c>
      <c r="C11" s="259">
        <v>0</v>
      </c>
      <c r="D11" s="260"/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/>
      <c r="C12" s="259"/>
      <c r="D12" s="260"/>
      <c r="Y12" s="302" t="str">
        <f>$P$27</f>
        <v xml:space="preserve">CABEZA </v>
      </c>
      <c r="Z12" s="309">
        <f>AA35</f>
        <v>-25.984827586206897</v>
      </c>
      <c r="AA12" s="359">
        <v>1</v>
      </c>
      <c r="AB12" s="359">
        <v>1</v>
      </c>
      <c r="AC12" s="310">
        <f>SUM(AA12:AB12)</f>
        <v>2</v>
      </c>
      <c r="AD12" s="252">
        <f>IFERROR(Z12*AC12,"-")</f>
        <v>-51.969655172413795</v>
      </c>
    </row>
    <row r="13" spans="2:30">
      <c r="B13" s="271"/>
      <c r="C13" s="255"/>
      <c r="D13" s="256"/>
      <c r="Y13" s="302" t="str">
        <f>$P$28</f>
        <v>CALAVERA</v>
      </c>
      <c r="Z13" s="309">
        <f>AA36</f>
        <v>-27.194827586206898</v>
      </c>
      <c r="AA13" s="359">
        <v>1</v>
      </c>
      <c r="AB13" s="359">
        <v>1</v>
      </c>
      <c r="AC13" s="310">
        <f t="shared" ref="AC13:AC17" si="7">SUM(AA13:AB13)</f>
        <v>2</v>
      </c>
      <c r="AD13" s="252">
        <f t="shared" ref="AD13:AD17" si="8">IFERROR(Z13*AC13,"-")</f>
        <v>-54.389655172413796</v>
      </c>
    </row>
    <row r="14" spans="2:30">
      <c r="B14" s="273" t="s">
        <v>133</v>
      </c>
      <c r="C14" s="257">
        <f>SUM(C9:C13)</f>
        <v>-790.83</v>
      </c>
      <c r="D14" s="258">
        <f>SUM(D9:D13)</f>
        <v>-790.83</v>
      </c>
      <c r="Y14" s="302">
        <f>$P$29</f>
        <v>0</v>
      </c>
      <c r="Z14" s="309">
        <f>AA37</f>
        <v>0</v>
      </c>
      <c r="AA14" s="359"/>
      <c r="AB14" s="359"/>
      <c r="AC14" s="310">
        <f t="shared" si="7"/>
        <v>0</v>
      </c>
      <c r="AD14" s="252">
        <f t="shared" si="8"/>
        <v>0</v>
      </c>
    </row>
    <row r="15" spans="2:30" ht="15.75" thickBot="1">
      <c r="B15" s="274"/>
      <c r="C15" s="261"/>
      <c r="D15" s="262"/>
      <c r="Y15" s="302">
        <f>$P$30</f>
        <v>0</v>
      </c>
      <c r="Z15" s="309">
        <f>AA38</f>
        <v>0</v>
      </c>
      <c r="AA15" s="359"/>
      <c r="AB15" s="359"/>
      <c r="AC15" s="310">
        <f t="shared" si="7"/>
        <v>0</v>
      </c>
      <c r="AD15" s="252">
        <f t="shared" si="8"/>
        <v>0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23">
        <f t="shared" si="8"/>
        <v>0</v>
      </c>
    </row>
    <row r="17" spans="1:30" ht="15.75" thickBot="1">
      <c r="B17" s="275" t="s">
        <v>110</v>
      </c>
      <c r="C17" s="263">
        <f>C8+C14</f>
        <v>84.169999999999959</v>
      </c>
      <c r="D17" s="264">
        <f>D8+D14</f>
        <v>39.169999999999959</v>
      </c>
      <c r="Y17" s="279"/>
      <c r="Z17" s="312"/>
      <c r="AA17" s="360"/>
      <c r="AB17" s="360"/>
      <c r="AC17" s="312">
        <f t="shared" si="7"/>
        <v>0</v>
      </c>
      <c r="AD17" s="324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4</v>
      </c>
      <c r="AD18" s="307">
        <f>SUM(AD12:AD17)</f>
        <v>-106.35931034482759</v>
      </c>
    </row>
    <row r="19" spans="1:30">
      <c r="B19" t="s">
        <v>135</v>
      </c>
      <c r="C19" s="198">
        <f>IFERROR(ABS($C$9/$C$8),"-")</f>
        <v>0.66069714285714287</v>
      </c>
      <c r="D19" s="198">
        <f>IFERROR(ABS($D$10/$D$8),"-")</f>
        <v>0.25628915662650603</v>
      </c>
    </row>
    <row r="20" spans="1:30">
      <c r="B20" t="s">
        <v>114</v>
      </c>
      <c r="C20" s="198">
        <f>IFERROR(ABS($C$14/$C$8),"-")</f>
        <v>0.90380571428571432</v>
      </c>
      <c r="D20" s="198">
        <f>IFERROR(ABS($D$14/$D$8),"-")</f>
        <v>0.95280722891566272</v>
      </c>
    </row>
    <row r="21" spans="1:30" ht="15.75" thickBot="1"/>
    <row r="22" spans="1:30">
      <c r="C22" s="840" t="str">
        <f>$P$27</f>
        <v xml:space="preserve">CABEZA </v>
      </c>
      <c r="D22" s="767"/>
      <c r="E22" s="836" t="str">
        <f>$P$28</f>
        <v>CALAVERA</v>
      </c>
      <c r="F22" s="837"/>
      <c r="G22" s="838">
        <f>$P$29</f>
        <v>0</v>
      </c>
      <c r="H22" s="839"/>
      <c r="I22" s="838">
        <f>$P$30</f>
        <v>0</v>
      </c>
      <c r="J22" s="408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78">
        <f>SUM(C27:C61)</f>
        <v>8</v>
      </c>
      <c r="D24" s="249">
        <f t="shared" ref="D24:J24" si="9">SUM(D27:D61)</f>
        <v>7</v>
      </c>
      <c r="E24" s="286">
        <f t="shared" si="9"/>
        <v>5</v>
      </c>
      <c r="F24" s="249">
        <f t="shared" si="9"/>
        <v>5</v>
      </c>
      <c r="G24" s="284">
        <f t="shared" si="9"/>
        <v>0</v>
      </c>
      <c r="H24" s="248">
        <f t="shared" si="9"/>
        <v>0</v>
      </c>
      <c r="I24" s="284">
        <f t="shared" si="9"/>
        <v>0</v>
      </c>
      <c r="J24" s="246">
        <f t="shared" si="9"/>
        <v>0</v>
      </c>
      <c r="K24" s="322">
        <f>SUM(C24:J24)</f>
        <v>25</v>
      </c>
      <c r="L24" s="276">
        <f>K24-SUM(K27:K61)</f>
        <v>0</v>
      </c>
    </row>
    <row r="25" spans="1:30" ht="15.75" thickBot="1">
      <c r="B25" s="279" t="s">
        <v>137</v>
      </c>
      <c r="C25" s="373">
        <f>R3-C24</f>
        <v>0</v>
      </c>
      <c r="D25" s="291">
        <f t="shared" ref="D25" si="10">S3-D24</f>
        <v>0</v>
      </c>
      <c r="E25" s="290">
        <f>R4-E24</f>
        <v>0</v>
      </c>
      <c r="F25" s="374">
        <f>S4-F24</f>
        <v>0</v>
      </c>
      <c r="G25" s="290">
        <f>R5-G24</f>
        <v>0</v>
      </c>
      <c r="H25" s="291">
        <f>S5-H24</f>
        <v>0</v>
      </c>
      <c r="I25" s="290">
        <f>R6-I24</f>
        <v>0</v>
      </c>
      <c r="J25" s="292">
        <f>S6-J24</f>
        <v>0</v>
      </c>
      <c r="K25" s="247">
        <f>SUM(C25:J25)</f>
        <v>0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 ht="15.95" customHeight="1">
      <c r="A27">
        <v>1</v>
      </c>
      <c r="B27" s="339" t="s">
        <v>12</v>
      </c>
      <c r="C27" s="340"/>
      <c r="D27" s="341">
        <v>1</v>
      </c>
      <c r="E27" s="340"/>
      <c r="F27" s="341">
        <v>1</v>
      </c>
      <c r="G27" s="340"/>
      <c r="H27" s="341"/>
      <c r="I27" s="340"/>
      <c r="J27" s="342"/>
      <c r="K27" s="334">
        <f>SUM(C27:J27)</f>
        <v>2</v>
      </c>
      <c r="L27" s="254">
        <f>IFERROR(((C27+D27)*$Q$3)+((E27+F27)*$Q$4)+((G27+H27)*$Q$5)+((I27+J27)*$Q$6),"-")</f>
        <v>70</v>
      </c>
      <c r="M27" s="351"/>
      <c r="P27" s="354" t="s">
        <v>372</v>
      </c>
      <c r="Q27" s="355">
        <v>10.26</v>
      </c>
      <c r="R27" s="356">
        <v>9</v>
      </c>
      <c r="S27" s="356">
        <v>8</v>
      </c>
      <c r="T27" s="311">
        <f>R27+S27</f>
        <v>17</v>
      </c>
      <c r="U27" s="332">
        <f>IFERROR($W$36/$T$33,"-")</f>
        <v>9.6748275862068969</v>
      </c>
      <c r="V27" s="375">
        <f>IFERROR(Q27+U27,"-")</f>
        <v>19.934827586206897</v>
      </c>
      <c r="W27" s="251">
        <f>IFERROR(T27*V27,"-")</f>
        <v>338.89206896551724</v>
      </c>
      <c r="Y27" s="302" t="str">
        <f>$P$27</f>
        <v xml:space="preserve">CABEZA </v>
      </c>
      <c r="Z27" s="316">
        <f>V27</f>
        <v>19.934827586206897</v>
      </c>
      <c r="AA27" s="309">
        <f>T55</f>
        <v>6.05</v>
      </c>
      <c r="AB27" s="309"/>
      <c r="AC27" s="252">
        <f>SUM(Z27:AB27)</f>
        <v>25.984827586206897</v>
      </c>
    </row>
    <row r="28" spans="1:30" ht="17.100000000000001" customHeight="1">
      <c r="A28">
        <v>2</v>
      </c>
      <c r="B28" s="343" t="s">
        <v>79</v>
      </c>
      <c r="C28" s="344"/>
      <c r="D28" s="345">
        <v>1</v>
      </c>
      <c r="E28" s="344"/>
      <c r="F28" s="345"/>
      <c r="G28" s="344"/>
      <c r="H28" s="345"/>
      <c r="I28" s="344"/>
      <c r="J28" s="346"/>
      <c r="K28" s="335">
        <f t="shared" ref="K28:K61" si="11">SUM(C28:J28)</f>
        <v>1</v>
      </c>
      <c r="L28" s="259">
        <f t="shared" ref="L28:L61" si="12">IFERROR(((C28+D28)*$Q$3)+((E28+F28)*$Q$4)+((G28+H28)*$Q$5)+((I28+J28)*$Q$6),"-")</f>
        <v>35</v>
      </c>
      <c r="M28" s="352"/>
      <c r="P28" s="357" t="s">
        <v>337</v>
      </c>
      <c r="Q28" s="358">
        <v>10.26</v>
      </c>
      <c r="R28" s="359">
        <v>6</v>
      </c>
      <c r="S28" s="359">
        <v>6</v>
      </c>
      <c r="T28" s="310">
        <f t="shared" ref="T28:T32" si="13">R28+S28</f>
        <v>12</v>
      </c>
      <c r="U28" s="309">
        <f>IFERROR($W$36/$T$33,"-")</f>
        <v>9.6748275862068969</v>
      </c>
      <c r="V28" s="309">
        <f>IFERROR(Q28+U28,"-")</f>
        <v>19.934827586206897</v>
      </c>
      <c r="W28" s="252">
        <f t="shared" ref="W28:W32" si="14">IFERROR(T28*V28,"-")</f>
        <v>239.21793103448277</v>
      </c>
      <c r="Y28" s="302" t="str">
        <f>$P$28</f>
        <v>CALAVERA</v>
      </c>
      <c r="Z28" s="316">
        <f>V28</f>
        <v>19.934827586206897</v>
      </c>
      <c r="AA28" s="309">
        <f>T56</f>
        <v>7.26</v>
      </c>
      <c r="AB28" s="309"/>
      <c r="AC28" s="252">
        <f t="shared" ref="AC28:AC32" si="15">SUM(Z28:AB28)</f>
        <v>27.194827586206898</v>
      </c>
    </row>
    <row r="29" spans="1:30" ht="15.95" customHeight="1">
      <c r="A29">
        <v>3</v>
      </c>
      <c r="B29" s="343" t="s">
        <v>77</v>
      </c>
      <c r="C29" s="344">
        <v>1</v>
      </c>
      <c r="D29" s="345"/>
      <c r="E29" s="344"/>
      <c r="F29" s="345"/>
      <c r="G29" s="344"/>
      <c r="H29" s="345"/>
      <c r="I29" s="344"/>
      <c r="J29" s="346"/>
      <c r="K29" s="335">
        <f t="shared" si="11"/>
        <v>1</v>
      </c>
      <c r="L29" s="259">
        <f t="shared" si="12"/>
        <v>35</v>
      </c>
      <c r="M29" s="352"/>
      <c r="P29" s="357"/>
      <c r="Q29" s="358"/>
      <c r="R29" s="359"/>
      <c r="S29" s="359"/>
      <c r="T29" s="310">
        <f t="shared" si="13"/>
        <v>0</v>
      </c>
      <c r="U29" s="309"/>
      <c r="V29" s="309">
        <f>IFERROR(Q29+U29,"-")</f>
        <v>0</v>
      </c>
      <c r="W29" s="252">
        <f t="shared" si="14"/>
        <v>0</v>
      </c>
      <c r="Y29" s="302">
        <f>$P$29</f>
        <v>0</v>
      </c>
      <c r="Z29" s="316">
        <f>V29</f>
        <v>0</v>
      </c>
      <c r="AA29" s="309" t="str">
        <f>T57</f>
        <v>-</v>
      </c>
      <c r="AB29" s="309"/>
      <c r="AC29" s="252">
        <f t="shared" si="15"/>
        <v>0</v>
      </c>
    </row>
    <row r="30" spans="1:30" ht="17.100000000000001" customHeight="1">
      <c r="A30">
        <f>A29+1</f>
        <v>4</v>
      </c>
      <c r="B30" s="343" t="s">
        <v>92</v>
      </c>
      <c r="C30" s="344"/>
      <c r="D30" s="345"/>
      <c r="E30" s="344"/>
      <c r="F30" s="345">
        <v>1</v>
      </c>
      <c r="G30" s="344"/>
      <c r="H30" s="345"/>
      <c r="I30" s="344"/>
      <c r="J30" s="346"/>
      <c r="K30" s="335">
        <f t="shared" si="11"/>
        <v>1</v>
      </c>
      <c r="L30" s="259">
        <f t="shared" si="12"/>
        <v>35</v>
      </c>
      <c r="M30" s="352"/>
      <c r="P30" s="357"/>
      <c r="Q30" s="358"/>
      <c r="R30" s="359"/>
      <c r="S30" s="359"/>
      <c r="T30" s="310">
        <f t="shared" si="13"/>
        <v>0</v>
      </c>
      <c r="U30" s="309"/>
      <c r="V30" s="309">
        <f>IFERROR(Q30+U30,"-")</f>
        <v>0</v>
      </c>
      <c r="W30" s="252">
        <f t="shared" si="14"/>
        <v>0</v>
      </c>
      <c r="Y30" s="302">
        <f>$P$30</f>
        <v>0</v>
      </c>
      <c r="Z30" s="316">
        <f>V30</f>
        <v>0</v>
      </c>
      <c r="AA30" s="320" t="str">
        <f>T58</f>
        <v>-</v>
      </c>
      <c r="AB30" s="320"/>
      <c r="AC30" s="252">
        <f>SUM(Z30:AB30)</f>
        <v>0</v>
      </c>
    </row>
    <row r="31" spans="1:30" ht="15.95" customHeight="1">
      <c r="A31">
        <f t="shared" ref="A31:A61" si="16">A30+1</f>
        <v>5</v>
      </c>
      <c r="B31" s="343" t="s">
        <v>57</v>
      </c>
      <c r="C31" s="344">
        <v>1</v>
      </c>
      <c r="D31" s="345"/>
      <c r="E31" s="344"/>
      <c r="F31" s="345"/>
      <c r="G31" s="344"/>
      <c r="H31" s="345"/>
      <c r="I31" s="344"/>
      <c r="J31" s="346"/>
      <c r="K31" s="335">
        <f t="shared" si="11"/>
        <v>1</v>
      </c>
      <c r="L31" s="259">
        <f t="shared" si="12"/>
        <v>35</v>
      </c>
      <c r="M31" s="352"/>
      <c r="P31" s="343"/>
      <c r="Q31" s="359"/>
      <c r="R31" s="359"/>
      <c r="S31" s="359"/>
      <c r="T31" s="310">
        <f t="shared" si="13"/>
        <v>0</v>
      </c>
      <c r="U31" s="309"/>
      <c r="V31" s="309">
        <f>IFERROR(Q31+U31,"-")</f>
        <v>0</v>
      </c>
      <c r="W31" s="252">
        <f t="shared" si="14"/>
        <v>0</v>
      </c>
      <c r="Y31" s="278"/>
      <c r="Z31" s="310"/>
      <c r="AA31" s="317"/>
      <c r="AB31" s="317"/>
      <c r="AC31" s="323">
        <f t="shared" si="15"/>
        <v>0</v>
      </c>
    </row>
    <row r="32" spans="1:30" ht="17.100000000000001" customHeight="1" thickBot="1">
      <c r="A32">
        <f t="shared" si="16"/>
        <v>6</v>
      </c>
      <c r="B32" s="343" t="s">
        <v>33</v>
      </c>
      <c r="C32" s="344"/>
      <c r="D32" s="345">
        <v>1</v>
      </c>
      <c r="E32" s="344"/>
      <c r="F32" s="345"/>
      <c r="G32" s="344"/>
      <c r="H32" s="345"/>
      <c r="I32" s="344"/>
      <c r="J32" s="346"/>
      <c r="K32" s="335">
        <f t="shared" si="11"/>
        <v>1</v>
      </c>
      <c r="L32" s="259">
        <f t="shared" si="12"/>
        <v>35</v>
      </c>
      <c r="M32" s="352"/>
      <c r="P32" s="347"/>
      <c r="Q32" s="360"/>
      <c r="R32" s="360"/>
      <c r="S32" s="360"/>
      <c r="T32" s="312">
        <f t="shared" si="13"/>
        <v>0</v>
      </c>
      <c r="U32" s="328"/>
      <c r="V32" s="328">
        <f>IFERROR(Q32+U32,"-")</f>
        <v>0</v>
      </c>
      <c r="W32" s="253">
        <f t="shared" si="14"/>
        <v>0</v>
      </c>
      <c r="Y32" s="279"/>
      <c r="Z32" s="312"/>
      <c r="AA32" s="319"/>
      <c r="AB32" s="319"/>
      <c r="AC32" s="324">
        <f t="shared" si="15"/>
        <v>0</v>
      </c>
    </row>
    <row r="33" spans="1:29" ht="17.100000000000001" customHeight="1" thickBot="1">
      <c r="A33">
        <f t="shared" si="16"/>
        <v>7</v>
      </c>
      <c r="B33" s="343" t="s">
        <v>80</v>
      </c>
      <c r="C33" s="344"/>
      <c r="D33" s="345"/>
      <c r="E33" s="344"/>
      <c r="F33" s="345">
        <v>1</v>
      </c>
      <c r="G33" s="344"/>
      <c r="H33" s="345"/>
      <c r="I33" s="344"/>
      <c r="J33" s="346"/>
      <c r="K33" s="335">
        <f t="shared" si="11"/>
        <v>1</v>
      </c>
      <c r="L33" s="259">
        <f t="shared" si="12"/>
        <v>35</v>
      </c>
      <c r="M33" s="352"/>
      <c r="P33" s="313" t="s">
        <v>113</v>
      </c>
      <c r="Q33" s="308"/>
      <c r="R33" s="308"/>
      <c r="S33" s="308"/>
      <c r="T33" s="308">
        <f>SUM(T27:T32)</f>
        <v>29</v>
      </c>
      <c r="U33" s="329"/>
      <c r="V33" s="308"/>
      <c r="W33" s="314">
        <f>SUM(W27:W32)</f>
        <v>578.11</v>
      </c>
    </row>
    <row r="34" spans="1:29" ht="17.100000000000001" customHeight="1" thickBot="1">
      <c r="A34">
        <f t="shared" si="16"/>
        <v>8</v>
      </c>
      <c r="B34" s="343" t="s">
        <v>44</v>
      </c>
      <c r="C34" s="344"/>
      <c r="D34" s="345"/>
      <c r="E34" s="344">
        <v>1</v>
      </c>
      <c r="F34" s="345"/>
      <c r="G34" s="344"/>
      <c r="H34" s="345"/>
      <c r="I34" s="344"/>
      <c r="J34" s="346"/>
      <c r="K34" s="335">
        <f t="shared" si="11"/>
        <v>1</v>
      </c>
      <c r="L34" s="259">
        <f t="shared" si="12"/>
        <v>35</v>
      </c>
      <c r="M34" s="352"/>
      <c r="P34" s="357" t="s">
        <v>129</v>
      </c>
      <c r="Q34" s="361"/>
      <c r="R34" s="361"/>
      <c r="S34" s="361"/>
      <c r="T34" s="361"/>
      <c r="U34" s="361"/>
      <c r="V34" s="361"/>
      <c r="W34" s="362">
        <v>90</v>
      </c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 ht="15.95" customHeight="1">
      <c r="A35">
        <f t="shared" si="16"/>
        <v>9</v>
      </c>
      <c r="B35" s="343" t="s">
        <v>46</v>
      </c>
      <c r="C35" s="344">
        <v>1</v>
      </c>
      <c r="D35" s="345"/>
      <c r="E35" s="344"/>
      <c r="F35" s="345"/>
      <c r="G35" s="344"/>
      <c r="H35" s="345"/>
      <c r="I35" s="344"/>
      <c r="J35" s="346"/>
      <c r="K35" s="335">
        <f t="shared" si="11"/>
        <v>1</v>
      </c>
      <c r="L35" s="259">
        <f t="shared" si="12"/>
        <v>35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v>190.57</v>
      </c>
      <c r="Y35" s="302" t="str">
        <f>$P$27</f>
        <v xml:space="preserve">CABEZA </v>
      </c>
      <c r="Z35" s="363">
        <v>35</v>
      </c>
      <c r="AA35" s="309">
        <f>-AC27</f>
        <v>-25.984827586206897</v>
      </c>
      <c r="AB35" s="309">
        <f>SUM(Z35:AA35)</f>
        <v>9.0151724137931026</v>
      </c>
      <c r="AC35" s="330">
        <f>AB35/Z35</f>
        <v>0.25757635467980294</v>
      </c>
    </row>
    <row r="36" spans="1:29" ht="17.100000000000001" customHeight="1" thickBot="1">
      <c r="A36">
        <f t="shared" si="16"/>
        <v>10</v>
      </c>
      <c r="B36" s="343" t="s">
        <v>42</v>
      </c>
      <c r="C36" s="344"/>
      <c r="D36" s="345">
        <v>1</v>
      </c>
      <c r="E36" s="344"/>
      <c r="F36" s="345">
        <v>1</v>
      </c>
      <c r="G36" s="344"/>
      <c r="H36" s="345"/>
      <c r="I36" s="344"/>
      <c r="J36" s="346"/>
      <c r="K36" s="335">
        <f t="shared" si="11"/>
        <v>2</v>
      </c>
      <c r="L36" s="259">
        <f t="shared" si="12"/>
        <v>70</v>
      </c>
      <c r="M36" s="352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280.57</v>
      </c>
      <c r="Y36" s="302" t="str">
        <f>$P$28</f>
        <v>CALAVERA</v>
      </c>
      <c r="Z36" s="363">
        <v>35</v>
      </c>
      <c r="AA36" s="309">
        <f>-AC28</f>
        <v>-27.194827586206898</v>
      </c>
      <c r="AB36" s="309">
        <f t="shared" ref="AB36:AB38" si="17">SUM(Z36:AA36)</f>
        <v>7.8051724137931018</v>
      </c>
      <c r="AC36" s="330">
        <f t="shared" ref="AC36:AC38" si="18">AB36/Z36</f>
        <v>0.22300492610837433</v>
      </c>
    </row>
    <row r="37" spans="1:29" ht="17.100000000000001" customHeight="1" thickBot="1">
      <c r="A37">
        <f t="shared" si="16"/>
        <v>11</v>
      </c>
      <c r="B37" s="343" t="s">
        <v>58</v>
      </c>
      <c r="C37" s="344"/>
      <c r="D37" s="345"/>
      <c r="E37" s="344">
        <v>1</v>
      </c>
      <c r="F37" s="345"/>
      <c r="G37" s="344"/>
      <c r="H37" s="345"/>
      <c r="I37" s="344"/>
      <c r="J37" s="346"/>
      <c r="K37" s="335">
        <f t="shared" si="11"/>
        <v>1</v>
      </c>
      <c r="L37" s="259">
        <f t="shared" si="12"/>
        <v>35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578.11</v>
      </c>
      <c r="Y37" s="302">
        <f>$P$29</f>
        <v>0</v>
      </c>
      <c r="Z37" s="363"/>
      <c r="AA37" s="309">
        <f>-AC29</f>
        <v>0</v>
      </c>
      <c r="AB37" s="309">
        <f t="shared" si="17"/>
        <v>0</v>
      </c>
      <c r="AC37" s="330" t="e">
        <f t="shared" si="18"/>
        <v>#DIV/0!</v>
      </c>
    </row>
    <row r="38" spans="1:29" ht="17.100000000000001" customHeight="1" thickBot="1">
      <c r="A38">
        <f t="shared" si="16"/>
        <v>12</v>
      </c>
      <c r="B38" s="343" t="s">
        <v>35</v>
      </c>
      <c r="C38" s="344"/>
      <c r="D38" s="345"/>
      <c r="E38" s="344">
        <v>1</v>
      </c>
      <c r="F38" s="345"/>
      <c r="G38" s="344"/>
      <c r="H38" s="345"/>
      <c r="I38" s="344"/>
      <c r="J38" s="346"/>
      <c r="K38" s="335">
        <f t="shared" si="11"/>
        <v>1</v>
      </c>
      <c r="L38" s="259">
        <f t="shared" si="12"/>
        <v>35</v>
      </c>
      <c r="M38" s="352"/>
      <c r="W38" s="276">
        <f>Q27*T27+Q28*T28+Q29*T29+Q30*T30+Q31*T31+Q32*T32+W36-W37</f>
        <v>0</v>
      </c>
      <c r="Y38" s="302">
        <f>$P$30</f>
        <v>0</v>
      </c>
      <c r="Z38" s="363"/>
      <c r="AA38" s="320">
        <f>-AC30</f>
        <v>0</v>
      </c>
      <c r="AB38" s="320">
        <f t="shared" si="17"/>
        <v>0</v>
      </c>
      <c r="AC38" s="330" t="e">
        <f t="shared" si="18"/>
        <v>#DIV/0!</v>
      </c>
    </row>
    <row r="39" spans="1:29" ht="17.100000000000001" customHeight="1" thickBot="1">
      <c r="A39">
        <f t="shared" si="16"/>
        <v>13</v>
      </c>
      <c r="B39" s="343" t="s">
        <v>20</v>
      </c>
      <c r="C39" s="344">
        <v>1</v>
      </c>
      <c r="D39" s="345"/>
      <c r="E39" s="344"/>
      <c r="F39" s="345"/>
      <c r="G39" s="344"/>
      <c r="H39" s="345"/>
      <c r="I39" s="344"/>
      <c r="J39" s="346"/>
      <c r="K39" s="335">
        <f t="shared" si="11"/>
        <v>1</v>
      </c>
      <c r="L39" s="259">
        <f t="shared" si="12"/>
        <v>35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7.100000000000001" customHeight="1" thickBot="1">
      <c r="A40">
        <f t="shared" si="16"/>
        <v>14</v>
      </c>
      <c r="B40" s="343" t="s">
        <v>34</v>
      </c>
      <c r="C40" s="344"/>
      <c r="D40" s="345">
        <v>1</v>
      </c>
      <c r="E40" s="344"/>
      <c r="F40" s="345">
        <v>1</v>
      </c>
      <c r="G40" s="344"/>
      <c r="H40" s="345"/>
      <c r="I40" s="344"/>
      <c r="J40" s="346"/>
      <c r="K40" s="335">
        <f t="shared" si="11"/>
        <v>2</v>
      </c>
      <c r="L40" s="259">
        <f>IFERROR(((C40+D40)*$Q$3)+((E40+F40)*$Q$4)+((G40+H40)*$Q$5)+((I40+J40)*$Q$6),"-")-10</f>
        <v>60</v>
      </c>
      <c r="M40" s="352"/>
      <c r="P40" s="357"/>
      <c r="Q40" s="358"/>
      <c r="R40" s="356"/>
      <c r="S40" s="356"/>
      <c r="T40" s="311">
        <f>SUM(R40:S40)</f>
        <v>0</v>
      </c>
      <c r="U40" s="316" t="str">
        <f>IFERROR($W$49/$T$46,"-")</f>
        <v>-</v>
      </c>
      <c r="V40" s="376" t="str">
        <f>IFERROR(Q40+U40,"-")</f>
        <v>-</v>
      </c>
      <c r="W40" s="252" t="str">
        <f>IFERROR(T40*V40,"-")</f>
        <v>-</v>
      </c>
      <c r="Y40" s="279"/>
      <c r="Z40" s="360"/>
      <c r="AA40" s="319"/>
      <c r="AB40" s="319"/>
      <c r="AC40" s="205"/>
    </row>
    <row r="41" spans="1:29" ht="15.95" customHeight="1">
      <c r="A41">
        <f t="shared" si="16"/>
        <v>15</v>
      </c>
      <c r="B41" s="343" t="s">
        <v>69</v>
      </c>
      <c r="C41" s="344">
        <v>1</v>
      </c>
      <c r="D41" s="345"/>
      <c r="E41" s="344"/>
      <c r="F41" s="345"/>
      <c r="G41" s="344"/>
      <c r="H41" s="345"/>
      <c r="I41" s="344"/>
      <c r="J41" s="346"/>
      <c r="K41" s="335">
        <f t="shared" si="11"/>
        <v>1</v>
      </c>
      <c r="L41" s="259">
        <f t="shared" si="12"/>
        <v>35</v>
      </c>
      <c r="M41" s="352"/>
      <c r="P41" s="357"/>
      <c r="Q41" s="358"/>
      <c r="R41" s="359"/>
      <c r="S41" s="359"/>
      <c r="T41" s="310">
        <f t="shared" ref="T41:T45" si="19">SUM(R41:S41)</f>
        <v>0</v>
      </c>
      <c r="U41" s="309" t="str">
        <f>IFERROR($W$49/$T$46,"-")</f>
        <v>-</v>
      </c>
      <c r="V41" s="309" t="str">
        <f>IFERROR(Q41+U41,"-")</f>
        <v>-</v>
      </c>
      <c r="W41" s="252" t="str">
        <f t="shared" ref="W41:W45" si="20">IFERROR(T41*V41,"-")</f>
        <v>-</v>
      </c>
    </row>
    <row r="42" spans="1:29" ht="17.100000000000001" customHeight="1">
      <c r="A42">
        <f t="shared" si="16"/>
        <v>16</v>
      </c>
      <c r="B42" s="343" t="s">
        <v>84</v>
      </c>
      <c r="C42" s="344">
        <v>1</v>
      </c>
      <c r="D42" s="345"/>
      <c r="E42" s="344"/>
      <c r="F42" s="345"/>
      <c r="G42" s="344"/>
      <c r="H42" s="345"/>
      <c r="I42" s="344"/>
      <c r="J42" s="346"/>
      <c r="K42" s="335">
        <f t="shared" si="11"/>
        <v>1</v>
      </c>
      <c r="L42" s="259">
        <f t="shared" si="12"/>
        <v>35</v>
      </c>
      <c r="M42" s="352"/>
      <c r="P42" s="357"/>
      <c r="Q42" s="358"/>
      <c r="R42" s="359"/>
      <c r="S42" s="359"/>
      <c r="T42" s="310">
        <f t="shared" si="19"/>
        <v>0</v>
      </c>
      <c r="U42" s="309" t="str">
        <f>IFERROR($W$49/$T$46,"-")</f>
        <v>-</v>
      </c>
      <c r="V42" s="309" t="str">
        <f>IFERROR(Q42+U42,"-")</f>
        <v>-</v>
      </c>
      <c r="W42" s="252" t="str">
        <f t="shared" si="20"/>
        <v>-</v>
      </c>
    </row>
    <row r="43" spans="1:29" ht="15.95" customHeight="1">
      <c r="A43">
        <f t="shared" si="16"/>
        <v>17</v>
      </c>
      <c r="B43" s="343" t="s">
        <v>31</v>
      </c>
      <c r="C43" s="344"/>
      <c r="D43" s="345">
        <v>1</v>
      </c>
      <c r="E43" s="344">
        <v>1</v>
      </c>
      <c r="F43" s="345"/>
      <c r="G43" s="344"/>
      <c r="H43" s="345"/>
      <c r="I43" s="344"/>
      <c r="J43" s="346"/>
      <c r="K43" s="335">
        <f t="shared" si="11"/>
        <v>2</v>
      </c>
      <c r="L43" s="259">
        <f t="shared" si="12"/>
        <v>70</v>
      </c>
      <c r="M43" s="352"/>
      <c r="P43" s="357"/>
      <c r="Q43" s="358"/>
      <c r="R43" s="359"/>
      <c r="S43" s="359"/>
      <c r="T43" s="310">
        <f t="shared" si="19"/>
        <v>0</v>
      </c>
      <c r="U43" s="309" t="str">
        <f>IFERROR($W$49/$T$46,"-")</f>
        <v>-</v>
      </c>
      <c r="V43" s="309" t="str">
        <f>IFERROR(Q43+U43,"-")</f>
        <v>-</v>
      </c>
      <c r="W43" s="252" t="str">
        <f t="shared" si="20"/>
        <v>-</v>
      </c>
    </row>
    <row r="44" spans="1:29" ht="17.100000000000001" customHeight="1">
      <c r="A44">
        <f t="shared" si="16"/>
        <v>18</v>
      </c>
      <c r="B44" s="343" t="s">
        <v>53</v>
      </c>
      <c r="C44" s="344">
        <v>1</v>
      </c>
      <c r="D44" s="345"/>
      <c r="E44" s="344"/>
      <c r="F44" s="345"/>
      <c r="G44" s="344"/>
      <c r="H44" s="345"/>
      <c r="I44" s="344"/>
      <c r="J44" s="346"/>
      <c r="K44" s="335">
        <f t="shared" si="11"/>
        <v>1</v>
      </c>
      <c r="L44" s="259">
        <f t="shared" si="12"/>
        <v>35</v>
      </c>
      <c r="M44" s="352"/>
      <c r="P44" s="343"/>
      <c r="Q44" s="359"/>
      <c r="R44" s="359"/>
      <c r="S44" s="359"/>
      <c r="T44" s="310">
        <f t="shared" si="19"/>
        <v>0</v>
      </c>
      <c r="U44" s="309"/>
      <c r="V44" s="309">
        <f>IFERROR(Q44+U44,"-")</f>
        <v>0</v>
      </c>
      <c r="W44" s="252">
        <f t="shared" si="20"/>
        <v>0</v>
      </c>
    </row>
    <row r="45" spans="1:29" ht="17.100000000000001" customHeight="1" thickBot="1">
      <c r="A45">
        <f t="shared" si="16"/>
        <v>19</v>
      </c>
      <c r="B45" s="343" t="s">
        <v>56</v>
      </c>
      <c r="C45" s="344"/>
      <c r="D45" s="345">
        <v>1</v>
      </c>
      <c r="E45" s="344"/>
      <c r="F45" s="345"/>
      <c r="G45" s="344"/>
      <c r="H45" s="345"/>
      <c r="I45" s="344"/>
      <c r="J45" s="346"/>
      <c r="K45" s="335">
        <f t="shared" si="11"/>
        <v>1</v>
      </c>
      <c r="L45" s="259">
        <f t="shared" si="12"/>
        <v>35</v>
      </c>
      <c r="M45" s="352"/>
      <c r="P45" s="347"/>
      <c r="Q45" s="360"/>
      <c r="R45" s="360"/>
      <c r="S45" s="360"/>
      <c r="T45" s="312">
        <f t="shared" si="19"/>
        <v>0</v>
      </c>
      <c r="U45" s="328"/>
      <c r="V45" s="328">
        <f>IFERROR(Q45+U45,"-")</f>
        <v>0</v>
      </c>
      <c r="W45" s="253">
        <f t="shared" si="20"/>
        <v>0</v>
      </c>
    </row>
    <row r="46" spans="1:29" ht="17.100000000000001" customHeight="1">
      <c r="A46">
        <f t="shared" si="16"/>
        <v>20</v>
      </c>
      <c r="B46" s="343" t="s">
        <v>38</v>
      </c>
      <c r="C46" s="344">
        <v>1</v>
      </c>
      <c r="D46" s="345"/>
      <c r="E46" s="344"/>
      <c r="F46" s="345"/>
      <c r="G46" s="344"/>
      <c r="H46" s="345"/>
      <c r="I46" s="344"/>
      <c r="J46" s="346"/>
      <c r="K46" s="335">
        <f t="shared" si="11"/>
        <v>1</v>
      </c>
      <c r="L46" s="259">
        <f t="shared" si="12"/>
        <v>35</v>
      </c>
      <c r="M46" s="352"/>
      <c r="P46" s="313" t="s">
        <v>113</v>
      </c>
      <c r="Q46" s="308"/>
      <c r="R46" s="308"/>
      <c r="S46" s="308"/>
      <c r="T46" s="308">
        <f>SUM(T40:T45)</f>
        <v>0</v>
      </c>
      <c r="U46" s="329"/>
      <c r="V46" s="308"/>
      <c r="W46" s="314">
        <f>SUM(W40:W45)</f>
        <v>0</v>
      </c>
    </row>
    <row r="47" spans="1:29" ht="15.95" customHeight="1">
      <c r="A47">
        <f t="shared" si="16"/>
        <v>21</v>
      </c>
      <c r="B47" s="343" t="s">
        <v>41</v>
      </c>
      <c r="C47" s="344"/>
      <c r="D47" s="345"/>
      <c r="E47" s="344">
        <v>1</v>
      </c>
      <c r="F47" s="345"/>
      <c r="G47" s="344"/>
      <c r="H47" s="345"/>
      <c r="I47" s="344"/>
      <c r="J47" s="346"/>
      <c r="K47" s="335">
        <f t="shared" si="11"/>
        <v>1</v>
      </c>
      <c r="L47" s="259"/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 ht="17.100000000000001" customHeight="1">
      <c r="A48">
        <f t="shared" si="16"/>
        <v>22</v>
      </c>
      <c r="B48" s="343"/>
      <c r="C48" s="344"/>
      <c r="D48" s="345"/>
      <c r="E48" s="344"/>
      <c r="F48" s="345"/>
      <c r="G48" s="344"/>
      <c r="H48" s="345"/>
      <c r="I48" s="344"/>
      <c r="J48" s="346"/>
      <c r="K48" s="335">
        <f t="shared" si="11"/>
        <v>0</v>
      </c>
      <c r="L48" s="259">
        <f t="shared" si="12"/>
        <v>0</v>
      </c>
      <c r="M48" s="352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7.100000000000001" customHeight="1" thickBot="1">
      <c r="A49">
        <f t="shared" si="16"/>
        <v>23</v>
      </c>
      <c r="B49" s="343"/>
      <c r="C49" s="344"/>
      <c r="D49" s="345"/>
      <c r="E49" s="344"/>
      <c r="F49" s="345"/>
      <c r="G49" s="344"/>
      <c r="H49" s="345"/>
      <c r="I49" s="344"/>
      <c r="J49" s="346"/>
      <c r="K49" s="335">
        <f t="shared" si="11"/>
        <v>0</v>
      </c>
      <c r="L49" s="259">
        <f t="shared" si="12"/>
        <v>0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7.100000000000001" customHeight="1" thickBot="1">
      <c r="A50">
        <f t="shared" si="16"/>
        <v>24</v>
      </c>
      <c r="B50" s="343"/>
      <c r="C50" s="344"/>
      <c r="D50" s="345"/>
      <c r="E50" s="344"/>
      <c r="F50" s="345"/>
      <c r="G50" s="344"/>
      <c r="H50" s="345"/>
      <c r="I50" s="344"/>
      <c r="J50" s="346"/>
      <c r="K50" s="335">
        <f t="shared" si="11"/>
        <v>0</v>
      </c>
      <c r="L50" s="259">
        <f t="shared" si="12"/>
        <v>0</v>
      </c>
      <c r="M50" s="352"/>
      <c r="P50" s="305" t="s">
        <v>132</v>
      </c>
      <c r="Q50" s="306"/>
      <c r="R50" s="306"/>
      <c r="S50" s="306"/>
      <c r="T50" s="306"/>
      <c r="U50" s="306"/>
      <c r="V50" s="306"/>
      <c r="W50" s="307">
        <f>-W46</f>
        <v>0</v>
      </c>
    </row>
    <row r="51" spans="1:23" ht="17.100000000000001" customHeight="1" thickBot="1">
      <c r="A51">
        <f t="shared" si="16"/>
        <v>25</v>
      </c>
      <c r="B51" s="343"/>
      <c r="C51" s="344"/>
      <c r="D51" s="345"/>
      <c r="E51" s="344"/>
      <c r="F51" s="345"/>
      <c r="G51" s="344"/>
      <c r="H51" s="345"/>
      <c r="I51" s="344"/>
      <c r="J51" s="346"/>
      <c r="K51" s="335">
        <f t="shared" si="11"/>
        <v>0</v>
      </c>
      <c r="L51" s="259">
        <f t="shared" si="12"/>
        <v>0</v>
      </c>
      <c r="M51" s="352"/>
      <c r="W51" s="276">
        <f>Q40*T40+Q41*T41+Q42*T42+Q43*T43+Q44*T44+Q45*T45+W49+W50</f>
        <v>0</v>
      </c>
    </row>
    <row r="52" spans="1:23" ht="17.100000000000001" customHeight="1" thickBot="1">
      <c r="A52">
        <f t="shared" si="16"/>
        <v>26</v>
      </c>
      <c r="B52" s="343"/>
      <c r="C52" s="344"/>
      <c r="D52" s="345"/>
      <c r="E52" s="344"/>
      <c r="F52" s="345"/>
      <c r="G52" s="344"/>
      <c r="H52" s="345"/>
      <c r="I52" s="344"/>
      <c r="J52" s="346"/>
      <c r="K52" s="335">
        <f t="shared" si="11"/>
        <v>0</v>
      </c>
      <c r="L52" s="259">
        <f t="shared" si="12"/>
        <v>0</v>
      </c>
      <c r="M52" s="352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578.11</v>
      </c>
    </row>
    <row r="53" spans="1:23" ht="17.100000000000001" customHeight="1" thickBot="1">
      <c r="A53">
        <f t="shared" si="16"/>
        <v>27</v>
      </c>
      <c r="B53" s="343"/>
      <c r="C53" s="344"/>
      <c r="D53" s="345"/>
      <c r="E53" s="344"/>
      <c r="F53" s="345"/>
      <c r="G53" s="344"/>
      <c r="H53" s="345"/>
      <c r="I53" s="344"/>
      <c r="J53" s="346"/>
      <c r="K53" s="335">
        <f t="shared" si="11"/>
        <v>0</v>
      </c>
      <c r="L53" s="259">
        <f t="shared" si="12"/>
        <v>0</v>
      </c>
      <c r="M53" s="352"/>
    </row>
    <row r="54" spans="1:23" ht="17.100000000000001" customHeight="1" thickBot="1">
      <c r="A54">
        <f t="shared" si="16"/>
        <v>28</v>
      </c>
      <c r="B54" s="343"/>
      <c r="C54" s="344"/>
      <c r="D54" s="345"/>
      <c r="E54" s="344"/>
      <c r="F54" s="345"/>
      <c r="G54" s="344"/>
      <c r="H54" s="345"/>
      <c r="I54" s="344"/>
      <c r="J54" s="346"/>
      <c r="K54" s="335">
        <f t="shared" si="11"/>
        <v>0</v>
      </c>
      <c r="L54" s="259">
        <f t="shared" si="12"/>
        <v>0</v>
      </c>
      <c r="M54" s="352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 ht="15.95" customHeight="1">
      <c r="A55">
        <f t="shared" si="16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35">
        <f t="shared" si="11"/>
        <v>0</v>
      </c>
      <c r="L55" s="259">
        <f t="shared" si="12"/>
        <v>0</v>
      </c>
      <c r="M55" s="352"/>
      <c r="P55" s="302" t="str">
        <f>$P$27</f>
        <v xml:space="preserve">CABEZA </v>
      </c>
      <c r="Q55" s="358">
        <v>5</v>
      </c>
      <c r="R55" s="310">
        <f>T27</f>
        <v>17</v>
      </c>
      <c r="S55" s="309">
        <f>IFERROR(((Q55*R55)*0.21)/R55,"-")</f>
        <v>1.0499999999999998</v>
      </c>
      <c r="T55" s="309">
        <f>IFERROR(Q55+S55,"-")</f>
        <v>6.05</v>
      </c>
      <c r="U55" s="252">
        <f>IFERROR(R55*T55,"-")</f>
        <v>102.85</v>
      </c>
    </row>
    <row r="56" spans="1:23" ht="17.100000000000001" customHeight="1">
      <c r="A56">
        <f t="shared" si="16"/>
        <v>30</v>
      </c>
      <c r="B56" s="343"/>
      <c r="C56" s="344"/>
      <c r="D56" s="345"/>
      <c r="E56" s="344"/>
      <c r="F56" s="345"/>
      <c r="G56" s="344"/>
      <c r="H56" s="345"/>
      <c r="I56" s="344"/>
      <c r="J56" s="346"/>
      <c r="K56" s="335">
        <f t="shared" si="11"/>
        <v>0</v>
      </c>
      <c r="L56" s="259">
        <f t="shared" si="12"/>
        <v>0</v>
      </c>
      <c r="M56" s="352"/>
      <c r="P56" s="302" t="str">
        <f>$P$28</f>
        <v>CALAVERA</v>
      </c>
      <c r="Q56" s="358">
        <v>6</v>
      </c>
      <c r="R56" s="310">
        <f>T28</f>
        <v>12</v>
      </c>
      <c r="S56" s="309">
        <f>IFERROR(((Q56*R56)*0.21)/R56,"-")</f>
        <v>1.26</v>
      </c>
      <c r="T56" s="309">
        <f>IFERROR(Q56+S56,"-")</f>
        <v>7.26</v>
      </c>
      <c r="U56" s="252">
        <f>IFERROR(R56*T56,"-")</f>
        <v>87.12</v>
      </c>
    </row>
    <row r="57" spans="1:23" ht="15.95" customHeight="1">
      <c r="A57">
        <f t="shared" si="16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35">
        <f t="shared" si="11"/>
        <v>0</v>
      </c>
      <c r="L57" s="259">
        <f t="shared" si="12"/>
        <v>0</v>
      </c>
      <c r="M57" s="352"/>
      <c r="P57" s="302" t="s">
        <v>373</v>
      </c>
      <c r="Q57" s="358"/>
      <c r="R57" s="310"/>
      <c r="S57" s="309" t="str">
        <f>IFERROR(((Q57*R57)*0.21)/R57,"-")</f>
        <v>-</v>
      </c>
      <c r="T57" s="309" t="str">
        <f>IFERROR(Q57+S57,"-")</f>
        <v>-</v>
      </c>
      <c r="U57" s="252">
        <v>22.75</v>
      </c>
    </row>
    <row r="58" spans="1:23" ht="17.100000000000001" customHeight="1">
      <c r="A58">
        <f t="shared" si="16"/>
        <v>32</v>
      </c>
      <c r="B58" s="343"/>
      <c r="C58" s="344"/>
      <c r="D58" s="345"/>
      <c r="E58" s="344"/>
      <c r="F58" s="345"/>
      <c r="G58" s="344"/>
      <c r="H58" s="345"/>
      <c r="I58" s="344"/>
      <c r="J58" s="346"/>
      <c r="K58" s="335">
        <f t="shared" si="11"/>
        <v>0</v>
      </c>
      <c r="L58" s="259">
        <f t="shared" si="12"/>
        <v>0</v>
      </c>
      <c r="M58" s="352"/>
      <c r="P58" s="302">
        <f>$P$30</f>
        <v>0</v>
      </c>
      <c r="Q58" s="358"/>
      <c r="R58" s="310">
        <f>T30</f>
        <v>0</v>
      </c>
      <c r="S58" s="320" t="str">
        <f>IFERROR(((Q58*R58)*0.21)/R58,"-")</f>
        <v>-</v>
      </c>
      <c r="T58" s="309" t="str">
        <f>IFERROR(Q58+S58,"-")</f>
        <v>-</v>
      </c>
      <c r="U58" s="252" t="str">
        <f>IFERROR(R58*T58,"-")</f>
        <v>-</v>
      </c>
    </row>
    <row r="59" spans="1:23" ht="15.95" customHeight="1">
      <c r="A59">
        <f t="shared" si="16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35">
        <f t="shared" si="11"/>
        <v>0</v>
      </c>
      <c r="L59" s="259">
        <f t="shared" si="12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7.100000000000001" customHeight="1" thickBot="1">
      <c r="A60">
        <f t="shared" si="16"/>
        <v>34</v>
      </c>
      <c r="B60" s="343"/>
      <c r="C60" s="344"/>
      <c r="D60" s="345"/>
      <c r="E60" s="344"/>
      <c r="F60" s="345"/>
      <c r="G60" s="344"/>
      <c r="H60" s="345"/>
      <c r="I60" s="344"/>
      <c r="J60" s="346"/>
      <c r="K60" s="335">
        <f t="shared" si="11"/>
        <v>0</v>
      </c>
      <c r="L60" s="259">
        <f t="shared" si="12"/>
        <v>0</v>
      </c>
      <c r="M60" s="352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7.100000000000001" customHeight="1" thickBot="1">
      <c r="A61">
        <f t="shared" si="16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36">
        <f t="shared" si="11"/>
        <v>0</v>
      </c>
      <c r="L61" s="261">
        <f t="shared" si="12"/>
        <v>0</v>
      </c>
      <c r="M61" s="353"/>
      <c r="P61" s="305" t="s">
        <v>112</v>
      </c>
      <c r="Q61" s="306"/>
      <c r="R61" s="306">
        <f>SUM(R55:R60)</f>
        <v>29</v>
      </c>
      <c r="S61" s="321"/>
      <c r="T61" s="321"/>
      <c r="U61" s="307">
        <f>SUM(U55:U60)</f>
        <v>212.72</v>
      </c>
    </row>
    <row r="64" spans="1:23" ht="17.100000000000001" customHeight="1"/>
    <row r="65" spans="1:7" ht="15.95" customHeight="1">
      <c r="A65" s="364">
        <v>1</v>
      </c>
      <c r="B65" s="364" t="str">
        <f>B27</f>
        <v>PETER</v>
      </c>
      <c r="C65" s="364" t="str">
        <f>_xlfn.TEXTJOIN(", ",TRUE,
IF(OR(C27&gt;0,E27&gt;0,G27&gt;0,I27&gt;0),"M",""),
IF(OR(D27&gt;0,F27&gt;0,H27&gt;0,J27&gt;0),"L","")
)</f>
        <v>L</v>
      </c>
      <c r="D65" s="364">
        <f>IF(C65="M",1,IF(C65="L",2,IF(C65="M, L",3)))</f>
        <v>2</v>
      </c>
      <c r="E65" s="365">
        <f>K27</f>
        <v>2</v>
      </c>
      <c r="F65" s="366">
        <f>L27</f>
        <v>70</v>
      </c>
      <c r="G65" s="364" t="str">
        <f>$B$2</f>
        <v>A33 X NO ART</v>
      </c>
    </row>
    <row r="66" spans="1:7" ht="17.100000000000001" customHeight="1">
      <c r="A66" s="364">
        <v>2</v>
      </c>
      <c r="B66" s="364" t="str">
        <f>B28</f>
        <v>JP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1</v>
      </c>
      <c r="F66" s="366">
        <f>L28</f>
        <v>35</v>
      </c>
      <c r="G66" s="364" t="str">
        <f t="shared" ref="G66:G99" si="21">$B$2</f>
        <v>A33 X NO ART</v>
      </c>
    </row>
    <row r="67" spans="1:7" ht="15.95" customHeight="1">
      <c r="A67" s="364">
        <v>3</v>
      </c>
      <c r="B67" s="364" t="str">
        <f>B29</f>
        <v>PUPI</v>
      </c>
      <c r="C67" s="364" t="str">
        <f>_xlfn.TEXTJOIN(", ",TRUE,
IF(OR(C29&gt;0,E29&gt;0,G29&gt;0,I29&gt;0),"M",""),
IF(OR(D29&gt;0,F29&gt;0,H29&gt;0,J29&gt;0),"L","")
)</f>
        <v>M</v>
      </c>
      <c r="D67" s="364">
        <f>IF(C67="M",1,IF(C67="L",2,IF(C67="M, L",3)))</f>
        <v>1</v>
      </c>
      <c r="E67" s="365">
        <f>K29</f>
        <v>1</v>
      </c>
      <c r="F67" s="366">
        <f>L29</f>
        <v>35</v>
      </c>
      <c r="G67" s="364" t="str">
        <f t="shared" si="21"/>
        <v>A33 X NO ART</v>
      </c>
    </row>
    <row r="68" spans="1:7" ht="17.100000000000001" customHeight="1">
      <c r="A68" s="364">
        <f>A67+1</f>
        <v>4</v>
      </c>
      <c r="B68" s="364" t="str">
        <f>B30</f>
        <v>SESE</v>
      </c>
      <c r="C68" s="364" t="str">
        <f>_xlfn.TEXTJOIN(", ",TRUE,
IF(OR(C30&gt;0,E30&gt;0,G30&gt;0,I30&gt;0),"M",""),
IF(OR(D30&gt;0,F30&gt;0,H30&gt;0,J30&gt;0),"L","")
)</f>
        <v>L</v>
      </c>
      <c r="D68" s="364">
        <f>IF(C68="M",1,IF(C68="L",2,IF(C68="M, L",3)))</f>
        <v>2</v>
      </c>
      <c r="E68" s="365">
        <f>K30</f>
        <v>1</v>
      </c>
      <c r="F68" s="366">
        <f>L30</f>
        <v>35</v>
      </c>
      <c r="G68" s="364" t="str">
        <f t="shared" si="21"/>
        <v>A33 X NO ART</v>
      </c>
    </row>
    <row r="69" spans="1:7" ht="15.95" customHeight="1">
      <c r="A69" s="364">
        <f t="shared" ref="A69:A99" si="22">A68+1</f>
        <v>5</v>
      </c>
      <c r="B69" s="364" t="str">
        <f>B31</f>
        <v>LUIS CANADA</v>
      </c>
      <c r="C69" s="364" t="str">
        <f>_xlfn.TEXTJOIN(", ",TRUE,
IF(OR(C31&gt;0,E31&gt;0,G31&gt;0,I31&gt;0),"M",""),
IF(OR(D31&gt;0,F31&gt;0,H31&gt;0,J31&gt;0),"L","")
)</f>
        <v>M</v>
      </c>
      <c r="D69" s="364">
        <f>IF(C69="M",1,IF(C69="L",2,IF(C69="M, L",3)))</f>
        <v>1</v>
      </c>
      <c r="E69" s="365">
        <f>K31</f>
        <v>1</v>
      </c>
      <c r="F69" s="366">
        <f>L31</f>
        <v>35</v>
      </c>
      <c r="G69" s="364" t="str">
        <f t="shared" si="21"/>
        <v>A33 X NO ART</v>
      </c>
    </row>
    <row r="70" spans="1:7" ht="17.100000000000001" customHeight="1">
      <c r="A70" s="364">
        <f t="shared" si="22"/>
        <v>6</v>
      </c>
      <c r="B70" s="364" t="str">
        <f>B32</f>
        <v>MUÑOZ</v>
      </c>
      <c r="C70" s="364" t="str">
        <f>_xlfn.TEXTJOIN(", ",TRUE,
IF(OR(C32&gt;0,E32&gt;0,G32&gt;0,I32&gt;0),"M",""),
IF(OR(D32&gt;0,F32&gt;0,H32&gt;0,J32&gt;0),"L","")
)</f>
        <v>L</v>
      </c>
      <c r="D70" s="364">
        <f>IF(C70="M",1,IF(C70="L",2,IF(C70="M, L",3)))</f>
        <v>2</v>
      </c>
      <c r="E70" s="365">
        <f>K32</f>
        <v>1</v>
      </c>
      <c r="F70" s="366">
        <f>L32</f>
        <v>35</v>
      </c>
      <c r="G70" s="364" t="str">
        <f t="shared" si="21"/>
        <v>A33 X NO ART</v>
      </c>
    </row>
    <row r="71" spans="1:7" ht="15.95" customHeight="1">
      <c r="A71" s="364">
        <f t="shared" si="22"/>
        <v>7</v>
      </c>
      <c r="B71" s="364" t="str">
        <f>B33</f>
        <v>NACHO BENITO</v>
      </c>
      <c r="C71" s="364" t="str">
        <f>_xlfn.TEXTJOIN(", ",TRUE,
IF(OR(C33&gt;0,E33&gt;0,G33&gt;0,I33&gt;0),"M",""),
IF(OR(D33&gt;0,F33&gt;0,H33&gt;0,J33&gt;0),"L","")
)</f>
        <v>L</v>
      </c>
      <c r="D71" s="364">
        <f>IF(C71="M",1,IF(C71="L",2,IF(C71="M, L",3)))</f>
        <v>2</v>
      </c>
      <c r="E71" s="365">
        <f>K33</f>
        <v>1</v>
      </c>
      <c r="F71" s="366">
        <f>L33</f>
        <v>35</v>
      </c>
      <c r="G71" s="364" t="str">
        <f t="shared" si="21"/>
        <v>A33 X NO ART</v>
      </c>
    </row>
    <row r="72" spans="1:7" ht="17.100000000000001" customHeight="1">
      <c r="A72" s="364">
        <f t="shared" si="22"/>
        <v>8</v>
      </c>
      <c r="B72" s="364" t="str">
        <f>B34</f>
        <v>NACHO PEREZ</v>
      </c>
      <c r="C72" s="364" t="str">
        <f>_xlfn.TEXTJOIN(", ",TRUE,
IF(OR(C34&gt;0,E34&gt;0,G34&gt;0,I34&gt;0),"M",""),
IF(OR(D34&gt;0,F34&gt;0,H34&gt;0,J34&gt;0),"L","")
)</f>
        <v>M</v>
      </c>
      <c r="D72" s="364">
        <f>IF(C72="M",1,IF(C72="L",2,IF(C72="M, L",3)))</f>
        <v>1</v>
      </c>
      <c r="E72" s="365">
        <f>K34</f>
        <v>1</v>
      </c>
      <c r="F72" s="366">
        <f>L34</f>
        <v>35</v>
      </c>
      <c r="G72" s="364" t="str">
        <f t="shared" si="21"/>
        <v>A33 X NO ART</v>
      </c>
    </row>
    <row r="73" spans="1:7" ht="15.95" customHeight="1">
      <c r="A73" s="364">
        <f t="shared" si="22"/>
        <v>9</v>
      </c>
      <c r="B73" s="364" t="str">
        <f>B35</f>
        <v>DOMINGUEZ</v>
      </c>
      <c r="C73" s="364" t="str">
        <f>_xlfn.TEXTJOIN(", ",TRUE,
IF(OR(C35&gt;0,E35&gt;0,G35&gt;0,I35&gt;0),"M",""),
IF(OR(D35&gt;0,F35&gt;0,H35&gt;0,J35&gt;0),"L","")
)</f>
        <v>M</v>
      </c>
      <c r="D73" s="364">
        <f>IF(C73="M",1,IF(C73="L",2,IF(C73="M, L",3)))</f>
        <v>1</v>
      </c>
      <c r="E73" s="365">
        <f>K35</f>
        <v>1</v>
      </c>
      <c r="F73" s="366">
        <f>L35</f>
        <v>35</v>
      </c>
      <c r="G73" s="364" t="str">
        <f t="shared" si="21"/>
        <v>A33 X NO ART</v>
      </c>
    </row>
    <row r="74" spans="1:7" ht="17.100000000000001" customHeight="1">
      <c r="A74" s="364">
        <f t="shared" si="22"/>
        <v>10</v>
      </c>
      <c r="B74" s="364" t="str">
        <f>B36</f>
        <v>CHORVO</v>
      </c>
      <c r="C74" s="364" t="str">
        <f>_xlfn.TEXTJOIN(", ",TRUE,
IF(OR(C36&gt;0,E36&gt;0,G36&gt;0,I36&gt;0),"M",""),
IF(OR(D36&gt;0,F36&gt;0,H36&gt;0,J36&gt;0),"L","")
)</f>
        <v>L</v>
      </c>
      <c r="D74" s="364">
        <f>IF(C74="M",1,IF(C74="L",2,IF(C74="M, L",3)))</f>
        <v>2</v>
      </c>
      <c r="E74" s="365">
        <f>K36</f>
        <v>2</v>
      </c>
      <c r="F74" s="366">
        <f>L36</f>
        <v>70</v>
      </c>
      <c r="G74" s="364" t="str">
        <f t="shared" si="21"/>
        <v>A33 X NO ART</v>
      </c>
    </row>
    <row r="75" spans="1:7" ht="15.95" customHeight="1">
      <c r="A75" s="364">
        <f t="shared" si="22"/>
        <v>11</v>
      </c>
      <c r="B75" s="364" t="str">
        <f>B37</f>
        <v>CUERVO</v>
      </c>
      <c r="C75" s="364" t="str">
        <f>_xlfn.TEXTJOIN(", ",TRUE,
IF(OR(C37&gt;0,E37&gt;0,G37&gt;0,I37&gt;0),"M",""),
IF(OR(D37&gt;0,F37&gt;0,H37&gt;0,J37&gt;0),"L","")
)</f>
        <v>M</v>
      </c>
      <c r="D75" s="364">
        <f>IF(C75="M",1,IF(C75="L",2,IF(C75="M, L",3)))</f>
        <v>1</v>
      </c>
      <c r="E75" s="365">
        <f>K37</f>
        <v>1</v>
      </c>
      <c r="F75" s="366">
        <f>L37</f>
        <v>35</v>
      </c>
      <c r="G75" s="364" t="str">
        <f t="shared" si="21"/>
        <v>A33 X NO ART</v>
      </c>
    </row>
    <row r="76" spans="1:7" ht="17.100000000000001" customHeight="1">
      <c r="A76" s="364">
        <f t="shared" si="22"/>
        <v>12</v>
      </c>
      <c r="B76" s="364" t="str">
        <f>B38</f>
        <v>JUANTO</v>
      </c>
      <c r="C76" s="364" t="str">
        <f>_xlfn.TEXTJOIN(", ",TRUE,
IF(OR(C38&gt;0,E38&gt;0,G38&gt;0,I38&gt;0),"M",""),
IF(OR(D38&gt;0,F38&gt;0,H38&gt;0,J38&gt;0),"L","")
)</f>
        <v>M</v>
      </c>
      <c r="D76" s="364">
        <f>IF(C76="M",1,IF(C76="L",2,IF(C76="M, L",3)))</f>
        <v>1</v>
      </c>
      <c r="E76" s="365">
        <f>K38</f>
        <v>1</v>
      </c>
      <c r="F76" s="366">
        <f>L38</f>
        <v>35</v>
      </c>
      <c r="G76" s="364" t="str">
        <f t="shared" si="21"/>
        <v>A33 X NO ART</v>
      </c>
    </row>
    <row r="77" spans="1:7" ht="15.95" customHeight="1">
      <c r="A77" s="364">
        <f t="shared" si="22"/>
        <v>13</v>
      </c>
      <c r="B77" s="364" t="str">
        <f>B39</f>
        <v>ALVARO NISTAL</v>
      </c>
      <c r="C77" s="364" t="str">
        <f>_xlfn.TEXTJOIN(", ",TRUE,
IF(OR(C39&gt;0,E39&gt;0,G39&gt;0,I39&gt;0),"M",""),
IF(OR(D39&gt;0,F39&gt;0,H39&gt;0,J39&gt;0),"L","")
)</f>
        <v>M</v>
      </c>
      <c r="D77" s="364">
        <f>IF(C77="M",1,IF(C77="L",2,IF(C77="M, L",3)))</f>
        <v>1</v>
      </c>
      <c r="E77" s="365">
        <f>K39</f>
        <v>1</v>
      </c>
      <c r="F77" s="366">
        <f>L39</f>
        <v>35</v>
      </c>
      <c r="G77" s="364" t="str">
        <f t="shared" si="21"/>
        <v>A33 X NO ART</v>
      </c>
    </row>
    <row r="78" spans="1:7" ht="17.100000000000001" customHeight="1">
      <c r="A78" s="364">
        <f t="shared" si="22"/>
        <v>14</v>
      </c>
      <c r="B78" s="364" t="str">
        <f>B40</f>
        <v>BARALLOBRE</v>
      </c>
      <c r="C78" s="364" t="str">
        <f>_xlfn.TEXTJOIN(", ",TRUE,
IF(OR(C40&gt;0,E40&gt;0,G40&gt;0,I40&gt;0),"M",""),
IF(OR(D40&gt;0,F40&gt;0,H40&gt;0,J40&gt;0),"L","")
)</f>
        <v>L</v>
      </c>
      <c r="D78" s="364">
        <f>IF(C78="M",1,IF(C78="L",2,IF(C78="M, L",3)))</f>
        <v>2</v>
      </c>
      <c r="E78" s="365">
        <f>K40</f>
        <v>2</v>
      </c>
      <c r="F78" s="366">
        <f>L40</f>
        <v>60</v>
      </c>
      <c r="G78" s="364" t="str">
        <f t="shared" si="21"/>
        <v>A33 X NO ART</v>
      </c>
    </row>
    <row r="79" spans="1:7" ht="15.95" customHeight="1">
      <c r="A79" s="364">
        <f t="shared" si="22"/>
        <v>15</v>
      </c>
      <c r="B79" s="364" t="str">
        <f>B41</f>
        <v>GABRIEL</v>
      </c>
      <c r="C79" s="364" t="str">
        <f>_xlfn.TEXTJOIN(", ",TRUE,
IF(OR(C41&gt;0,E41&gt;0,G41&gt;0,I41&gt;0),"M",""),
IF(OR(D41&gt;0,F41&gt;0,H41&gt;0,J41&gt;0),"L","")
)</f>
        <v>M</v>
      </c>
      <c r="D79" s="364">
        <f>IF(C79="M",1,IF(C79="L",2,IF(C79="M, L",3)))</f>
        <v>1</v>
      </c>
      <c r="E79" s="365">
        <f>K41</f>
        <v>1</v>
      </c>
      <c r="F79" s="366">
        <f>L41</f>
        <v>35</v>
      </c>
      <c r="G79" s="364" t="str">
        <f t="shared" si="21"/>
        <v>A33 X NO ART</v>
      </c>
    </row>
    <row r="80" spans="1:7" ht="17.100000000000001" customHeight="1">
      <c r="A80" s="364">
        <f t="shared" si="22"/>
        <v>16</v>
      </c>
      <c r="B80" s="364" t="str">
        <f>B42</f>
        <v>NATHAN</v>
      </c>
      <c r="C80" s="364" t="str">
        <f>_xlfn.TEXTJOIN(", ",TRUE,
IF(OR(C42&gt;0,E42&gt;0,G42&gt;0,I42&gt;0),"M",""),
IF(OR(D42&gt;0,F42&gt;0,H42&gt;0,J42&gt;0),"L","")
)</f>
        <v>M</v>
      </c>
      <c r="D80" s="364">
        <f>IF(C80="M",1,IF(C80="L",2,IF(C80="M, L",3)))</f>
        <v>1</v>
      </c>
      <c r="E80" s="365">
        <f>K42</f>
        <v>1</v>
      </c>
      <c r="F80" s="366">
        <f>L42</f>
        <v>35</v>
      </c>
      <c r="G80" s="364" t="str">
        <f t="shared" si="21"/>
        <v>A33 X NO ART</v>
      </c>
    </row>
    <row r="81" spans="1:7" ht="15.95" customHeight="1">
      <c r="A81" s="364">
        <f t="shared" si="22"/>
        <v>17</v>
      </c>
      <c r="B81" s="364" t="str">
        <f t="shared" ref="B81:B99" si="23">B43</f>
        <v>JAIME BUSTAMANTE</v>
      </c>
      <c r="C81" s="364" t="str">
        <f t="shared" ref="C81:C99" si="24">_xlfn.TEXTJOIN(", ",TRUE,
IF(OR(C43&gt;0,E43&gt;0,G43&gt;0,I43&gt;0),"M",""),
IF(OR(D43&gt;0,F43&gt;0,H43&gt;0,J43&gt;0),"L","")
)</f>
        <v>M, L</v>
      </c>
      <c r="D81" s="364">
        <f>IF(C81="M",1,IF(C81="L",2,IF(C81="M, L",3)))</f>
        <v>3</v>
      </c>
      <c r="E81" s="365">
        <f>K43</f>
        <v>2</v>
      </c>
      <c r="F81" s="366">
        <f>L43</f>
        <v>70</v>
      </c>
      <c r="G81" s="364" t="str">
        <f t="shared" si="21"/>
        <v>A33 X NO ART</v>
      </c>
    </row>
    <row r="82" spans="1:7" ht="17.100000000000001" customHeight="1">
      <c r="A82" s="364">
        <f t="shared" si="22"/>
        <v>18</v>
      </c>
      <c r="B82" s="364" t="str">
        <f t="shared" si="23"/>
        <v>JUANMA</v>
      </c>
      <c r="C82" s="364" t="str">
        <f t="shared" si="24"/>
        <v>M</v>
      </c>
      <c r="D82" s="364">
        <f>IF(C82="M",1,IF(C82="L",2,IF(C82="M, L",3)))</f>
        <v>1</v>
      </c>
      <c r="E82" s="365">
        <f>K44</f>
        <v>1</v>
      </c>
      <c r="F82" s="366">
        <f>L44</f>
        <v>35</v>
      </c>
      <c r="G82" s="364" t="str">
        <f t="shared" si="21"/>
        <v>A33 X NO ART</v>
      </c>
    </row>
    <row r="83" spans="1:7" ht="15.95" customHeight="1">
      <c r="A83" s="364">
        <f t="shared" si="22"/>
        <v>19</v>
      </c>
      <c r="B83" s="364" t="str">
        <f t="shared" si="23"/>
        <v>CRIS ARTEAGA</v>
      </c>
      <c r="C83" s="364" t="str">
        <f t="shared" si="24"/>
        <v>L</v>
      </c>
      <c r="D83" s="364">
        <f>IF(C83="M",1,IF(C83="L",2,IF(C83="M, L",3)))</f>
        <v>2</v>
      </c>
      <c r="E83" s="365">
        <f>K45</f>
        <v>1</v>
      </c>
      <c r="F83" s="366">
        <f>L45</f>
        <v>35</v>
      </c>
      <c r="G83" s="364" t="str">
        <f t="shared" si="21"/>
        <v>A33 X NO ART</v>
      </c>
    </row>
    <row r="84" spans="1:7" ht="17.100000000000001" customHeight="1">
      <c r="A84" s="364">
        <f t="shared" si="22"/>
        <v>20</v>
      </c>
      <c r="B84" s="364" t="str">
        <f t="shared" si="23"/>
        <v>BRUNITO</v>
      </c>
      <c r="C84" s="364" t="str">
        <f t="shared" si="24"/>
        <v>M</v>
      </c>
      <c r="D84" s="364">
        <f>IF(C84="M",1,IF(C84="L",2,IF(C84="M, L",3)))</f>
        <v>1</v>
      </c>
      <c r="E84" s="365">
        <f>K46</f>
        <v>1</v>
      </c>
      <c r="F84" s="366">
        <f>L46</f>
        <v>35</v>
      </c>
      <c r="G84" s="364" t="str">
        <f t="shared" si="21"/>
        <v>A33 X NO ART</v>
      </c>
    </row>
    <row r="85" spans="1:7" ht="15.95" customHeight="1">
      <c r="A85" s="364">
        <f t="shared" si="22"/>
        <v>21</v>
      </c>
      <c r="B85" s="364" t="str">
        <f t="shared" si="23"/>
        <v>CANALES</v>
      </c>
      <c r="C85" s="364" t="str">
        <f t="shared" ref="C85" si="25">_xlfn.TEXTJOIN(", ",TRUE,
IF(OR(C47&gt;0,E47&gt;0,G47&gt;0,I47&gt;0),"M",""),
IF(OR(D47&gt;0,F47&gt;0,H47&gt;0,J47&gt;0),"L","")
)</f>
        <v>M</v>
      </c>
      <c r="D85" s="364">
        <f>IF(C85="M",1,IF(C85="L",2,IF(C85="M, L",3)))</f>
        <v>1</v>
      </c>
      <c r="E85" s="365">
        <f>K47</f>
        <v>1</v>
      </c>
      <c r="F85" s="366">
        <f>L47</f>
        <v>0</v>
      </c>
      <c r="G85" s="364" t="str">
        <f t="shared" si="21"/>
        <v>A33 X NO ART</v>
      </c>
    </row>
    <row r="86" spans="1:7" ht="17.100000000000001" customHeight="1">
      <c r="A86" s="364">
        <f t="shared" si="22"/>
        <v>22</v>
      </c>
      <c r="B86" s="364">
        <f t="shared" si="23"/>
        <v>0</v>
      </c>
      <c r="C86" s="364" t="str">
        <f t="shared" si="24"/>
        <v/>
      </c>
      <c r="D86" s="364" t="b">
        <f>IF(C86="M",1,IF(C86="L",2,IF(C86="M, L",3)))</f>
        <v>0</v>
      </c>
      <c r="E86" s="365">
        <f>K48</f>
        <v>0</v>
      </c>
      <c r="F86" s="366">
        <f>L48</f>
        <v>0</v>
      </c>
      <c r="G86" s="364" t="str">
        <f t="shared" si="21"/>
        <v>A33 X NO ART</v>
      </c>
    </row>
    <row r="87" spans="1:7" ht="15.95" customHeight="1">
      <c r="A87" s="364">
        <f t="shared" si="22"/>
        <v>23</v>
      </c>
      <c r="B87" s="364">
        <f t="shared" si="23"/>
        <v>0</v>
      </c>
      <c r="C87" s="364" t="str">
        <f t="shared" si="24"/>
        <v/>
      </c>
      <c r="D87" s="364" t="b">
        <f>IF(C87="M",1,IF(C87="L",2,IF(C87="M, L",3)))</f>
        <v>0</v>
      </c>
      <c r="E87" s="365">
        <f>K49</f>
        <v>0</v>
      </c>
      <c r="F87" s="366">
        <f>L49</f>
        <v>0</v>
      </c>
      <c r="G87" s="364" t="str">
        <f t="shared" si="21"/>
        <v>A33 X NO ART</v>
      </c>
    </row>
    <row r="88" spans="1:7" ht="17.100000000000001" customHeight="1">
      <c r="A88" s="364">
        <f t="shared" si="22"/>
        <v>24</v>
      </c>
      <c r="B88" s="364">
        <f t="shared" si="23"/>
        <v>0</v>
      </c>
      <c r="C88" s="364" t="str">
        <f t="shared" si="24"/>
        <v/>
      </c>
      <c r="D88" s="364" t="b">
        <f>IF(C88="M",1,IF(C88="L",2,IF(C88="M, L",3)))</f>
        <v>0</v>
      </c>
      <c r="E88" s="365">
        <f>K50</f>
        <v>0</v>
      </c>
      <c r="F88" s="366">
        <f>L50</f>
        <v>0</v>
      </c>
      <c r="G88" s="364" t="str">
        <f t="shared" si="21"/>
        <v>A33 X NO ART</v>
      </c>
    </row>
    <row r="89" spans="1:7" ht="15.95" customHeight="1">
      <c r="A89" s="364">
        <f t="shared" si="22"/>
        <v>25</v>
      </c>
      <c r="B89" s="364">
        <f t="shared" si="23"/>
        <v>0</v>
      </c>
      <c r="C89" s="364" t="str">
        <f t="shared" si="24"/>
        <v/>
      </c>
      <c r="D89" s="364" t="b">
        <f>IF(C89="M",1,IF(C89="L",2,IF(C89="M, L",3)))</f>
        <v>0</v>
      </c>
      <c r="E89" s="365">
        <f>K51</f>
        <v>0</v>
      </c>
      <c r="F89" s="366">
        <f>L51</f>
        <v>0</v>
      </c>
      <c r="G89" s="364" t="str">
        <f t="shared" si="21"/>
        <v>A33 X NO ART</v>
      </c>
    </row>
    <row r="90" spans="1:7" ht="17.100000000000001" customHeight="1">
      <c r="A90" s="364">
        <f t="shared" si="22"/>
        <v>26</v>
      </c>
      <c r="B90" s="364">
        <f t="shared" si="23"/>
        <v>0</v>
      </c>
      <c r="C90" s="364" t="str">
        <f t="shared" si="24"/>
        <v/>
      </c>
      <c r="D90" s="364" t="b">
        <f>IF(C90="M",1,IF(C90="L",2,IF(C90="M, L",3)))</f>
        <v>0</v>
      </c>
      <c r="E90" s="365">
        <f>K52</f>
        <v>0</v>
      </c>
      <c r="F90" s="366">
        <f>L52</f>
        <v>0</v>
      </c>
      <c r="G90" s="364" t="str">
        <f t="shared" si="21"/>
        <v>A33 X NO ART</v>
      </c>
    </row>
    <row r="91" spans="1:7" ht="15.95" customHeight="1">
      <c r="A91" s="364">
        <f t="shared" si="22"/>
        <v>27</v>
      </c>
      <c r="B91" s="364">
        <f t="shared" si="23"/>
        <v>0</v>
      </c>
      <c r="C91" s="364" t="str">
        <f t="shared" si="24"/>
        <v/>
      </c>
      <c r="D91" s="364" t="b">
        <f>IF(C91="M",1,IF(C91="L",2,IF(C91="M, L",3)))</f>
        <v>0</v>
      </c>
      <c r="E91" s="365">
        <f>K53</f>
        <v>0</v>
      </c>
      <c r="F91" s="366">
        <f>L53</f>
        <v>0</v>
      </c>
      <c r="G91" s="364" t="str">
        <f t="shared" si="21"/>
        <v>A33 X NO ART</v>
      </c>
    </row>
    <row r="92" spans="1:7" ht="17.100000000000001" customHeight="1">
      <c r="A92" s="364">
        <f t="shared" si="22"/>
        <v>28</v>
      </c>
      <c r="B92" s="364">
        <f t="shared" si="23"/>
        <v>0</v>
      </c>
      <c r="C92" s="364" t="str">
        <f t="shared" si="24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  <c r="G92" s="364" t="str">
        <f t="shared" si="21"/>
        <v>A33 X NO ART</v>
      </c>
    </row>
    <row r="93" spans="1:7" ht="15.95" customHeight="1">
      <c r="A93" s="364">
        <f t="shared" si="22"/>
        <v>29</v>
      </c>
      <c r="B93" s="364">
        <f t="shared" si="23"/>
        <v>0</v>
      </c>
      <c r="C93" s="364" t="str">
        <f t="shared" si="24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  <c r="G93" s="364" t="str">
        <f t="shared" si="21"/>
        <v>A33 X NO ART</v>
      </c>
    </row>
    <row r="94" spans="1:7" ht="17.100000000000001" customHeight="1">
      <c r="A94" s="364">
        <f t="shared" si="22"/>
        <v>30</v>
      </c>
      <c r="B94" s="364">
        <f t="shared" si="23"/>
        <v>0</v>
      </c>
      <c r="C94" s="364" t="str">
        <f t="shared" si="24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  <c r="G94" s="364" t="str">
        <f t="shared" si="21"/>
        <v>A33 X NO ART</v>
      </c>
    </row>
    <row r="95" spans="1:7" ht="15.95" customHeight="1">
      <c r="A95" s="364">
        <f t="shared" si="22"/>
        <v>31</v>
      </c>
      <c r="B95" s="364">
        <f t="shared" si="23"/>
        <v>0</v>
      </c>
      <c r="C95" s="364" t="str">
        <f t="shared" si="24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  <c r="G95" s="364" t="str">
        <f t="shared" si="21"/>
        <v>A33 X NO ART</v>
      </c>
    </row>
    <row r="96" spans="1:7" ht="17.100000000000001" customHeight="1">
      <c r="A96" s="364">
        <f t="shared" si="22"/>
        <v>32</v>
      </c>
      <c r="B96" s="364">
        <f t="shared" si="23"/>
        <v>0</v>
      </c>
      <c r="C96" s="364" t="str">
        <f t="shared" si="24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  <c r="G96" s="364" t="str">
        <f t="shared" si="21"/>
        <v>A33 X NO ART</v>
      </c>
    </row>
    <row r="97" spans="1:7" ht="15.95" customHeight="1">
      <c r="A97" s="364">
        <f t="shared" si="22"/>
        <v>33</v>
      </c>
      <c r="B97" s="364">
        <f t="shared" si="23"/>
        <v>0</v>
      </c>
      <c r="C97" s="364" t="str">
        <f t="shared" si="24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21"/>
        <v>A33 X NO ART</v>
      </c>
    </row>
    <row r="98" spans="1:7" ht="17.100000000000001" customHeight="1">
      <c r="A98" s="364">
        <f t="shared" si="22"/>
        <v>34</v>
      </c>
      <c r="B98" s="364">
        <f t="shared" si="23"/>
        <v>0</v>
      </c>
      <c r="C98" s="364" t="str">
        <f t="shared" si="24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21"/>
        <v>A33 X NO ART</v>
      </c>
    </row>
    <row r="99" spans="1:7" ht="15.95" customHeight="1">
      <c r="A99" s="364">
        <f t="shared" si="22"/>
        <v>35</v>
      </c>
      <c r="B99" s="364">
        <f t="shared" si="23"/>
        <v>0</v>
      </c>
      <c r="C99" s="364" t="str">
        <f t="shared" si="24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21"/>
        <v>A33 X NO ART</v>
      </c>
    </row>
    <row r="100" spans="1:7" ht="17.100000000000001" customHeight="1"/>
    <row r="101" spans="1:7" ht="15.95" customHeight="1"/>
    <row r="102" spans="1:7" ht="17.100000000000001" customHeight="1"/>
    <row r="103" spans="1:7" ht="15.95" customHeight="1"/>
    <row r="104" spans="1:7" ht="17.100000000000001" customHeight="1"/>
    <row r="105" spans="1:7" ht="15.95" customHeight="1"/>
    <row r="106" spans="1:7" ht="17.100000000000001" customHeight="1"/>
    <row r="107" spans="1:7" ht="15.95" customHeight="1"/>
    <row r="108" spans="1:7" ht="17.100000000000001" customHeight="1"/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B436FA-ED03-4843-BC7D-2AC7DEE99BDA}">
          <x14:formula1>
            <xm:f>CLIENTES!$A$2:$A$1048576</xm:f>
          </x14:formula1>
          <xm:sqref>B27:B61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E4E7-DA58-2049-8B2C-4A7E826F4BC3}">
  <sheetPr>
    <tabColor rgb="FF00B0F0"/>
  </sheetPr>
  <dimension ref="A1:AD99"/>
  <sheetViews>
    <sheetView showGridLines="0" zoomScale="93" zoomScaleNormal="125" workbookViewId="0">
      <selection activeCell="D32" sqref="D32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24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02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REVOLUTION 33</v>
      </c>
      <c r="Q3" s="309">
        <f>Z3</f>
        <v>69</v>
      </c>
      <c r="R3" s="310">
        <f>AA3-AA12</f>
        <v>4</v>
      </c>
      <c r="S3" s="310">
        <f t="shared" ref="S3:S8" si="0">AB3-AB12</f>
        <v>4</v>
      </c>
      <c r="T3" s="310">
        <f>SUM(R3:S3)</f>
        <v>8</v>
      </c>
      <c r="U3" s="252">
        <f>IFERROR(Q3*T3,"-")</f>
        <v>552</v>
      </c>
      <c r="Y3" s="302" t="str">
        <f>$P$27</f>
        <v>REVOLUTION 33</v>
      </c>
      <c r="Z3" s="309">
        <f>Z35</f>
        <v>69</v>
      </c>
      <c r="AA3" s="310">
        <f>R27</f>
        <v>4</v>
      </c>
      <c r="AB3" s="310">
        <f>S27</f>
        <v>4</v>
      </c>
      <c r="AC3" s="310">
        <f>SUM(AA3:AB3)</f>
        <v>8</v>
      </c>
      <c r="AD3" s="252">
        <f>IFERROR(Z3*AC3,"-")</f>
        <v>552</v>
      </c>
    </row>
    <row r="4" spans="2:30" ht="15.75" thickBot="1">
      <c r="B4" s="63"/>
      <c r="C4" s="63"/>
      <c r="D4" s="63"/>
      <c r="P4" s="302" t="str">
        <f>P56</f>
        <v>FUTBOL</v>
      </c>
      <c r="Q4" s="309">
        <f t="shared" ref="Q4:Q6" si="1">Z4</f>
        <v>33</v>
      </c>
      <c r="R4" s="310">
        <f t="shared" ref="R4:R8" si="2">AA4-AA13</f>
        <v>7</v>
      </c>
      <c r="S4" s="310">
        <f t="shared" si="0"/>
        <v>7</v>
      </c>
      <c r="T4" s="310">
        <f t="shared" ref="T4:T8" si="3">SUM(R4:S4)</f>
        <v>14</v>
      </c>
      <c r="U4" s="252">
        <f t="shared" ref="U4:U8" si="4">IFERROR(Q4*T4,"-")</f>
        <v>462</v>
      </c>
      <c r="Y4" s="302" t="str">
        <f>P56</f>
        <v>FUTBOL</v>
      </c>
      <c r="Z4" s="309">
        <f>Z36</f>
        <v>33</v>
      </c>
      <c r="AA4" s="310">
        <f>R40</f>
        <v>7</v>
      </c>
      <c r="AB4" s="310">
        <f>S40</f>
        <v>8</v>
      </c>
      <c r="AC4" s="310">
        <f t="shared" ref="AC4:AC8" si="5">SUM(AA4:AB4)</f>
        <v>15</v>
      </c>
      <c r="AD4" s="252">
        <f t="shared" ref="AD4:AD8" si="6">IFERROR(Z4*AC4,"-")</f>
        <v>495</v>
      </c>
    </row>
    <row r="5" spans="2:30" ht="15.75" thickBot="1">
      <c r="B5" s="63"/>
      <c r="C5" s="300" t="s">
        <v>122</v>
      </c>
      <c r="D5" s="301" t="s">
        <v>123</v>
      </c>
      <c r="P5" s="302">
        <f>$P$29</f>
        <v>0</v>
      </c>
      <c r="Q5" s="309">
        <f t="shared" si="1"/>
        <v>0</v>
      </c>
      <c r="R5" s="310">
        <f t="shared" si="2"/>
        <v>0</v>
      </c>
      <c r="S5" s="310">
        <f t="shared" si="0"/>
        <v>0</v>
      </c>
      <c r="T5" s="310">
        <f t="shared" si="3"/>
        <v>0</v>
      </c>
      <c r="U5" s="252">
        <f t="shared" si="4"/>
        <v>0</v>
      </c>
      <c r="Y5" s="302">
        <f>$P$29</f>
        <v>0</v>
      </c>
      <c r="Z5" s="309">
        <f>Z37</f>
        <v>0</v>
      </c>
      <c r="AA5" s="310">
        <f>R29</f>
        <v>0</v>
      </c>
      <c r="AB5" s="310">
        <f>S29</f>
        <v>0</v>
      </c>
      <c r="AC5" s="310">
        <f t="shared" si="5"/>
        <v>0</v>
      </c>
      <c r="AD5" s="252">
        <f t="shared" si="6"/>
        <v>0</v>
      </c>
    </row>
    <row r="6" spans="2:30">
      <c r="B6" s="270" t="s">
        <v>98</v>
      </c>
      <c r="C6" s="266">
        <f>U9</f>
        <v>1014</v>
      </c>
      <c r="D6" s="267">
        <f>SUM(L27:$L$61)</f>
        <v>644</v>
      </c>
      <c r="P6" s="302">
        <f>$P$30</f>
        <v>0</v>
      </c>
      <c r="Q6" s="309">
        <f t="shared" si="1"/>
        <v>0</v>
      </c>
      <c r="R6" s="310">
        <f t="shared" si="2"/>
        <v>0</v>
      </c>
      <c r="S6" s="310">
        <f t="shared" si="0"/>
        <v>0</v>
      </c>
      <c r="T6" s="310">
        <f t="shared" si="3"/>
        <v>0</v>
      </c>
      <c r="U6" s="252">
        <f t="shared" si="4"/>
        <v>0</v>
      </c>
      <c r="Y6" s="302">
        <f>$P$30</f>
        <v>0</v>
      </c>
      <c r="Z6" s="309">
        <f>Z38</f>
        <v>0</v>
      </c>
      <c r="AA6" s="310">
        <f>R30</f>
        <v>0</v>
      </c>
      <c r="AB6" s="310">
        <f>S30</f>
        <v>0</v>
      </c>
      <c r="AC6" s="310">
        <f t="shared" si="5"/>
        <v>0</v>
      </c>
      <c r="AD6" s="252">
        <f t="shared" si="6"/>
        <v>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23">
        <f t="shared" si="6"/>
        <v>0</v>
      </c>
    </row>
    <row r="8" spans="2:30" ht="15.75" thickBot="1">
      <c r="B8" s="273" t="s">
        <v>125</v>
      </c>
      <c r="C8" s="257">
        <f>SUM(C6:C7)</f>
        <v>1014</v>
      </c>
      <c r="D8" s="258">
        <f>SUM(D6:D7)</f>
        <v>644</v>
      </c>
      <c r="P8" s="279"/>
      <c r="Q8" s="312"/>
      <c r="R8" s="312">
        <f t="shared" si="2"/>
        <v>0</v>
      </c>
      <c r="S8" s="312">
        <f t="shared" si="0"/>
        <v>0</v>
      </c>
      <c r="T8" s="312">
        <f t="shared" si="3"/>
        <v>0</v>
      </c>
      <c r="U8" s="324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324">
        <f t="shared" si="6"/>
        <v>0</v>
      </c>
    </row>
    <row r="9" spans="2:30" ht="15.75" thickBot="1">
      <c r="B9" s="272" t="s">
        <v>126</v>
      </c>
      <c r="C9" s="259">
        <f>-$W$52</f>
        <v>-919.67000000000007</v>
      </c>
      <c r="D9" s="260">
        <f>C9</f>
        <v>-919.67000000000007</v>
      </c>
      <c r="P9" s="305" t="s">
        <v>127</v>
      </c>
      <c r="Q9" s="306"/>
      <c r="R9" s="306"/>
      <c r="S9" s="321"/>
      <c r="T9" s="333">
        <f>SUM(T3:T8)</f>
        <v>22</v>
      </c>
      <c r="U9" s="307">
        <f>SUM(U3:U8)</f>
        <v>1014</v>
      </c>
      <c r="Y9" s="305" t="s">
        <v>142</v>
      </c>
      <c r="Z9" s="306"/>
      <c r="AA9" s="306"/>
      <c r="AB9" s="321"/>
      <c r="AC9" s="333">
        <f>SUM(AC3:AC8)</f>
        <v>23</v>
      </c>
      <c r="AD9" s="307">
        <f>SUM(AD3:AD8)</f>
        <v>1047</v>
      </c>
    </row>
    <row r="10" spans="2:30" ht="15.75" thickBot="1">
      <c r="B10" s="272" t="s">
        <v>128</v>
      </c>
      <c r="C10" s="259">
        <f>-$U$61</f>
        <v>-29.04</v>
      </c>
      <c r="D10" s="260">
        <f>C10</f>
        <v>-29.04</v>
      </c>
    </row>
    <row r="11" spans="2:30" ht="15.75" thickBot="1">
      <c r="B11" s="272" t="s">
        <v>130</v>
      </c>
      <c r="C11" s="259">
        <v>0</v>
      </c>
      <c r="D11" s="260"/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/>
      <c r="C12" s="259"/>
      <c r="D12" s="260"/>
      <c r="Y12" s="302" t="str">
        <f>$P$27</f>
        <v>REVOLUTION 33</v>
      </c>
      <c r="Z12" s="309">
        <f>AA35</f>
        <v>-66.583750000000009</v>
      </c>
      <c r="AA12" s="359"/>
      <c r="AB12" s="359"/>
      <c r="AC12" s="310">
        <f>SUM(AA12:AB12)</f>
        <v>0</v>
      </c>
      <c r="AD12" s="252">
        <f>IFERROR(Z12*AC12,"-")</f>
        <v>0</v>
      </c>
    </row>
    <row r="13" spans="2:30">
      <c r="B13" s="271"/>
      <c r="C13" s="255"/>
      <c r="D13" s="256"/>
      <c r="Y13" s="302" t="str">
        <f>P56</f>
        <v>FUTBOL</v>
      </c>
      <c r="Z13" s="309">
        <f>AA36</f>
        <v>-29.43</v>
      </c>
      <c r="AA13" s="359"/>
      <c r="AB13" s="359">
        <v>1</v>
      </c>
      <c r="AC13" s="310">
        <f t="shared" ref="AC13:AC17" si="7">SUM(AA13:AB13)</f>
        <v>1</v>
      </c>
      <c r="AD13" s="252">
        <f t="shared" ref="AD13:AD17" si="8">IFERROR(Z13*AC13,"-")</f>
        <v>-29.43</v>
      </c>
    </row>
    <row r="14" spans="2:30">
      <c r="B14" s="273" t="s">
        <v>133</v>
      </c>
      <c r="C14" s="257">
        <f>SUM(C9:C13)</f>
        <v>-948.71</v>
      </c>
      <c r="D14" s="258">
        <f>SUM(D9:D13)</f>
        <v>-948.71</v>
      </c>
      <c r="Y14" s="302">
        <f>$P$29</f>
        <v>0</v>
      </c>
      <c r="Z14" s="309">
        <f>AA37</f>
        <v>0</v>
      </c>
      <c r="AA14" s="359"/>
      <c r="AB14" s="359"/>
      <c r="AC14" s="310">
        <f t="shared" si="7"/>
        <v>0</v>
      </c>
      <c r="AD14" s="252">
        <f t="shared" si="8"/>
        <v>0</v>
      </c>
    </row>
    <row r="15" spans="2:30" ht="15.75" thickBot="1">
      <c r="B15" s="274"/>
      <c r="C15" s="261"/>
      <c r="D15" s="262"/>
      <c r="Y15" s="302">
        <f>$P$30</f>
        <v>0</v>
      </c>
      <c r="Z15" s="309">
        <f>AA38</f>
        <v>0</v>
      </c>
      <c r="AA15" s="359"/>
      <c r="AB15" s="359"/>
      <c r="AC15" s="310">
        <f t="shared" si="7"/>
        <v>0</v>
      </c>
      <c r="AD15" s="252">
        <f t="shared" si="8"/>
        <v>0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23">
        <f t="shared" si="8"/>
        <v>0</v>
      </c>
    </row>
    <row r="17" spans="1:30" ht="15.75" thickBot="1">
      <c r="B17" s="275" t="s">
        <v>110</v>
      </c>
      <c r="C17" s="263">
        <f>C8+C14</f>
        <v>65.289999999999964</v>
      </c>
      <c r="D17" s="264">
        <f>D8+D14</f>
        <v>-304.71000000000004</v>
      </c>
      <c r="Y17" s="279"/>
      <c r="Z17" s="312"/>
      <c r="AA17" s="360"/>
      <c r="AB17" s="360"/>
      <c r="AC17" s="312">
        <f t="shared" si="7"/>
        <v>0</v>
      </c>
      <c r="AD17" s="324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1</v>
      </c>
      <c r="AD18" s="307">
        <f>SUM(AD12:AD17)</f>
        <v>-29.43</v>
      </c>
    </row>
    <row r="19" spans="1:30">
      <c r="B19" t="s">
        <v>135</v>
      </c>
      <c r="C19" s="198">
        <f>IFERROR(ABS($C$9/$C$8),"-")</f>
        <v>0.90697238658777124</v>
      </c>
      <c r="D19" s="198">
        <f>IFERROR(ABS($D$10/$D$8),"-")</f>
        <v>4.5093167701863356E-2</v>
      </c>
    </row>
    <row r="20" spans="1:30">
      <c r="B20" t="s">
        <v>114</v>
      </c>
      <c r="C20" s="198">
        <f>IFERROR(ABS($C$14/$C$8),"-")</f>
        <v>0.93561143984220907</v>
      </c>
      <c r="D20" s="198">
        <f>IFERROR(ABS($D$14/$D$8),"-")</f>
        <v>1.4731521739130435</v>
      </c>
    </row>
    <row r="21" spans="1:30" ht="15.75" thickBot="1"/>
    <row r="22" spans="1:30">
      <c r="C22" s="841" t="str">
        <f>$P$27</f>
        <v>REVOLUTION 33</v>
      </c>
      <c r="D22" s="842"/>
      <c r="E22" s="843" t="str">
        <f>P40</f>
        <v>FUTBOL</v>
      </c>
      <c r="F22" s="844"/>
      <c r="G22" s="838">
        <f>$P$29</f>
        <v>0</v>
      </c>
      <c r="H22" s="839"/>
      <c r="I22" s="838">
        <f>$P$30</f>
        <v>0</v>
      </c>
      <c r="J22" s="408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78">
        <f>SUM(C27:C61)</f>
        <v>2</v>
      </c>
      <c r="D24" s="249">
        <f t="shared" ref="D24:J24" si="9">SUM(D27:D61)</f>
        <v>4</v>
      </c>
      <c r="E24" s="286">
        <f t="shared" si="9"/>
        <v>4</v>
      </c>
      <c r="F24" s="249">
        <f t="shared" si="9"/>
        <v>4</v>
      </c>
      <c r="G24" s="284">
        <f t="shared" si="9"/>
        <v>0</v>
      </c>
      <c r="H24" s="248">
        <f t="shared" si="9"/>
        <v>0</v>
      </c>
      <c r="I24" s="284">
        <f t="shared" si="9"/>
        <v>0</v>
      </c>
      <c r="J24" s="246">
        <f t="shared" si="9"/>
        <v>0</v>
      </c>
      <c r="K24" s="322">
        <f>SUM(C24:J24)</f>
        <v>14</v>
      </c>
      <c r="L24" s="276">
        <f>K24-SUM(K27:K61)</f>
        <v>0</v>
      </c>
    </row>
    <row r="25" spans="1:30" ht="15.75" thickBot="1">
      <c r="B25" s="279" t="s">
        <v>137</v>
      </c>
      <c r="C25" s="373">
        <f>R3-C24</f>
        <v>2</v>
      </c>
      <c r="D25" s="291">
        <f t="shared" ref="D25" si="10">S3-D24</f>
        <v>0</v>
      </c>
      <c r="E25" s="290">
        <f>R4-E24</f>
        <v>3</v>
      </c>
      <c r="F25" s="374">
        <f>S4-F24</f>
        <v>3</v>
      </c>
      <c r="G25" s="290">
        <f>R5-G24</f>
        <v>0</v>
      </c>
      <c r="H25" s="291">
        <f>S5-H24</f>
        <v>0</v>
      </c>
      <c r="I25" s="290">
        <f>R6-I24</f>
        <v>0</v>
      </c>
      <c r="J25" s="292">
        <f>S6-J24</f>
        <v>0</v>
      </c>
      <c r="K25" s="247">
        <f>SUM(C25:J25)</f>
        <v>8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>
      <c r="A27">
        <v>1</v>
      </c>
      <c r="B27" s="339" t="s">
        <v>49</v>
      </c>
      <c r="C27" s="340"/>
      <c r="D27" s="341">
        <v>1</v>
      </c>
      <c r="E27" s="340"/>
      <c r="F27" s="341"/>
      <c r="G27" s="340"/>
      <c r="H27" s="341"/>
      <c r="I27" s="340"/>
      <c r="J27" s="342"/>
      <c r="K27" s="334">
        <f>SUM(C27:J27)</f>
        <v>1</v>
      </c>
      <c r="L27" s="254">
        <f>IFERROR(((C27+D27)*$Q$3)+((E27+F27)*$Q$4)+((G27+H27)*$Q$5)+((I27+J27)*$Q$6),"-")</f>
        <v>69</v>
      </c>
      <c r="M27" s="351"/>
      <c r="P27" s="354" t="s">
        <v>374</v>
      </c>
      <c r="Q27" s="355">
        <v>47.6</v>
      </c>
      <c r="R27" s="356">
        <v>4</v>
      </c>
      <c r="S27" s="356">
        <v>4</v>
      </c>
      <c r="T27" s="311">
        <f>R27+S27</f>
        <v>8</v>
      </c>
      <c r="U27" s="332">
        <f>IFERROR($W$36/$T$33,"-")</f>
        <v>18.983750000000001</v>
      </c>
      <c r="V27" s="375">
        <f>IFERROR(Q27+U27,"-")</f>
        <v>66.583750000000009</v>
      </c>
      <c r="W27" s="251">
        <f>IFERROR(T27*V27,"-")</f>
        <v>532.67000000000007</v>
      </c>
      <c r="Y27" s="302" t="str">
        <f>$P$27</f>
        <v>REVOLUTION 33</v>
      </c>
      <c r="Z27" s="316">
        <f>V27</f>
        <v>66.583750000000009</v>
      </c>
      <c r="AA27" s="309"/>
      <c r="AB27" s="309"/>
      <c r="AC27" s="252">
        <f>SUM(Z27:AB27)</f>
        <v>66.583750000000009</v>
      </c>
    </row>
    <row r="28" spans="1:30">
      <c r="A28">
        <v>2</v>
      </c>
      <c r="B28" s="343" t="s">
        <v>59</v>
      </c>
      <c r="C28" s="344"/>
      <c r="D28" s="345">
        <v>1</v>
      </c>
      <c r="E28" s="344"/>
      <c r="F28" s="345"/>
      <c r="G28" s="344"/>
      <c r="H28" s="345"/>
      <c r="I28" s="344"/>
      <c r="J28" s="346"/>
      <c r="K28" s="335">
        <f t="shared" ref="K28:K61" si="11">SUM(C28:J28)</f>
        <v>1</v>
      </c>
      <c r="L28" s="259">
        <f t="shared" ref="L28:L61" si="12">IFERROR(((C28+D28)*$Q$3)+((E28+F28)*$Q$4)+((G28+H28)*$Q$5)+((I28+J28)*$Q$6),"-")</f>
        <v>69</v>
      </c>
      <c r="M28" s="352"/>
      <c r="P28" s="357"/>
      <c r="Q28" s="358"/>
      <c r="R28" s="359"/>
      <c r="S28" s="359"/>
      <c r="T28" s="310"/>
      <c r="U28" s="309"/>
      <c r="V28" s="309"/>
      <c r="W28" s="252"/>
      <c r="Y28" s="302" t="str">
        <f>P56</f>
        <v>FUTBOL</v>
      </c>
      <c r="Z28" s="316">
        <f>V40</f>
        <v>25.8</v>
      </c>
      <c r="AA28" s="309">
        <f>T55</f>
        <v>3.63</v>
      </c>
      <c r="AB28" s="309"/>
      <c r="AC28" s="252">
        <f t="shared" ref="AC28:AC32" si="13">SUM(Z28:AB28)</f>
        <v>29.43</v>
      </c>
    </row>
    <row r="29" spans="1:30">
      <c r="A29">
        <v>3</v>
      </c>
      <c r="B29" s="343" t="s">
        <v>12</v>
      </c>
      <c r="C29" s="344"/>
      <c r="D29" s="345">
        <v>1</v>
      </c>
      <c r="E29" s="344"/>
      <c r="F29" s="345">
        <v>1</v>
      </c>
      <c r="G29" s="344"/>
      <c r="H29" s="345"/>
      <c r="I29" s="344"/>
      <c r="J29" s="346"/>
      <c r="K29" s="335">
        <f t="shared" si="11"/>
        <v>2</v>
      </c>
      <c r="L29" s="259">
        <f>IFERROR(((C29+D29)*$Q$3)+((E29+F29)*$Q$4)+((G29+H29)*$Q$5)+((I29+J29)*$Q$6),"-")-6</f>
        <v>96</v>
      </c>
      <c r="M29" s="352"/>
      <c r="P29" s="357"/>
      <c r="Q29" s="358"/>
      <c r="R29" s="359"/>
      <c r="S29" s="359"/>
      <c r="T29" s="310"/>
      <c r="U29" s="309"/>
      <c r="V29" s="309"/>
      <c r="W29" s="252"/>
      <c r="Y29" s="302"/>
      <c r="Z29" s="316"/>
      <c r="AA29" s="309"/>
      <c r="AB29" s="309"/>
      <c r="AC29" s="252"/>
    </row>
    <row r="30" spans="1:30">
      <c r="A30">
        <f>A29+1</f>
        <v>4</v>
      </c>
      <c r="B30" s="343" t="s">
        <v>55</v>
      </c>
      <c r="C30" s="344">
        <v>1</v>
      </c>
      <c r="D30" s="345"/>
      <c r="E30" s="344"/>
      <c r="F30" s="345"/>
      <c r="G30" s="344"/>
      <c r="H30" s="345"/>
      <c r="I30" s="344"/>
      <c r="J30" s="346"/>
      <c r="K30" s="335">
        <f t="shared" si="11"/>
        <v>1</v>
      </c>
      <c r="L30" s="259">
        <f>IFERROR(((C30+D30)*$Q$3)+((E30+F30)*$Q$4)+((G30+H30)*$Q$5)+((I30+J30)*$Q$6),"-")-6</f>
        <v>63</v>
      </c>
      <c r="M30" s="352"/>
      <c r="P30" s="357"/>
      <c r="Q30" s="358"/>
      <c r="R30" s="359"/>
      <c r="S30" s="359"/>
      <c r="T30" s="310"/>
      <c r="U30" s="309"/>
      <c r="V30" s="309"/>
      <c r="W30" s="252"/>
      <c r="Y30" s="302"/>
      <c r="Z30" s="316"/>
      <c r="AA30" s="320"/>
      <c r="AB30" s="320"/>
      <c r="AC30" s="252"/>
    </row>
    <row r="31" spans="1:30">
      <c r="A31">
        <f t="shared" ref="A31:A61" si="14">A30+1</f>
        <v>5</v>
      </c>
      <c r="B31" s="343" t="s">
        <v>11</v>
      </c>
      <c r="C31" s="344"/>
      <c r="D31" s="345"/>
      <c r="E31" s="344"/>
      <c r="F31" s="345">
        <v>1</v>
      </c>
      <c r="G31" s="344"/>
      <c r="H31" s="345"/>
      <c r="I31" s="344"/>
      <c r="J31" s="346"/>
      <c r="K31" s="335">
        <f t="shared" si="11"/>
        <v>1</v>
      </c>
      <c r="L31" s="259">
        <f t="shared" si="12"/>
        <v>33</v>
      </c>
      <c r="M31" s="352"/>
      <c r="P31" s="343"/>
      <c r="Q31" s="359"/>
      <c r="R31" s="359"/>
      <c r="S31" s="359"/>
      <c r="T31" s="310"/>
      <c r="U31" s="309"/>
      <c r="V31" s="309"/>
      <c r="W31" s="252"/>
      <c r="Y31" s="278"/>
      <c r="Z31" s="310"/>
      <c r="AA31" s="317"/>
      <c r="AB31" s="317"/>
      <c r="AC31" s="323"/>
    </row>
    <row r="32" spans="1:30" ht="15.75" thickBot="1">
      <c r="A32">
        <f t="shared" si="14"/>
        <v>6</v>
      </c>
      <c r="B32" s="343" t="s">
        <v>67</v>
      </c>
      <c r="C32" s="344"/>
      <c r="D32" s="345">
        <v>1</v>
      </c>
      <c r="E32" s="344"/>
      <c r="F32" s="345"/>
      <c r="G32" s="344"/>
      <c r="H32" s="345"/>
      <c r="I32" s="344"/>
      <c r="J32" s="346"/>
      <c r="K32" s="335">
        <f t="shared" si="11"/>
        <v>1</v>
      </c>
      <c r="L32" s="259">
        <f>IFERROR(((C32+D32)*$Q$3)+((E32+F32)*$Q$4)+((G32+H32)*$Q$5)+((I32+J32)*$Q$6),"-")-6</f>
        <v>63</v>
      </c>
      <c r="M32" s="352"/>
      <c r="P32" s="347"/>
      <c r="Q32" s="360"/>
      <c r="R32" s="360"/>
      <c r="S32" s="360"/>
      <c r="T32" s="312"/>
      <c r="U32" s="328"/>
      <c r="V32" s="328"/>
      <c r="W32" s="253"/>
      <c r="Y32" s="279"/>
      <c r="Z32" s="312"/>
      <c r="AA32" s="319"/>
      <c r="AB32" s="319"/>
      <c r="AC32" s="324"/>
    </row>
    <row r="33" spans="1:29" ht="15.75" thickBot="1">
      <c r="A33">
        <f t="shared" si="14"/>
        <v>7</v>
      </c>
      <c r="B33" s="343" t="s">
        <v>65</v>
      </c>
      <c r="C33" s="344"/>
      <c r="D33" s="345"/>
      <c r="E33" s="344">
        <v>1</v>
      </c>
      <c r="F33" s="345"/>
      <c r="G33" s="344"/>
      <c r="H33" s="345"/>
      <c r="I33" s="344"/>
      <c r="J33" s="346"/>
      <c r="K33" s="335">
        <f t="shared" si="11"/>
        <v>1</v>
      </c>
      <c r="L33" s="259">
        <f t="shared" si="12"/>
        <v>33</v>
      </c>
      <c r="M33" s="352"/>
      <c r="P33" s="313" t="s">
        <v>113</v>
      </c>
      <c r="Q33" s="308"/>
      <c r="R33" s="308"/>
      <c r="S33" s="308"/>
      <c r="T33" s="308">
        <f>SUM(T27:T32)</f>
        <v>8</v>
      </c>
      <c r="U33" s="329"/>
      <c r="V33" s="308"/>
      <c r="W33" s="314">
        <f>SUM(W27:W32)</f>
        <v>532.67000000000007</v>
      </c>
    </row>
    <row r="34" spans="1:29" ht="15.75" thickBot="1">
      <c r="A34">
        <f t="shared" si="14"/>
        <v>8</v>
      </c>
      <c r="B34" s="343" t="s">
        <v>38</v>
      </c>
      <c r="C34" s="344">
        <v>1</v>
      </c>
      <c r="D34" s="345"/>
      <c r="E34" s="344"/>
      <c r="F34" s="345"/>
      <c r="G34" s="344"/>
      <c r="H34" s="345"/>
      <c r="I34" s="344"/>
      <c r="J34" s="346"/>
      <c r="K34" s="335">
        <f t="shared" si="11"/>
        <v>1</v>
      </c>
      <c r="L34" s="259">
        <f>IFERROR(((C34+D34)*$Q$3)+((E34+F34)*$Q$4)+((G34+H34)*$Q$5)+((I34+J34)*$Q$6),"-")-6</f>
        <v>63</v>
      </c>
      <c r="M34" s="352"/>
      <c r="P34" s="357" t="s">
        <v>129</v>
      </c>
      <c r="Q34" s="361"/>
      <c r="R34" s="361"/>
      <c r="S34" s="361"/>
      <c r="T34" s="361"/>
      <c r="U34" s="361"/>
      <c r="V34" s="361"/>
      <c r="W34" s="362">
        <v>51</v>
      </c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>
      <c r="A35">
        <f t="shared" si="14"/>
        <v>9</v>
      </c>
      <c r="B35" s="343" t="s">
        <v>91</v>
      </c>
      <c r="C35" s="344"/>
      <c r="D35" s="345"/>
      <c r="E35" s="344">
        <v>1</v>
      </c>
      <c r="F35" s="345"/>
      <c r="G35" s="344"/>
      <c r="H35" s="345"/>
      <c r="I35" s="344"/>
      <c r="J35" s="346"/>
      <c r="K35" s="335">
        <f t="shared" si="11"/>
        <v>1</v>
      </c>
      <c r="L35" s="259">
        <f>IFERROR(((C35+D35)*$Q$3)+((E35+F35)*$Q$4)+((G35+H35)*$Q$5)+((I35+J35)*$Q$6),"-")-3</f>
        <v>30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v>100.87</v>
      </c>
      <c r="Y35" s="302" t="str">
        <f>$P$27</f>
        <v>REVOLUTION 33</v>
      </c>
      <c r="Z35" s="363">
        <v>69</v>
      </c>
      <c r="AA35" s="309">
        <f>-AC27</f>
        <v>-66.583750000000009</v>
      </c>
      <c r="AB35" s="309">
        <f>SUM(Z35:AA35)</f>
        <v>2.4162499999999909</v>
      </c>
      <c r="AC35" s="330">
        <f>AB35/Z35</f>
        <v>3.5018115942028853E-2</v>
      </c>
    </row>
    <row r="36" spans="1:29" ht="15.75" thickBot="1">
      <c r="A36">
        <f t="shared" si="14"/>
        <v>10</v>
      </c>
      <c r="B36" s="343" t="s">
        <v>87</v>
      </c>
      <c r="C36" s="344"/>
      <c r="D36" s="345"/>
      <c r="E36" s="344">
        <v>1</v>
      </c>
      <c r="F36" s="345"/>
      <c r="G36" s="344"/>
      <c r="H36" s="345"/>
      <c r="I36" s="344"/>
      <c r="J36" s="346"/>
      <c r="K36" s="335">
        <f t="shared" si="11"/>
        <v>1</v>
      </c>
      <c r="L36" s="259">
        <f t="shared" si="12"/>
        <v>33</v>
      </c>
      <c r="M36" s="352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151.87</v>
      </c>
      <c r="Y36" s="302" t="str">
        <f>P56</f>
        <v>FUTBOL</v>
      </c>
      <c r="Z36" s="363">
        <v>33</v>
      </c>
      <c r="AA36" s="309">
        <f>-AC28</f>
        <v>-29.43</v>
      </c>
      <c r="AB36" s="309">
        <f t="shared" ref="AB36:AB38" si="15">SUM(Z36:AA36)</f>
        <v>3.5700000000000003</v>
      </c>
      <c r="AC36" s="330">
        <f>AB36/Z36</f>
        <v>0.10818181818181818</v>
      </c>
    </row>
    <row r="37" spans="1:29" ht="15.75" thickBot="1">
      <c r="A37">
        <f t="shared" si="14"/>
        <v>11</v>
      </c>
      <c r="B37" s="343" t="s">
        <v>39</v>
      </c>
      <c r="C37" s="344"/>
      <c r="D37" s="345"/>
      <c r="E37" s="344">
        <v>1</v>
      </c>
      <c r="F37" s="345"/>
      <c r="G37" s="344"/>
      <c r="H37" s="345"/>
      <c r="I37" s="344"/>
      <c r="J37" s="346"/>
      <c r="K37" s="335">
        <f t="shared" si="11"/>
        <v>1</v>
      </c>
      <c r="L37" s="259">
        <f t="shared" si="12"/>
        <v>33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532.67000000000007</v>
      </c>
      <c r="Y37" s="302">
        <f>$P$29</f>
        <v>0</v>
      </c>
      <c r="Z37" s="363"/>
      <c r="AA37" s="309"/>
      <c r="AB37" s="309"/>
      <c r="AC37" s="330"/>
    </row>
    <row r="38" spans="1:29" ht="15.75" thickBot="1">
      <c r="A38">
        <f t="shared" si="14"/>
        <v>12</v>
      </c>
      <c r="B38" s="343" t="s">
        <v>40</v>
      </c>
      <c r="C38" s="344"/>
      <c r="D38" s="345"/>
      <c r="E38" s="344"/>
      <c r="F38" s="345">
        <v>1</v>
      </c>
      <c r="G38" s="344"/>
      <c r="H38" s="345"/>
      <c r="I38" s="344"/>
      <c r="J38" s="346"/>
      <c r="K38" s="335">
        <f t="shared" si="11"/>
        <v>1</v>
      </c>
      <c r="L38" s="259">
        <f>IFERROR(((C38+D38)*$Q$3)+((E38+F38)*$Q$4)+((G38+H38)*$Q$5)+((I38+J38)*$Q$6),"-")-7</f>
        <v>26</v>
      </c>
      <c r="M38" s="352"/>
      <c r="W38" s="276">
        <f>Q27*T27+Q28*T28+Q29*T29+Q30*T30+Q31*T31+Q32*T32+W36-W37</f>
        <v>0</v>
      </c>
      <c r="Y38" s="302">
        <f>$P$30</f>
        <v>0</v>
      </c>
      <c r="Z38" s="363"/>
      <c r="AA38" s="320"/>
      <c r="AB38" s="320"/>
      <c r="AC38" s="330"/>
    </row>
    <row r="39" spans="1:29" ht="15.75" thickBot="1">
      <c r="A39">
        <f t="shared" si="14"/>
        <v>13</v>
      </c>
      <c r="B39" s="343" t="s">
        <v>31</v>
      </c>
      <c r="C39" s="344"/>
      <c r="D39" s="345"/>
      <c r="E39" s="344"/>
      <c r="F39" s="345">
        <v>1</v>
      </c>
      <c r="G39" s="344"/>
      <c r="H39" s="345"/>
      <c r="I39" s="344"/>
      <c r="J39" s="346"/>
      <c r="K39" s="335">
        <f t="shared" si="11"/>
        <v>1</v>
      </c>
      <c r="L39" s="259">
        <f t="shared" si="12"/>
        <v>33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5.75" thickBot="1">
      <c r="A40">
        <f t="shared" si="14"/>
        <v>14</v>
      </c>
      <c r="B40" s="343"/>
      <c r="C40" s="344"/>
      <c r="D40" s="345"/>
      <c r="E40" s="344"/>
      <c r="F40" s="345"/>
      <c r="G40" s="344"/>
      <c r="H40" s="345"/>
      <c r="I40" s="344"/>
      <c r="J40" s="346"/>
      <c r="K40" s="335">
        <f t="shared" si="11"/>
        <v>0</v>
      </c>
      <c r="L40" s="259">
        <f t="shared" si="12"/>
        <v>0</v>
      </c>
      <c r="M40" s="352"/>
      <c r="P40" s="357" t="s">
        <v>375</v>
      </c>
      <c r="Q40" s="358"/>
      <c r="R40" s="356">
        <v>7</v>
      </c>
      <c r="S40" s="356">
        <v>8</v>
      </c>
      <c r="T40" s="310">
        <f t="shared" ref="T40:T45" si="16">SUM(R40:S40)</f>
        <v>15</v>
      </c>
      <c r="U40" s="316">
        <f>IFERROR($W$49/$T$46,"-")</f>
        <v>0</v>
      </c>
      <c r="V40" s="376">
        <f>IFERROR(W50/T40,"-")</f>
        <v>25.8</v>
      </c>
      <c r="W40" s="252">
        <f>IFERROR(T40*V40,"-")</f>
        <v>387</v>
      </c>
      <c r="Y40" s="279"/>
      <c r="Z40" s="360"/>
      <c r="AA40" s="319"/>
      <c r="AB40" s="319"/>
      <c r="AC40" s="205"/>
    </row>
    <row r="41" spans="1:29">
      <c r="A41">
        <f t="shared" si="14"/>
        <v>15</v>
      </c>
      <c r="B41" s="343"/>
      <c r="C41" s="344"/>
      <c r="D41" s="345"/>
      <c r="E41" s="344"/>
      <c r="F41" s="345"/>
      <c r="G41" s="344"/>
      <c r="H41" s="345"/>
      <c r="I41" s="344"/>
      <c r="J41" s="346"/>
      <c r="K41" s="335">
        <f t="shared" si="11"/>
        <v>0</v>
      </c>
      <c r="L41" s="259">
        <f t="shared" si="12"/>
        <v>0</v>
      </c>
      <c r="M41" s="352"/>
      <c r="P41" s="357"/>
      <c r="Q41" s="358"/>
      <c r="R41" s="359"/>
      <c r="S41" s="359"/>
      <c r="T41" s="310"/>
      <c r="U41" s="309"/>
      <c r="V41" s="309"/>
      <c r="W41" s="252"/>
    </row>
    <row r="42" spans="1:29">
      <c r="A42">
        <f t="shared" si="14"/>
        <v>16</v>
      </c>
      <c r="B42" s="343"/>
      <c r="C42" s="344"/>
      <c r="D42" s="345"/>
      <c r="E42" s="344"/>
      <c r="F42" s="345"/>
      <c r="G42" s="344"/>
      <c r="H42" s="345"/>
      <c r="I42" s="344"/>
      <c r="J42" s="346"/>
      <c r="K42" s="335">
        <f t="shared" si="11"/>
        <v>0</v>
      </c>
      <c r="L42" s="259">
        <f t="shared" si="12"/>
        <v>0</v>
      </c>
      <c r="M42" s="352"/>
      <c r="P42" s="357"/>
      <c r="Q42" s="358"/>
      <c r="R42" s="359"/>
      <c r="S42" s="359"/>
      <c r="T42" s="310"/>
      <c r="U42" s="309"/>
      <c r="V42" s="309"/>
      <c r="W42" s="252"/>
    </row>
    <row r="43" spans="1:29">
      <c r="A43">
        <f t="shared" si="14"/>
        <v>17</v>
      </c>
      <c r="B43" s="343"/>
      <c r="C43" s="344"/>
      <c r="D43" s="345"/>
      <c r="E43" s="344"/>
      <c r="F43" s="345"/>
      <c r="G43" s="344"/>
      <c r="H43" s="345"/>
      <c r="I43" s="344"/>
      <c r="J43" s="346"/>
      <c r="K43" s="335">
        <f t="shared" si="11"/>
        <v>0</v>
      </c>
      <c r="L43" s="259">
        <f t="shared" si="12"/>
        <v>0</v>
      </c>
      <c r="M43" s="352"/>
      <c r="P43" s="357"/>
      <c r="Q43" s="358"/>
      <c r="R43" s="359"/>
      <c r="S43" s="359"/>
      <c r="T43" s="310"/>
      <c r="U43" s="309"/>
      <c r="V43" s="309"/>
      <c r="W43" s="252"/>
    </row>
    <row r="44" spans="1:29">
      <c r="A44">
        <f t="shared" si="14"/>
        <v>18</v>
      </c>
      <c r="B44" s="343"/>
      <c r="C44" s="344"/>
      <c r="D44" s="345"/>
      <c r="E44" s="344"/>
      <c r="F44" s="345"/>
      <c r="G44" s="344"/>
      <c r="H44" s="345"/>
      <c r="I44" s="344"/>
      <c r="J44" s="346"/>
      <c r="K44" s="335">
        <f t="shared" si="11"/>
        <v>0</v>
      </c>
      <c r="L44" s="259">
        <f t="shared" si="12"/>
        <v>0</v>
      </c>
      <c r="M44" s="352"/>
      <c r="P44" s="343"/>
      <c r="Q44" s="359"/>
      <c r="R44" s="359"/>
      <c r="S44" s="359"/>
      <c r="T44" s="310"/>
      <c r="U44" s="309"/>
      <c r="V44" s="309"/>
      <c r="W44" s="252"/>
    </row>
    <row r="45" spans="1:29" ht="15.75" thickBot="1">
      <c r="A45">
        <f t="shared" si="14"/>
        <v>19</v>
      </c>
      <c r="B45" s="343"/>
      <c r="C45" s="344"/>
      <c r="D45" s="345"/>
      <c r="E45" s="344"/>
      <c r="F45" s="345"/>
      <c r="G45" s="344"/>
      <c r="H45" s="345"/>
      <c r="I45" s="344"/>
      <c r="J45" s="346"/>
      <c r="K45" s="335">
        <f t="shared" si="11"/>
        <v>0</v>
      </c>
      <c r="L45" s="259">
        <f t="shared" si="12"/>
        <v>0</v>
      </c>
      <c r="M45" s="352"/>
      <c r="P45" s="347"/>
      <c r="Q45" s="360"/>
      <c r="R45" s="360"/>
      <c r="S45" s="360"/>
      <c r="T45" s="312"/>
      <c r="U45" s="328"/>
      <c r="V45" s="328"/>
      <c r="W45" s="253"/>
    </row>
    <row r="46" spans="1:29">
      <c r="A46">
        <f t="shared" si="14"/>
        <v>20</v>
      </c>
      <c r="B46" s="343"/>
      <c r="C46" s="344"/>
      <c r="D46" s="345"/>
      <c r="E46" s="344"/>
      <c r="F46" s="345"/>
      <c r="G46" s="344"/>
      <c r="H46" s="345"/>
      <c r="I46" s="344"/>
      <c r="J46" s="346"/>
      <c r="K46" s="335">
        <f t="shared" si="11"/>
        <v>0</v>
      </c>
      <c r="L46" s="259">
        <f t="shared" si="12"/>
        <v>0</v>
      </c>
      <c r="M46" s="352"/>
      <c r="P46" s="313" t="s">
        <v>113</v>
      </c>
      <c r="Q46" s="308"/>
      <c r="R46" s="308"/>
      <c r="S46" s="308"/>
      <c r="T46" s="308">
        <f>SUM(T40:T45)</f>
        <v>15</v>
      </c>
      <c r="U46" s="329"/>
      <c r="V46" s="308"/>
      <c r="W46" s="314">
        <f>SUM(W40:W45)</f>
        <v>387</v>
      </c>
    </row>
    <row r="47" spans="1:29">
      <c r="A47">
        <f t="shared" si="14"/>
        <v>21</v>
      </c>
      <c r="B47" s="343"/>
      <c r="C47" s="344"/>
      <c r="D47" s="345"/>
      <c r="E47" s="344"/>
      <c r="F47" s="345"/>
      <c r="G47" s="344"/>
      <c r="H47" s="345"/>
      <c r="I47" s="344"/>
      <c r="J47" s="346"/>
      <c r="K47" s="335">
        <f t="shared" si="11"/>
        <v>0</v>
      </c>
      <c r="L47" s="259">
        <f t="shared" si="12"/>
        <v>0</v>
      </c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>
      <c r="A48">
        <f t="shared" si="14"/>
        <v>22</v>
      </c>
      <c r="B48" s="343"/>
      <c r="C48" s="344"/>
      <c r="D48" s="345"/>
      <c r="E48" s="344"/>
      <c r="F48" s="345"/>
      <c r="G48" s="344"/>
      <c r="H48" s="345"/>
      <c r="I48" s="344"/>
      <c r="J48" s="346"/>
      <c r="K48" s="335">
        <f t="shared" si="11"/>
        <v>0</v>
      </c>
      <c r="L48" s="259">
        <f t="shared" si="12"/>
        <v>0</v>
      </c>
      <c r="M48" s="352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5.75" thickBot="1">
      <c r="A49">
        <f t="shared" si="14"/>
        <v>23</v>
      </c>
      <c r="B49" s="343"/>
      <c r="C49" s="344"/>
      <c r="D49" s="345"/>
      <c r="E49" s="344"/>
      <c r="F49" s="345"/>
      <c r="G49" s="344"/>
      <c r="H49" s="345"/>
      <c r="I49" s="344"/>
      <c r="J49" s="346"/>
      <c r="K49" s="335">
        <f t="shared" si="11"/>
        <v>0</v>
      </c>
      <c r="L49" s="259">
        <f t="shared" si="12"/>
        <v>0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5.75" thickBot="1">
      <c r="A50">
        <f t="shared" si="14"/>
        <v>24</v>
      </c>
      <c r="B50" s="343"/>
      <c r="C50" s="344"/>
      <c r="D50" s="345"/>
      <c r="E50" s="344"/>
      <c r="F50" s="345"/>
      <c r="G50" s="344"/>
      <c r="H50" s="345"/>
      <c r="I50" s="344"/>
      <c r="J50" s="346"/>
      <c r="K50" s="335">
        <f t="shared" si="11"/>
        <v>0</v>
      </c>
      <c r="L50" s="259">
        <f t="shared" si="12"/>
        <v>0</v>
      </c>
      <c r="M50" s="352"/>
      <c r="P50" s="305" t="s">
        <v>132</v>
      </c>
      <c r="Q50" s="306"/>
      <c r="R50" s="306"/>
      <c r="S50" s="306"/>
      <c r="T50" s="306"/>
      <c r="U50" s="306"/>
      <c r="V50" s="306"/>
      <c r="W50" s="307">
        <v>387</v>
      </c>
    </row>
    <row r="51" spans="1:23" ht="15.75" thickBot="1">
      <c r="A51">
        <f t="shared" si="14"/>
        <v>25</v>
      </c>
      <c r="B51" s="343"/>
      <c r="C51" s="344"/>
      <c r="D51" s="345"/>
      <c r="E51" s="344"/>
      <c r="F51" s="345"/>
      <c r="G51" s="344"/>
      <c r="H51" s="345"/>
      <c r="I51" s="344"/>
      <c r="J51" s="346"/>
      <c r="K51" s="335">
        <f t="shared" si="11"/>
        <v>0</v>
      </c>
      <c r="L51" s="259">
        <f t="shared" si="12"/>
        <v>0</v>
      </c>
      <c r="M51" s="352"/>
      <c r="W51" s="276">
        <f>W40-W50</f>
        <v>0</v>
      </c>
    </row>
    <row r="52" spans="1:23" ht="15.75" thickBot="1">
      <c r="A52">
        <f t="shared" si="14"/>
        <v>26</v>
      </c>
      <c r="B52" s="343"/>
      <c r="C52" s="344"/>
      <c r="D52" s="345"/>
      <c r="E52" s="344"/>
      <c r="F52" s="345"/>
      <c r="G52" s="344"/>
      <c r="H52" s="345"/>
      <c r="I52" s="344"/>
      <c r="J52" s="346"/>
      <c r="K52" s="335">
        <f t="shared" si="11"/>
        <v>0</v>
      </c>
      <c r="L52" s="259">
        <f t="shared" si="12"/>
        <v>0</v>
      </c>
      <c r="M52" s="352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919.67000000000007</v>
      </c>
    </row>
    <row r="53" spans="1:23" ht="15.75" thickBot="1">
      <c r="A53">
        <f t="shared" si="14"/>
        <v>27</v>
      </c>
      <c r="B53" s="343"/>
      <c r="C53" s="344"/>
      <c r="D53" s="345"/>
      <c r="E53" s="344"/>
      <c r="F53" s="345"/>
      <c r="G53" s="344"/>
      <c r="H53" s="345"/>
      <c r="I53" s="344"/>
      <c r="J53" s="346"/>
      <c r="K53" s="335">
        <f t="shared" si="11"/>
        <v>0</v>
      </c>
      <c r="L53" s="259">
        <f t="shared" si="12"/>
        <v>0</v>
      </c>
      <c r="M53" s="352"/>
    </row>
    <row r="54" spans="1:23" ht="15.75" thickBot="1">
      <c r="A54">
        <f t="shared" si="14"/>
        <v>28</v>
      </c>
      <c r="B54" s="343"/>
      <c r="C54" s="344"/>
      <c r="D54" s="345"/>
      <c r="E54" s="344"/>
      <c r="F54" s="345"/>
      <c r="G54" s="344"/>
      <c r="H54" s="345"/>
      <c r="I54" s="344"/>
      <c r="J54" s="346"/>
      <c r="K54" s="335">
        <f t="shared" si="11"/>
        <v>0</v>
      </c>
      <c r="L54" s="259">
        <f t="shared" si="12"/>
        <v>0</v>
      </c>
      <c r="M54" s="352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>
      <c r="A55">
        <f t="shared" si="14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35">
        <f t="shared" si="11"/>
        <v>0</v>
      </c>
      <c r="L55" s="259">
        <f t="shared" si="12"/>
        <v>0</v>
      </c>
      <c r="M55" s="352"/>
      <c r="P55" s="302" t="str">
        <f>$P$27</f>
        <v>REVOLUTION 33</v>
      </c>
      <c r="Q55" s="358">
        <v>3</v>
      </c>
      <c r="R55" s="310">
        <f>T27</f>
        <v>8</v>
      </c>
      <c r="S55" s="309">
        <f>IFERROR(((Q55*R55)*0.21)/R55,"-")</f>
        <v>0.63</v>
      </c>
      <c r="T55" s="309">
        <f>IFERROR(Q55+S55,"-")</f>
        <v>3.63</v>
      </c>
      <c r="U55" s="252">
        <f>IFERROR(R55*T55,"-")</f>
        <v>29.04</v>
      </c>
    </row>
    <row r="56" spans="1:23">
      <c r="A56">
        <f t="shared" si="14"/>
        <v>30</v>
      </c>
      <c r="B56" s="343"/>
      <c r="C56" s="344"/>
      <c r="D56" s="345"/>
      <c r="E56" s="344"/>
      <c r="F56" s="345"/>
      <c r="G56" s="344"/>
      <c r="H56" s="345"/>
      <c r="I56" s="344"/>
      <c r="J56" s="346"/>
      <c r="K56" s="335">
        <f t="shared" si="11"/>
        <v>0</v>
      </c>
      <c r="L56" s="259">
        <f t="shared" si="12"/>
        <v>0</v>
      </c>
      <c r="M56" s="352"/>
      <c r="P56" s="302" t="str">
        <f>P40</f>
        <v>FUTBOL</v>
      </c>
      <c r="Q56" s="358"/>
      <c r="R56" s="310">
        <f>T28</f>
        <v>0</v>
      </c>
      <c r="S56" s="309" t="str">
        <f>IFERROR(((Q56*R56)*0.21)/R56,"-")</f>
        <v>-</v>
      </c>
      <c r="T56" s="309" t="str">
        <f>IFERROR(Q56+S56,"-")</f>
        <v>-</v>
      </c>
      <c r="U56" s="252" t="str">
        <f>IFERROR(R56*T56,"-")</f>
        <v>-</v>
      </c>
    </row>
    <row r="57" spans="1:23">
      <c r="A57">
        <f t="shared" si="14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35">
        <f t="shared" si="11"/>
        <v>0</v>
      </c>
      <c r="L57" s="259">
        <f t="shared" si="12"/>
        <v>0</v>
      </c>
      <c r="M57" s="352"/>
      <c r="P57" s="302">
        <f>$P$29</f>
        <v>0</v>
      </c>
      <c r="Q57" s="358"/>
      <c r="R57" s="310">
        <f>T29</f>
        <v>0</v>
      </c>
      <c r="S57" s="309" t="str">
        <f>IFERROR(((Q57*R57)*0.21)/R57,"-")</f>
        <v>-</v>
      </c>
      <c r="T57" s="309" t="str">
        <f>IFERROR(Q57+S57,"-")</f>
        <v>-</v>
      </c>
      <c r="U57" s="252" t="str">
        <f>IFERROR(R57*T57,"-")</f>
        <v>-</v>
      </c>
    </row>
    <row r="58" spans="1:23">
      <c r="A58">
        <f t="shared" si="14"/>
        <v>32</v>
      </c>
      <c r="B58" s="343"/>
      <c r="C58" s="344"/>
      <c r="D58" s="345"/>
      <c r="E58" s="344"/>
      <c r="F58" s="345"/>
      <c r="G58" s="344"/>
      <c r="H58" s="345"/>
      <c r="I58" s="344"/>
      <c r="J58" s="346"/>
      <c r="K58" s="335">
        <f t="shared" si="11"/>
        <v>0</v>
      </c>
      <c r="L58" s="259">
        <f t="shared" si="12"/>
        <v>0</v>
      </c>
      <c r="M58" s="352"/>
      <c r="P58" s="302">
        <f>$P$30</f>
        <v>0</v>
      </c>
      <c r="Q58" s="358"/>
      <c r="R58" s="310">
        <f>T30</f>
        <v>0</v>
      </c>
      <c r="S58" s="320" t="str">
        <f>IFERROR(((Q58*R58)*0.21)/R58,"-")</f>
        <v>-</v>
      </c>
      <c r="T58" s="309" t="str">
        <f>IFERROR(Q58+S58,"-")</f>
        <v>-</v>
      </c>
      <c r="U58" s="252" t="str">
        <f>IFERROR(R58*T58,"-")</f>
        <v>-</v>
      </c>
    </row>
    <row r="59" spans="1:23">
      <c r="A59">
        <f t="shared" si="14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35">
        <f t="shared" si="11"/>
        <v>0</v>
      </c>
      <c r="L59" s="259">
        <f t="shared" si="12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5.75" thickBot="1">
      <c r="A60">
        <f t="shared" si="14"/>
        <v>34</v>
      </c>
      <c r="B60" s="343"/>
      <c r="C60" s="344"/>
      <c r="D60" s="345"/>
      <c r="E60" s="344"/>
      <c r="F60" s="345"/>
      <c r="G60" s="344"/>
      <c r="H60" s="345"/>
      <c r="I60" s="344"/>
      <c r="J60" s="346"/>
      <c r="K60" s="335">
        <f t="shared" si="11"/>
        <v>0</v>
      </c>
      <c r="L60" s="259">
        <f t="shared" si="12"/>
        <v>0</v>
      </c>
      <c r="M60" s="352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5.75" thickBot="1">
      <c r="A61">
        <f t="shared" si="14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36">
        <f t="shared" si="11"/>
        <v>0</v>
      </c>
      <c r="L61" s="261">
        <f t="shared" si="12"/>
        <v>0</v>
      </c>
      <c r="M61" s="353"/>
      <c r="P61" s="305" t="s">
        <v>112</v>
      </c>
      <c r="Q61" s="306"/>
      <c r="R61" s="306">
        <f>SUM(R55:R60)</f>
        <v>8</v>
      </c>
      <c r="S61" s="321"/>
      <c r="T61" s="321"/>
      <c r="U61" s="307">
        <f>SUM(U55:U60)</f>
        <v>29.04</v>
      </c>
    </row>
    <row r="65" spans="1:7" ht="15.95" customHeight="1">
      <c r="A65" s="364">
        <v>1</v>
      </c>
      <c r="B65" s="364" t="str">
        <f>B27</f>
        <v>CARMEN</v>
      </c>
      <c r="C65" s="364" t="str">
        <f>_xlfn.TEXTJOIN(", ",TRUE,
IF(OR(C27&gt;0,E27&gt;0,G27&gt;0,I27&gt;0),"M",""),
IF(OR(D27&gt;0,F27&gt;0,H27&gt;0,J27&gt;0),"L","")
)</f>
        <v>L</v>
      </c>
      <c r="D65" s="364">
        <f>IF(C65="M",1,IF(C65="L",2,IF(C65="M, L",3)))</f>
        <v>2</v>
      </c>
      <c r="E65" s="365">
        <f>K27</f>
        <v>1</v>
      </c>
      <c r="F65" s="366">
        <f>L27</f>
        <v>69</v>
      </c>
      <c r="G65" s="364" t="str">
        <f>$B$2</f>
        <v>DROP 3</v>
      </c>
    </row>
    <row r="66" spans="1:7" ht="17.100000000000001" customHeight="1">
      <c r="A66" s="364">
        <v>2</v>
      </c>
      <c r="B66" s="364" t="str">
        <f>B28</f>
        <v>IÑIGO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1</v>
      </c>
      <c r="F66" s="366">
        <f>L28</f>
        <v>69</v>
      </c>
      <c r="G66" s="364" t="str">
        <f t="shared" ref="G66:G99" si="17">$B$2</f>
        <v>DROP 3</v>
      </c>
    </row>
    <row r="67" spans="1:7" ht="15.95" customHeight="1">
      <c r="A67" s="364">
        <v>3</v>
      </c>
      <c r="B67" s="364" t="str">
        <f>B29</f>
        <v>PETER</v>
      </c>
      <c r="C67" s="364" t="str">
        <f>_xlfn.TEXTJOIN(", ",TRUE,
IF(OR(C29&gt;0,E29&gt;0,G29&gt;0,I29&gt;0),"M",""),
IF(OR(D29&gt;0,F29&gt;0,H29&gt;0,J29&gt;0),"L","")
)</f>
        <v>L</v>
      </c>
      <c r="D67" s="364">
        <f>IF(C67="M",1,IF(C67="L",2,IF(C67="M, L",3)))</f>
        <v>2</v>
      </c>
      <c r="E67" s="365">
        <f>K29</f>
        <v>2</v>
      </c>
      <c r="F67" s="366">
        <f>L29</f>
        <v>96</v>
      </c>
      <c r="G67" s="364" t="str">
        <f t="shared" si="17"/>
        <v>DROP 3</v>
      </c>
    </row>
    <row r="68" spans="1:7" ht="17.100000000000001" customHeight="1">
      <c r="A68" s="364">
        <f>A67+1</f>
        <v>4</v>
      </c>
      <c r="B68" s="364" t="str">
        <f>B30</f>
        <v>JORGE PUIG</v>
      </c>
      <c r="C68" s="364" t="str">
        <f>_xlfn.TEXTJOIN(", ",TRUE,
IF(OR(C30&gt;0,E30&gt;0,G30&gt;0,I30&gt;0),"M",""),
IF(OR(D30&gt;0,F30&gt;0,H30&gt;0,J30&gt;0),"L","")
)</f>
        <v>M</v>
      </c>
      <c r="D68" s="364">
        <f>IF(C68="M",1,IF(C68="L",2,IF(C68="M, L",3)))</f>
        <v>1</v>
      </c>
      <c r="E68" s="365">
        <f>K30</f>
        <v>1</v>
      </c>
      <c r="F68" s="366">
        <f>L30</f>
        <v>63</v>
      </c>
      <c r="G68" s="364" t="str">
        <f t="shared" si="17"/>
        <v>DROP 3</v>
      </c>
    </row>
    <row r="69" spans="1:7" ht="15.95" customHeight="1">
      <c r="A69" s="364">
        <f t="shared" ref="A69:A99" si="18">A68+1</f>
        <v>5</v>
      </c>
      <c r="B69" s="364" t="str">
        <f>B31</f>
        <v>ALEX DELCAUX</v>
      </c>
      <c r="C69" s="364" t="str">
        <f>_xlfn.TEXTJOIN(", ",TRUE,
IF(OR(C31&gt;0,E31&gt;0,G31&gt;0,I31&gt;0),"M",""),
IF(OR(D31&gt;0,F31&gt;0,H31&gt;0,J31&gt;0),"L","")
)</f>
        <v>L</v>
      </c>
      <c r="D69" s="364">
        <f>IF(C69="M",1,IF(C69="L",2,IF(C69="M, L",3)))</f>
        <v>2</v>
      </c>
      <c r="E69" s="365">
        <f>K31</f>
        <v>1</v>
      </c>
      <c r="F69" s="366">
        <f>L31</f>
        <v>33</v>
      </c>
      <c r="G69" s="364" t="str">
        <f t="shared" si="17"/>
        <v>DROP 3</v>
      </c>
    </row>
    <row r="70" spans="1:7" ht="17.100000000000001" customHeight="1">
      <c r="A70" s="364">
        <f t="shared" si="18"/>
        <v>6</v>
      </c>
      <c r="B70" s="364" t="str">
        <f>B32</f>
        <v>TITO</v>
      </c>
      <c r="C70" s="364" t="str">
        <f>_xlfn.TEXTJOIN(", ",TRUE,
IF(OR(C32&gt;0,E32&gt;0,G32&gt;0,I32&gt;0),"M",""),
IF(OR(D32&gt;0,F32&gt;0,H32&gt;0,J32&gt;0),"L","")
)</f>
        <v>L</v>
      </c>
      <c r="D70" s="364">
        <f>IF(C70="M",1,IF(C70="L",2,IF(C70="M, L",3)))</f>
        <v>2</v>
      </c>
      <c r="E70" s="365">
        <f>K32</f>
        <v>1</v>
      </c>
      <c r="F70" s="366">
        <f>L32</f>
        <v>63</v>
      </c>
      <c r="G70" s="364" t="str">
        <f t="shared" si="17"/>
        <v>DROP 3</v>
      </c>
    </row>
    <row r="71" spans="1:7" ht="15.95" customHeight="1">
      <c r="A71" s="364">
        <f t="shared" si="18"/>
        <v>7</v>
      </c>
      <c r="B71" s="364" t="str">
        <f>B33</f>
        <v>IAGO AMIGO JACO</v>
      </c>
      <c r="C71" s="364" t="str">
        <f>_xlfn.TEXTJOIN(", ",TRUE,
IF(OR(C33&gt;0,E33&gt;0,G33&gt;0,I33&gt;0),"M",""),
IF(OR(D33&gt;0,F33&gt;0,H33&gt;0,J33&gt;0),"L","")
)</f>
        <v>M</v>
      </c>
      <c r="D71" s="364">
        <f>IF(C71="M",1,IF(C71="L",2,IF(C71="M, L",3)))</f>
        <v>1</v>
      </c>
      <c r="E71" s="365">
        <f>K33</f>
        <v>1</v>
      </c>
      <c r="F71" s="366">
        <f>L33</f>
        <v>33</v>
      </c>
      <c r="G71" s="364" t="str">
        <f t="shared" si="17"/>
        <v>DROP 3</v>
      </c>
    </row>
    <row r="72" spans="1:7" ht="17.100000000000001" customHeight="1">
      <c r="A72" s="364">
        <f t="shared" si="18"/>
        <v>8</v>
      </c>
      <c r="B72" s="364" t="str">
        <f>B34</f>
        <v>BRUNITO</v>
      </c>
      <c r="C72" s="364" t="str">
        <f>_xlfn.TEXTJOIN(", ",TRUE,
IF(OR(C34&gt;0,E34&gt;0,G34&gt;0,I34&gt;0),"M",""),
IF(OR(D34&gt;0,F34&gt;0,H34&gt;0,J34&gt;0),"L","")
)</f>
        <v>M</v>
      </c>
      <c r="D72" s="364">
        <f>IF(C72="M",1,IF(C72="L",2,IF(C72="M, L",3)))</f>
        <v>1</v>
      </c>
      <c r="E72" s="365">
        <f>K34</f>
        <v>1</v>
      </c>
      <c r="F72" s="366">
        <f>L34</f>
        <v>63</v>
      </c>
      <c r="G72" s="364" t="str">
        <f t="shared" si="17"/>
        <v>DROP 3</v>
      </c>
    </row>
    <row r="73" spans="1:7" ht="15.95" customHeight="1">
      <c r="A73" s="364">
        <f t="shared" si="18"/>
        <v>9</v>
      </c>
      <c r="B73" s="364" t="str">
        <f>B35</f>
        <v>SAMUEL</v>
      </c>
      <c r="C73" s="364" t="str">
        <f>_xlfn.TEXTJOIN(", ",TRUE,
IF(OR(C35&gt;0,E35&gt;0,G35&gt;0,I35&gt;0),"M",""),
IF(OR(D35&gt;0,F35&gt;0,H35&gt;0,J35&gt;0),"L","")
)</f>
        <v>M</v>
      </c>
      <c r="D73" s="364">
        <f>IF(C73="M",1,IF(C73="L",2,IF(C73="M, L",3)))</f>
        <v>1</v>
      </c>
      <c r="E73" s="365">
        <f>K35</f>
        <v>1</v>
      </c>
      <c r="F73" s="366">
        <f>L35</f>
        <v>30</v>
      </c>
      <c r="G73" s="364" t="str">
        <f t="shared" si="17"/>
        <v>DROP 3</v>
      </c>
    </row>
    <row r="74" spans="1:7" ht="17.100000000000001" customHeight="1">
      <c r="A74" s="364">
        <f t="shared" si="18"/>
        <v>10</v>
      </c>
      <c r="B74" s="364" t="str">
        <f>B36</f>
        <v>VICTOR PUJOL</v>
      </c>
      <c r="C74" s="364" t="str">
        <f>_xlfn.TEXTJOIN(", ",TRUE,
IF(OR(C36&gt;0,E36&gt;0,G36&gt;0,I36&gt;0),"M",""),
IF(OR(D36&gt;0,F36&gt;0,H36&gt;0,J36&gt;0),"L","")
)</f>
        <v>M</v>
      </c>
      <c r="D74" s="364">
        <f>IF(C74="M",1,IF(C74="L",2,IF(C74="M, L",3)))</f>
        <v>1</v>
      </c>
      <c r="E74" s="365">
        <f>K36</f>
        <v>1</v>
      </c>
      <c r="F74" s="366">
        <f>L36</f>
        <v>33</v>
      </c>
      <c r="G74" s="364" t="str">
        <f t="shared" si="17"/>
        <v>DROP 3</v>
      </c>
    </row>
    <row r="75" spans="1:7" ht="15.95" customHeight="1">
      <c r="A75" s="364">
        <f t="shared" si="18"/>
        <v>11</v>
      </c>
      <c r="B75" s="364" t="str">
        <f>B37</f>
        <v>CAMACHO</v>
      </c>
      <c r="C75" s="364" t="str">
        <f>_xlfn.TEXTJOIN(", ",TRUE,
IF(OR(C37&gt;0,E37&gt;0,G37&gt;0,I37&gt;0),"M",""),
IF(OR(D37&gt;0,F37&gt;0,H37&gt;0,J37&gt;0),"L","")
)</f>
        <v>M</v>
      </c>
      <c r="D75" s="364">
        <f>IF(C75="M",1,IF(C75="L",2,IF(C75="M, L",3)))</f>
        <v>1</v>
      </c>
      <c r="E75" s="365">
        <f>K37</f>
        <v>1</v>
      </c>
      <c r="F75" s="366">
        <f>L37</f>
        <v>33</v>
      </c>
      <c r="G75" s="364" t="str">
        <f t="shared" si="17"/>
        <v>DROP 3</v>
      </c>
    </row>
    <row r="76" spans="1:7" ht="17.100000000000001" customHeight="1">
      <c r="A76" s="364">
        <f t="shared" si="18"/>
        <v>12</v>
      </c>
      <c r="B76" s="364" t="str">
        <f>B38</f>
        <v>VINTED</v>
      </c>
      <c r="C76" s="364" t="str">
        <f>_xlfn.TEXTJOIN(", ",TRUE,
IF(OR(C38&gt;0,E38&gt;0,G38&gt;0,I38&gt;0),"M",""),
IF(OR(D38&gt;0,F38&gt;0,H38&gt;0,J38&gt;0),"L","")
)</f>
        <v>L</v>
      </c>
      <c r="D76" s="364">
        <f>IF(C76="M",1,IF(C76="L",2,IF(C76="M, L",3)))</f>
        <v>2</v>
      </c>
      <c r="E76" s="365">
        <f>K38</f>
        <v>1</v>
      </c>
      <c r="F76" s="366">
        <f>L38</f>
        <v>26</v>
      </c>
      <c r="G76" s="364" t="str">
        <f t="shared" si="17"/>
        <v>DROP 3</v>
      </c>
    </row>
    <row r="77" spans="1:7" ht="15.95" customHeight="1">
      <c r="A77" s="364">
        <f t="shared" si="18"/>
        <v>13</v>
      </c>
      <c r="B77" s="364" t="str">
        <f>B39</f>
        <v>JAIME BUSTAMANTE</v>
      </c>
      <c r="C77" s="364" t="str">
        <f>_xlfn.TEXTJOIN(", ",TRUE,
IF(OR(C39&gt;0,E39&gt;0,G39&gt;0,I39&gt;0),"M",""),
IF(OR(D39&gt;0,F39&gt;0,H39&gt;0,J39&gt;0),"L","")
)</f>
        <v>L</v>
      </c>
      <c r="D77" s="364">
        <f>IF(C77="M",1,IF(C77="L",2,IF(C77="M, L",3)))</f>
        <v>2</v>
      </c>
      <c r="E77" s="365">
        <f>K39</f>
        <v>1</v>
      </c>
      <c r="F77" s="366">
        <f>L39</f>
        <v>33</v>
      </c>
      <c r="G77" s="364" t="str">
        <f t="shared" si="17"/>
        <v>DROP 3</v>
      </c>
    </row>
    <row r="78" spans="1:7" ht="17.100000000000001" customHeight="1">
      <c r="A78" s="364">
        <f t="shared" si="18"/>
        <v>14</v>
      </c>
      <c r="B78" s="364">
        <f>B40</f>
        <v>0</v>
      </c>
      <c r="C78" s="364" t="str">
        <f>_xlfn.TEXTJOIN(", ",TRUE,
IF(OR(C40&gt;0,E40&gt;0,G40&gt;0,I40&gt;0),"M",""),
IF(OR(D40&gt;0,F40&gt;0,H40&gt;0,J40&gt;0),"L","")
)</f>
        <v/>
      </c>
      <c r="D78" s="364" t="b">
        <f>IF(C78="M",1,IF(C78="L",2,IF(C78="M, L",3)))</f>
        <v>0</v>
      </c>
      <c r="E78" s="365">
        <f>K40</f>
        <v>0</v>
      </c>
      <c r="F78" s="366">
        <f>L40</f>
        <v>0</v>
      </c>
      <c r="G78" s="364" t="str">
        <f t="shared" si="17"/>
        <v>DROP 3</v>
      </c>
    </row>
    <row r="79" spans="1:7" ht="15.95" customHeight="1">
      <c r="A79" s="364">
        <f t="shared" si="18"/>
        <v>15</v>
      </c>
      <c r="B79" s="364">
        <f>B41</f>
        <v>0</v>
      </c>
      <c r="C79" s="364" t="str">
        <f>_xlfn.TEXTJOIN(", ",TRUE,
IF(OR(C41&gt;0,E41&gt;0,G41&gt;0,I41&gt;0),"M",""),
IF(OR(D41&gt;0,F41&gt;0,H41&gt;0,J41&gt;0),"L","")
)</f>
        <v/>
      </c>
      <c r="D79" s="364" t="b">
        <f>IF(C79="M",1,IF(C79="L",2,IF(C79="M, L",3)))</f>
        <v>0</v>
      </c>
      <c r="E79" s="365">
        <f>K41</f>
        <v>0</v>
      </c>
      <c r="F79" s="366">
        <f>L41</f>
        <v>0</v>
      </c>
      <c r="G79" s="364" t="str">
        <f t="shared" si="17"/>
        <v>DROP 3</v>
      </c>
    </row>
    <row r="80" spans="1:7" ht="17.100000000000001" customHeight="1">
      <c r="A80" s="364">
        <f t="shared" si="18"/>
        <v>16</v>
      </c>
      <c r="B80" s="364">
        <f>B42</f>
        <v>0</v>
      </c>
      <c r="C80" s="364" t="str">
        <f>_xlfn.TEXTJOIN(", ",TRUE,
IF(OR(C42&gt;0,E42&gt;0,G42&gt;0,I42&gt;0),"M",""),
IF(OR(D42&gt;0,F42&gt;0,H42&gt;0,J42&gt;0),"L","")
)</f>
        <v/>
      </c>
      <c r="D80" s="364" t="b">
        <f>IF(C80="M",1,IF(C80="L",2,IF(C80="M, L",3)))</f>
        <v>0</v>
      </c>
      <c r="E80" s="365">
        <f>K42</f>
        <v>0</v>
      </c>
      <c r="F80" s="366">
        <f>L42</f>
        <v>0</v>
      </c>
      <c r="G80" s="364" t="str">
        <f t="shared" si="17"/>
        <v>DROP 3</v>
      </c>
    </row>
    <row r="81" spans="1:7" ht="15.95" customHeight="1">
      <c r="A81" s="364">
        <f t="shared" si="18"/>
        <v>17</v>
      </c>
      <c r="B81" s="364">
        <f t="shared" ref="B81:B99" si="19">B43</f>
        <v>0</v>
      </c>
      <c r="C81" s="364" t="str">
        <f t="shared" ref="C81:C99" si="20">_xlfn.TEXTJOIN(", ",TRUE,
IF(OR(C43&gt;0,E43&gt;0,G43&gt;0,I43&gt;0),"M",""),
IF(OR(D43&gt;0,F43&gt;0,H43&gt;0,J43&gt;0),"L","")
)</f>
        <v/>
      </c>
      <c r="D81" s="364" t="b">
        <f>IF(C81="M",1,IF(C81="L",2,IF(C81="M, L",3)))</f>
        <v>0</v>
      </c>
      <c r="E81" s="365">
        <f>K43</f>
        <v>0</v>
      </c>
      <c r="F81" s="366">
        <f>L43</f>
        <v>0</v>
      </c>
      <c r="G81" s="364" t="str">
        <f t="shared" si="17"/>
        <v>DROP 3</v>
      </c>
    </row>
    <row r="82" spans="1:7" ht="17.100000000000001" customHeight="1">
      <c r="A82" s="364">
        <f t="shared" si="18"/>
        <v>18</v>
      </c>
      <c r="B82" s="364">
        <f t="shared" si="19"/>
        <v>0</v>
      </c>
      <c r="C82" s="364" t="str">
        <f t="shared" si="20"/>
        <v/>
      </c>
      <c r="D82" s="364" t="b">
        <f>IF(C82="M",1,IF(C82="L",2,IF(C82="M, L",3)))</f>
        <v>0</v>
      </c>
      <c r="E82" s="365">
        <f>K44</f>
        <v>0</v>
      </c>
      <c r="F82" s="366">
        <f>L44</f>
        <v>0</v>
      </c>
      <c r="G82" s="364" t="str">
        <f t="shared" si="17"/>
        <v>DROP 3</v>
      </c>
    </row>
    <row r="83" spans="1:7" ht="15.95" customHeight="1">
      <c r="A83" s="364">
        <f t="shared" si="18"/>
        <v>19</v>
      </c>
      <c r="B83" s="364">
        <f t="shared" si="19"/>
        <v>0</v>
      </c>
      <c r="C83" s="364" t="str">
        <f t="shared" si="20"/>
        <v/>
      </c>
      <c r="D83" s="364" t="b">
        <f>IF(C83="M",1,IF(C83="L",2,IF(C83="M, L",3)))</f>
        <v>0</v>
      </c>
      <c r="E83" s="365">
        <f>K45</f>
        <v>0</v>
      </c>
      <c r="F83" s="366">
        <f>L45</f>
        <v>0</v>
      </c>
      <c r="G83" s="364" t="str">
        <f t="shared" si="17"/>
        <v>DROP 3</v>
      </c>
    </row>
    <row r="84" spans="1:7" ht="17.100000000000001" customHeight="1">
      <c r="A84" s="364">
        <f t="shared" si="18"/>
        <v>20</v>
      </c>
      <c r="B84" s="364">
        <f t="shared" si="19"/>
        <v>0</v>
      </c>
      <c r="C84" s="364" t="str">
        <f t="shared" si="20"/>
        <v/>
      </c>
      <c r="D84" s="364" t="b">
        <f>IF(C84="M",1,IF(C84="L",2,IF(C84="M, L",3)))</f>
        <v>0</v>
      </c>
      <c r="E84" s="365">
        <f>K46</f>
        <v>0</v>
      </c>
      <c r="F84" s="366">
        <f>L46</f>
        <v>0</v>
      </c>
      <c r="G84" s="364" t="str">
        <f t="shared" si="17"/>
        <v>DROP 3</v>
      </c>
    </row>
    <row r="85" spans="1:7" ht="15.95" customHeight="1">
      <c r="A85" s="364">
        <f t="shared" si="18"/>
        <v>21</v>
      </c>
      <c r="B85" s="364">
        <f t="shared" si="19"/>
        <v>0</v>
      </c>
      <c r="C85" s="364" t="str">
        <f t="shared" si="20"/>
        <v/>
      </c>
      <c r="D85" s="364" t="b">
        <f>IF(C85="M",1,IF(C85="L",2,IF(C85="M, L",3)))</f>
        <v>0</v>
      </c>
      <c r="E85" s="365">
        <f>K47</f>
        <v>0</v>
      </c>
      <c r="F85" s="366">
        <f>L47</f>
        <v>0</v>
      </c>
      <c r="G85" s="364" t="str">
        <f t="shared" si="17"/>
        <v>DROP 3</v>
      </c>
    </row>
    <row r="86" spans="1:7" ht="17.100000000000001" customHeight="1">
      <c r="A86" s="364">
        <f t="shared" si="18"/>
        <v>22</v>
      </c>
      <c r="B86" s="364">
        <f t="shared" si="19"/>
        <v>0</v>
      </c>
      <c r="C86" s="364" t="str">
        <f t="shared" si="20"/>
        <v/>
      </c>
      <c r="D86" s="364" t="b">
        <f>IF(C86="M",1,IF(C86="L",2,IF(C86="M, L",3)))</f>
        <v>0</v>
      </c>
      <c r="E86" s="365">
        <f>K48</f>
        <v>0</v>
      </c>
      <c r="F86" s="366">
        <f>L48</f>
        <v>0</v>
      </c>
      <c r="G86" s="364" t="str">
        <f t="shared" si="17"/>
        <v>DROP 3</v>
      </c>
    </row>
    <row r="87" spans="1:7" ht="15.95" customHeight="1">
      <c r="A87" s="364">
        <f t="shared" si="18"/>
        <v>23</v>
      </c>
      <c r="B87" s="364">
        <f t="shared" si="19"/>
        <v>0</v>
      </c>
      <c r="C87" s="364" t="str">
        <f t="shared" si="20"/>
        <v/>
      </c>
      <c r="D87" s="364" t="b">
        <f>IF(C87="M",1,IF(C87="L",2,IF(C87="M, L",3)))</f>
        <v>0</v>
      </c>
      <c r="E87" s="365">
        <f>K49</f>
        <v>0</v>
      </c>
      <c r="F87" s="366">
        <f>L49</f>
        <v>0</v>
      </c>
      <c r="G87" s="364" t="str">
        <f t="shared" si="17"/>
        <v>DROP 3</v>
      </c>
    </row>
    <row r="88" spans="1:7" ht="17.100000000000001" customHeight="1">
      <c r="A88" s="364">
        <f t="shared" si="18"/>
        <v>24</v>
      </c>
      <c r="B88" s="364">
        <f t="shared" si="19"/>
        <v>0</v>
      </c>
      <c r="C88" s="364" t="str">
        <f t="shared" si="20"/>
        <v/>
      </c>
      <c r="D88" s="364" t="b">
        <f>IF(C88="M",1,IF(C88="L",2,IF(C88="M, L",3)))</f>
        <v>0</v>
      </c>
      <c r="E88" s="365">
        <f>K50</f>
        <v>0</v>
      </c>
      <c r="F88" s="366">
        <f>L50</f>
        <v>0</v>
      </c>
      <c r="G88" s="364" t="str">
        <f t="shared" si="17"/>
        <v>DROP 3</v>
      </c>
    </row>
    <row r="89" spans="1:7" ht="15.95" customHeight="1">
      <c r="A89" s="364">
        <f t="shared" si="18"/>
        <v>25</v>
      </c>
      <c r="B89" s="364">
        <f t="shared" si="19"/>
        <v>0</v>
      </c>
      <c r="C89" s="364" t="str">
        <f t="shared" si="20"/>
        <v/>
      </c>
      <c r="D89" s="364" t="b">
        <f>IF(C89="M",1,IF(C89="L",2,IF(C89="M, L",3)))</f>
        <v>0</v>
      </c>
      <c r="E89" s="365">
        <f>K51</f>
        <v>0</v>
      </c>
      <c r="F89" s="366">
        <f>L51</f>
        <v>0</v>
      </c>
      <c r="G89" s="364" t="str">
        <f t="shared" si="17"/>
        <v>DROP 3</v>
      </c>
    </row>
    <row r="90" spans="1:7" ht="17.100000000000001" customHeight="1">
      <c r="A90" s="364">
        <f t="shared" si="18"/>
        <v>26</v>
      </c>
      <c r="B90" s="364">
        <f t="shared" si="19"/>
        <v>0</v>
      </c>
      <c r="C90" s="364" t="str">
        <f t="shared" si="20"/>
        <v/>
      </c>
      <c r="D90" s="364" t="b">
        <f>IF(C90="M",1,IF(C90="L",2,IF(C90="M, L",3)))</f>
        <v>0</v>
      </c>
      <c r="E90" s="365">
        <f>K52</f>
        <v>0</v>
      </c>
      <c r="F90" s="366">
        <f>L52</f>
        <v>0</v>
      </c>
      <c r="G90" s="364" t="str">
        <f t="shared" si="17"/>
        <v>DROP 3</v>
      </c>
    </row>
    <row r="91" spans="1:7" ht="15.95" customHeight="1">
      <c r="A91" s="364">
        <f t="shared" si="18"/>
        <v>27</v>
      </c>
      <c r="B91" s="364">
        <f t="shared" si="19"/>
        <v>0</v>
      </c>
      <c r="C91" s="364" t="str">
        <f t="shared" si="20"/>
        <v/>
      </c>
      <c r="D91" s="364" t="b">
        <f>IF(C91="M",1,IF(C91="L",2,IF(C91="M, L",3)))</f>
        <v>0</v>
      </c>
      <c r="E91" s="365">
        <f>K53</f>
        <v>0</v>
      </c>
      <c r="F91" s="366">
        <f>L53</f>
        <v>0</v>
      </c>
      <c r="G91" s="364" t="str">
        <f t="shared" si="17"/>
        <v>DROP 3</v>
      </c>
    </row>
    <row r="92" spans="1:7" ht="17.100000000000001" customHeight="1">
      <c r="A92" s="364">
        <f t="shared" si="18"/>
        <v>28</v>
      </c>
      <c r="B92" s="364">
        <f t="shared" si="19"/>
        <v>0</v>
      </c>
      <c r="C92" s="364" t="str">
        <f t="shared" si="20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  <c r="G92" s="364" t="str">
        <f t="shared" si="17"/>
        <v>DROP 3</v>
      </c>
    </row>
    <row r="93" spans="1:7">
      <c r="A93" s="364">
        <f t="shared" si="18"/>
        <v>29</v>
      </c>
      <c r="B93" s="364">
        <f t="shared" si="19"/>
        <v>0</v>
      </c>
      <c r="C93" s="364" t="str">
        <f t="shared" si="20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  <c r="G93" s="364" t="str">
        <f t="shared" si="17"/>
        <v>DROP 3</v>
      </c>
    </row>
    <row r="94" spans="1:7">
      <c r="A94" s="364">
        <f t="shared" si="18"/>
        <v>30</v>
      </c>
      <c r="B94" s="364">
        <f t="shared" si="19"/>
        <v>0</v>
      </c>
      <c r="C94" s="364" t="str">
        <f t="shared" si="20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  <c r="G94" s="364" t="str">
        <f t="shared" si="17"/>
        <v>DROP 3</v>
      </c>
    </row>
    <row r="95" spans="1:7">
      <c r="A95" s="364">
        <f t="shared" si="18"/>
        <v>31</v>
      </c>
      <c r="B95" s="364">
        <f t="shared" si="19"/>
        <v>0</v>
      </c>
      <c r="C95" s="364" t="str">
        <f t="shared" si="20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  <c r="G95" s="364" t="str">
        <f t="shared" si="17"/>
        <v>DROP 3</v>
      </c>
    </row>
    <row r="96" spans="1:7">
      <c r="A96" s="364">
        <f t="shared" si="18"/>
        <v>32</v>
      </c>
      <c r="B96" s="364">
        <f t="shared" si="19"/>
        <v>0</v>
      </c>
      <c r="C96" s="364" t="str">
        <f t="shared" si="20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  <c r="G96" s="364" t="str">
        <f t="shared" si="17"/>
        <v>DROP 3</v>
      </c>
    </row>
    <row r="97" spans="1:7">
      <c r="A97" s="364">
        <f t="shared" si="18"/>
        <v>33</v>
      </c>
      <c r="B97" s="364">
        <f t="shared" si="19"/>
        <v>0</v>
      </c>
      <c r="C97" s="364" t="str">
        <f t="shared" si="20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17"/>
        <v>DROP 3</v>
      </c>
    </row>
    <row r="98" spans="1:7">
      <c r="A98" s="364">
        <f t="shared" si="18"/>
        <v>34</v>
      </c>
      <c r="B98" s="364">
        <f t="shared" si="19"/>
        <v>0</v>
      </c>
      <c r="C98" s="364" t="str">
        <f t="shared" si="20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17"/>
        <v>DROP 3</v>
      </c>
    </row>
    <row r="99" spans="1:7">
      <c r="A99" s="364">
        <f t="shared" si="18"/>
        <v>35</v>
      </c>
      <c r="B99" s="364">
        <f t="shared" si="19"/>
        <v>0</v>
      </c>
      <c r="C99" s="364" t="str">
        <f t="shared" si="20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17"/>
        <v>DROP 3</v>
      </c>
    </row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978FD9-9237-5B47-B719-406E4F4679DB}">
          <x14:formula1>
            <xm:f>CLIENTES!$A$2:$A$1048576</xm:f>
          </x14:formula1>
          <xm:sqref>B27:B61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F1E7-0E95-A94B-9A5F-D80275C399C0}">
  <sheetPr>
    <tabColor theme="4"/>
  </sheetPr>
  <dimension ref="A1:AD120"/>
  <sheetViews>
    <sheetView showGridLines="0" zoomScale="87" zoomScaleNormal="50" workbookViewId="0">
      <selection activeCell="C66" sqref="C66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26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02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CHOCOLATE</v>
      </c>
      <c r="Q3" s="309">
        <f>Z3</f>
        <v>44</v>
      </c>
      <c r="R3" s="310">
        <f>AA3-AA12</f>
        <v>1</v>
      </c>
      <c r="S3" s="310">
        <f t="shared" ref="S3:S8" si="0">AB3-AB12</f>
        <v>4</v>
      </c>
      <c r="T3" s="310">
        <f>SUM(R3:S3)</f>
        <v>5</v>
      </c>
      <c r="U3" s="252">
        <f>IFERROR(Q3*T3,"-")</f>
        <v>220</v>
      </c>
      <c r="Y3" s="302" t="str">
        <f>$P$27</f>
        <v>CHOCOLATE</v>
      </c>
      <c r="Z3" s="309">
        <f>Z35</f>
        <v>44</v>
      </c>
      <c r="AA3" s="310">
        <f>R27</f>
        <v>1</v>
      </c>
      <c r="AB3" s="310">
        <f>S27</f>
        <v>5</v>
      </c>
      <c r="AC3" s="310">
        <f>SUM(AA3:AB3)</f>
        <v>6</v>
      </c>
      <c r="AD3" s="252">
        <f>IFERROR(Z3*AC3,"-")</f>
        <v>264</v>
      </c>
    </row>
    <row r="4" spans="2:30" ht="15.75" thickBot="1">
      <c r="B4" s="63"/>
      <c r="C4" s="63"/>
      <c r="D4" s="63"/>
      <c r="P4" s="302" t="str">
        <f>$P$28</f>
        <v>BLACK</v>
      </c>
      <c r="Q4" s="309">
        <f t="shared" ref="Q4:Q6" si="1">Z4</f>
        <v>44</v>
      </c>
      <c r="R4" s="310">
        <f t="shared" ref="R4:R8" si="2">AA4-AA13</f>
        <v>8</v>
      </c>
      <c r="S4" s="310">
        <f t="shared" si="0"/>
        <v>2</v>
      </c>
      <c r="T4" s="310">
        <f t="shared" ref="T4:T8" si="3">SUM(R4:S4)</f>
        <v>10</v>
      </c>
      <c r="U4" s="252">
        <f t="shared" ref="U4:U8" si="4">IFERROR(Q4*T4,"-")</f>
        <v>440</v>
      </c>
      <c r="Y4" s="302" t="str">
        <f>$P$28</f>
        <v>BLACK</v>
      </c>
      <c r="Z4" s="309">
        <f>Z36</f>
        <v>44</v>
      </c>
      <c r="AA4" s="310">
        <f>R28</f>
        <v>9</v>
      </c>
      <c r="AB4" s="310">
        <f>S28</f>
        <v>2</v>
      </c>
      <c r="AC4" s="310">
        <f t="shared" ref="AC4:AC8" si="5">SUM(AA4:AB4)</f>
        <v>11</v>
      </c>
      <c r="AD4" s="252">
        <f t="shared" ref="AD4:AD8" si="6">IFERROR(Z4*AC4,"-")</f>
        <v>484</v>
      </c>
    </row>
    <row r="5" spans="2:30" ht="15.75" thickBot="1">
      <c r="B5" s="63"/>
      <c r="C5" s="300" t="s">
        <v>122</v>
      </c>
      <c r="D5" s="301" t="s">
        <v>123</v>
      </c>
      <c r="P5" s="302" t="str">
        <f>P57</f>
        <v>OLIVE</v>
      </c>
      <c r="Q5" s="309">
        <f t="shared" si="1"/>
        <v>34</v>
      </c>
      <c r="R5" s="310">
        <f t="shared" si="2"/>
        <v>4</v>
      </c>
      <c r="S5" s="310">
        <f t="shared" si="0"/>
        <v>20</v>
      </c>
      <c r="T5" s="310">
        <f t="shared" si="3"/>
        <v>24</v>
      </c>
      <c r="U5" s="252">
        <f t="shared" si="4"/>
        <v>816</v>
      </c>
      <c r="Y5" s="302" t="str">
        <f>P57</f>
        <v>OLIVE</v>
      </c>
      <c r="Z5" s="309">
        <f>Z37</f>
        <v>34</v>
      </c>
      <c r="AA5" s="310">
        <f>R40</f>
        <v>5</v>
      </c>
      <c r="AB5" s="310">
        <f>S40</f>
        <v>21</v>
      </c>
      <c r="AC5" s="310">
        <f t="shared" si="5"/>
        <v>26</v>
      </c>
      <c r="AD5" s="252">
        <f t="shared" si="6"/>
        <v>884</v>
      </c>
    </row>
    <row r="6" spans="2:30">
      <c r="B6" s="270" t="s">
        <v>98</v>
      </c>
      <c r="C6" s="266">
        <f>U9</f>
        <v>1476</v>
      </c>
      <c r="D6" s="267">
        <f>SUM(L27:$L$61)</f>
        <v>1267</v>
      </c>
      <c r="P6" s="302">
        <f>$P$30</f>
        <v>0</v>
      </c>
      <c r="Q6" s="309">
        <f t="shared" si="1"/>
        <v>0</v>
      </c>
      <c r="R6" s="310">
        <f t="shared" si="2"/>
        <v>0</v>
      </c>
      <c r="S6" s="310">
        <f t="shared" si="0"/>
        <v>0</v>
      </c>
      <c r="T6" s="310">
        <f t="shared" si="3"/>
        <v>0</v>
      </c>
      <c r="U6" s="252">
        <f t="shared" si="4"/>
        <v>0</v>
      </c>
      <c r="Y6" s="302">
        <f>$P$30</f>
        <v>0</v>
      </c>
      <c r="Z6" s="309">
        <f>Z38</f>
        <v>0</v>
      </c>
      <c r="AA6" s="310">
        <f>R30</f>
        <v>0</v>
      </c>
      <c r="AB6" s="310">
        <f>S30</f>
        <v>0</v>
      </c>
      <c r="AC6" s="310">
        <f t="shared" si="5"/>
        <v>0</v>
      </c>
      <c r="AD6" s="252">
        <f t="shared" si="6"/>
        <v>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23">
        <f t="shared" si="6"/>
        <v>0</v>
      </c>
    </row>
    <row r="8" spans="2:30" ht="15.75" thickBot="1">
      <c r="B8" s="273" t="s">
        <v>125</v>
      </c>
      <c r="C8" s="257">
        <f>SUM(C6:C7)</f>
        <v>1476</v>
      </c>
      <c r="D8" s="258">
        <f>SUM(D6:D7)</f>
        <v>1267</v>
      </c>
      <c r="P8" s="279"/>
      <c r="Q8" s="312"/>
      <c r="R8" s="312">
        <f t="shared" si="2"/>
        <v>0</v>
      </c>
      <c r="S8" s="312">
        <f t="shared" si="0"/>
        <v>0</v>
      </c>
      <c r="T8" s="312">
        <f t="shared" si="3"/>
        <v>0</v>
      </c>
      <c r="U8" s="324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324">
        <f t="shared" si="6"/>
        <v>0</v>
      </c>
    </row>
    <row r="9" spans="2:30" ht="15.75" thickBot="1">
      <c r="B9" s="272" t="s">
        <v>126</v>
      </c>
      <c r="C9" s="259">
        <f>-$W$52</f>
        <v>-1100.24</v>
      </c>
      <c r="D9" s="260">
        <f>C9</f>
        <v>-1100.24</v>
      </c>
      <c r="P9" s="305" t="s">
        <v>127</v>
      </c>
      <c r="Q9" s="306"/>
      <c r="R9" s="306"/>
      <c r="S9" s="321"/>
      <c r="T9" s="333">
        <f>SUM(T3:T8)</f>
        <v>39</v>
      </c>
      <c r="U9" s="307">
        <f>SUM(U3:U8)</f>
        <v>1476</v>
      </c>
      <c r="Y9" s="305" t="s">
        <v>142</v>
      </c>
      <c r="Z9" s="306"/>
      <c r="AA9" s="306"/>
      <c r="AB9" s="321"/>
      <c r="AC9" s="333">
        <f>SUM(AC3:AC8)</f>
        <v>43</v>
      </c>
      <c r="AD9" s="307">
        <f>SUM(AD3:AD8)</f>
        <v>1632</v>
      </c>
    </row>
    <row r="10" spans="2:30" ht="15.75" thickBot="1">
      <c r="B10" s="272" t="s">
        <v>128</v>
      </c>
      <c r="C10" s="259">
        <f>-$U$61</f>
        <v>-217.8</v>
      </c>
      <c r="D10" s="260">
        <f>C10</f>
        <v>-217.8</v>
      </c>
    </row>
    <row r="11" spans="2:30" ht="15.75" thickBot="1">
      <c r="B11" s="272" t="s">
        <v>130</v>
      </c>
      <c r="C11" s="259">
        <v>0</v>
      </c>
      <c r="D11" s="260"/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/>
      <c r="C12" s="259"/>
      <c r="D12" s="260"/>
      <c r="Y12" s="302" t="str">
        <f>$P$27</f>
        <v>CHOCOLATE</v>
      </c>
      <c r="Z12" s="309">
        <f>AA35</f>
        <v>-26.610588235294117</v>
      </c>
      <c r="AA12" s="359"/>
      <c r="AB12" s="359">
        <v>1</v>
      </c>
      <c r="AC12" s="310">
        <f>SUM(AA12:AB12)</f>
        <v>1</v>
      </c>
      <c r="AD12" s="252">
        <f>IFERROR(Z12*AC12,"-")</f>
        <v>-26.610588235294117</v>
      </c>
    </row>
    <row r="13" spans="2:30">
      <c r="B13" s="271"/>
      <c r="C13" s="255"/>
      <c r="D13" s="256"/>
      <c r="Y13" s="302" t="str">
        <f>$P$28</f>
        <v>BLACK</v>
      </c>
      <c r="Z13" s="309">
        <f>AA36</f>
        <v>-39.000588235294117</v>
      </c>
      <c r="AA13" s="359">
        <v>1</v>
      </c>
      <c r="AB13" s="359"/>
      <c r="AC13" s="310">
        <f t="shared" ref="AC13:AC17" si="7">SUM(AA13:AB13)</f>
        <v>1</v>
      </c>
      <c r="AD13" s="252">
        <f t="shared" ref="AD13:AD17" si="8">IFERROR(Z13*AC13,"-")</f>
        <v>-39.000588235294117</v>
      </c>
    </row>
    <row r="14" spans="2:30">
      <c r="B14" s="273" t="s">
        <v>133</v>
      </c>
      <c r="C14" s="257">
        <f>SUM(C9:C13)</f>
        <v>-1318.04</v>
      </c>
      <c r="D14" s="258">
        <f>SUM(D9:D13)</f>
        <v>-1318.04</v>
      </c>
      <c r="Y14" s="302" t="str">
        <f>P57</f>
        <v>OLIVE</v>
      </c>
      <c r="Z14" s="309">
        <f>AA37</f>
        <v>-28.052692307692308</v>
      </c>
      <c r="AA14" s="359">
        <v>1</v>
      </c>
      <c r="AB14" s="359">
        <v>1</v>
      </c>
      <c r="AC14" s="310">
        <f t="shared" si="7"/>
        <v>2</v>
      </c>
      <c r="AD14" s="252">
        <f t="shared" si="8"/>
        <v>-56.105384615384615</v>
      </c>
    </row>
    <row r="15" spans="2:30" ht="15.75" thickBot="1">
      <c r="B15" s="274"/>
      <c r="C15" s="261"/>
      <c r="D15" s="262"/>
      <c r="Y15" s="302">
        <f>$P$30</f>
        <v>0</v>
      </c>
      <c r="Z15" s="309">
        <f>AA38</f>
        <v>0</v>
      </c>
      <c r="AA15" s="359"/>
      <c r="AB15" s="359"/>
      <c r="AC15" s="310">
        <f t="shared" si="7"/>
        <v>0</v>
      </c>
      <c r="AD15" s="252">
        <f t="shared" si="8"/>
        <v>0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23">
        <f t="shared" si="8"/>
        <v>0</v>
      </c>
    </row>
    <row r="17" spans="1:30" ht="15.75" thickBot="1">
      <c r="B17" s="275" t="s">
        <v>110</v>
      </c>
      <c r="C17" s="263">
        <f>C8+C14</f>
        <v>157.96000000000004</v>
      </c>
      <c r="D17" s="264">
        <f>D8+D14</f>
        <v>-51.039999999999964</v>
      </c>
      <c r="Y17" s="279"/>
      <c r="Z17" s="312"/>
      <c r="AA17" s="360"/>
      <c r="AB17" s="360"/>
      <c r="AC17" s="312">
        <f t="shared" si="7"/>
        <v>0</v>
      </c>
      <c r="AD17" s="324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4</v>
      </c>
      <c r="AD18" s="307">
        <f>SUM(AD12:AD17)</f>
        <v>-121.71656108597284</v>
      </c>
    </row>
    <row r="19" spans="1:30">
      <c r="B19" t="s">
        <v>135</v>
      </c>
      <c r="C19" s="198">
        <f>IFERROR(ABS($C$9/$C$8),"-")</f>
        <v>0.74542005420054203</v>
      </c>
      <c r="D19" s="198">
        <f>IFERROR(ABS($D$10/$D$8),"-")</f>
        <v>0.17190213101815313</v>
      </c>
    </row>
    <row r="20" spans="1:30">
      <c r="B20" t="s">
        <v>114</v>
      </c>
      <c r="C20" s="198">
        <f>IFERROR(ABS($C$14/$C$8),"-")</f>
        <v>0.89298102981029803</v>
      </c>
      <c r="D20" s="198">
        <f>IFERROR(ABS($D$14/$D$8),"-")</f>
        <v>1.0402841357537489</v>
      </c>
    </row>
    <row r="21" spans="1:30" ht="15.75" thickBot="1"/>
    <row r="22" spans="1:30">
      <c r="C22" s="845" t="str">
        <f>$P$27</f>
        <v>CHOCOLATE</v>
      </c>
      <c r="D22" s="846"/>
      <c r="E22" s="843" t="str">
        <f>P28</f>
        <v>BLACK</v>
      </c>
      <c r="F22" s="844"/>
      <c r="G22" s="425" t="str">
        <f>P40</f>
        <v>OLIVE</v>
      </c>
      <c r="H22" s="847"/>
      <c r="I22" s="838">
        <f>$P$30</f>
        <v>0</v>
      </c>
      <c r="J22" s="408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78">
        <f>SUM(C27:C61)</f>
        <v>1</v>
      </c>
      <c r="D24" s="249">
        <f t="shared" ref="D24:J24" si="9">SUM(D27:D61)</f>
        <v>4</v>
      </c>
      <c r="E24" s="286">
        <f t="shared" si="9"/>
        <v>8</v>
      </c>
      <c r="F24" s="249">
        <f t="shared" si="9"/>
        <v>2</v>
      </c>
      <c r="G24" s="284">
        <f t="shared" si="9"/>
        <v>5</v>
      </c>
      <c r="H24" s="248">
        <f t="shared" si="9"/>
        <v>19</v>
      </c>
      <c r="I24" s="284">
        <f t="shared" si="9"/>
        <v>0</v>
      </c>
      <c r="J24" s="246">
        <f t="shared" si="9"/>
        <v>0</v>
      </c>
      <c r="K24" s="322">
        <f>SUM(C24:J24)</f>
        <v>39</v>
      </c>
      <c r="L24" s="276">
        <f>K24-SUM(K27:K61)</f>
        <v>0</v>
      </c>
    </row>
    <row r="25" spans="1:30" ht="15.75" thickBot="1">
      <c r="B25" s="279" t="s">
        <v>137</v>
      </c>
      <c r="C25" s="373">
        <f>R3-C24</f>
        <v>0</v>
      </c>
      <c r="D25" s="291">
        <f t="shared" ref="D25" si="10">S3-D24</f>
        <v>0</v>
      </c>
      <c r="E25" s="290">
        <f>R4-E24</f>
        <v>0</v>
      </c>
      <c r="F25" s="374">
        <f>S4-F24</f>
        <v>0</v>
      </c>
      <c r="G25" s="290">
        <f>R5-G24</f>
        <v>-1</v>
      </c>
      <c r="H25" s="291">
        <f>S5-H24</f>
        <v>1</v>
      </c>
      <c r="I25" s="290">
        <f>R6-I24</f>
        <v>0</v>
      </c>
      <c r="J25" s="292">
        <f>S6-J24</f>
        <v>0</v>
      </c>
      <c r="K25" s="247">
        <f>SUM(C25:J25)</f>
        <v>0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>
      <c r="A27">
        <v>1</v>
      </c>
      <c r="B27" s="339" t="s">
        <v>74</v>
      </c>
      <c r="C27" s="340"/>
      <c r="D27" s="341"/>
      <c r="E27" s="340"/>
      <c r="F27" s="341"/>
      <c r="G27" s="340"/>
      <c r="H27" s="341">
        <v>1</v>
      </c>
      <c r="I27" s="340"/>
      <c r="J27" s="342"/>
      <c r="K27" s="382">
        <f>SUM(C27:J27)</f>
        <v>1</v>
      </c>
      <c r="L27" s="265">
        <f>IFERROR(((C27+D27)*$Q$3)+((E27+F27)*$Q$4)+((G27+H27)*$Q$5)+((I27+J27)*$Q$6),"-")</f>
        <v>34</v>
      </c>
      <c r="M27" s="351"/>
      <c r="P27" s="354" t="s">
        <v>376</v>
      </c>
      <c r="Q27" s="355">
        <v>18</v>
      </c>
      <c r="R27" s="356">
        <v>1</v>
      </c>
      <c r="S27" s="356">
        <v>5</v>
      </c>
      <c r="T27" s="311">
        <f>R27+S27</f>
        <v>6</v>
      </c>
      <c r="U27" s="332">
        <f>IFERROR($W$36/$T$33,"-")</f>
        <v>1.3505882352941176</v>
      </c>
      <c r="V27" s="375">
        <f>IFERROR(Q27+U27,"-")</f>
        <v>19.350588235294119</v>
      </c>
      <c r="W27" s="251">
        <f>IFERROR(T27*V27,"-")</f>
        <v>116.10352941176471</v>
      </c>
      <c r="Y27" s="302" t="str">
        <f>$P$27</f>
        <v>CHOCOLATE</v>
      </c>
      <c r="Z27" s="316">
        <f>V27</f>
        <v>19.350588235294119</v>
      </c>
      <c r="AA27" s="309">
        <f>T55</f>
        <v>7.26</v>
      </c>
      <c r="AB27" s="309"/>
      <c r="AC27" s="252">
        <f>SUM(Z27:AB27)</f>
        <v>26.610588235294117</v>
      </c>
    </row>
    <row r="28" spans="1:30">
      <c r="A28">
        <v>2</v>
      </c>
      <c r="B28" s="377" t="s">
        <v>48</v>
      </c>
      <c r="C28" s="378"/>
      <c r="D28" s="379"/>
      <c r="E28" s="378"/>
      <c r="F28" s="379">
        <v>1</v>
      </c>
      <c r="G28" s="378"/>
      <c r="H28" s="379"/>
      <c r="I28" s="378"/>
      <c r="J28" s="380"/>
      <c r="K28" s="383">
        <f t="shared" ref="K28:K61" si="11">SUM(C28:J28)</f>
        <v>1</v>
      </c>
      <c r="L28" s="384">
        <f t="shared" ref="L28:L61" si="12">IFERROR(((C28+D28)*$Q$3)+((E28+F28)*$Q$4)+((G28+H28)*$Q$5)+((I28+J28)*$Q$6),"-")</f>
        <v>44</v>
      </c>
      <c r="M28" s="381"/>
      <c r="P28" s="357" t="s">
        <v>279</v>
      </c>
      <c r="Q28" s="358">
        <v>30.39</v>
      </c>
      <c r="R28" s="359">
        <v>9</v>
      </c>
      <c r="S28" s="359">
        <v>2</v>
      </c>
      <c r="T28" s="310">
        <f t="shared" ref="T28:T32" si="13">R28+S28</f>
        <v>11</v>
      </c>
      <c r="U28" s="309">
        <f>IFERROR($W$36/$T$33,"-")</f>
        <v>1.3505882352941176</v>
      </c>
      <c r="V28" s="309">
        <f>IFERROR(Q28+U28,"-")</f>
        <v>31.740588235294119</v>
      </c>
      <c r="W28" s="252">
        <f>IFERROR(T28*V28,"-")</f>
        <v>349.14647058823533</v>
      </c>
      <c r="Y28" s="302" t="str">
        <f>$P$28</f>
        <v>BLACK</v>
      </c>
      <c r="Z28" s="316">
        <f>V28</f>
        <v>31.740588235294119</v>
      </c>
      <c r="AA28" s="309">
        <f>T56</f>
        <v>7.26</v>
      </c>
      <c r="AB28" s="309"/>
      <c r="AC28" s="252">
        <f t="shared" ref="AC28:AC32" si="14">SUM(Z28:AB28)</f>
        <v>39.000588235294117</v>
      </c>
    </row>
    <row r="29" spans="1:30">
      <c r="A29">
        <v>3</v>
      </c>
      <c r="B29" s="343" t="s">
        <v>65</v>
      </c>
      <c r="C29" s="344"/>
      <c r="D29" s="345"/>
      <c r="E29" s="344">
        <v>1</v>
      </c>
      <c r="F29" s="345"/>
      <c r="G29" s="344"/>
      <c r="H29" s="345"/>
      <c r="I29" s="344"/>
      <c r="J29" s="346"/>
      <c r="K29" s="383">
        <f t="shared" si="11"/>
        <v>1</v>
      </c>
      <c r="L29" s="384">
        <f t="shared" si="12"/>
        <v>44</v>
      </c>
      <c r="M29" s="352"/>
      <c r="P29" s="357"/>
      <c r="Q29" s="358"/>
      <c r="R29" s="359"/>
      <c r="S29" s="359"/>
      <c r="T29" s="310"/>
      <c r="U29" s="309"/>
      <c r="V29" s="309"/>
      <c r="W29" s="252"/>
      <c r="Y29" s="302" t="str">
        <f>P57</f>
        <v>OLIVE</v>
      </c>
      <c r="Z29" s="316">
        <f>V40</f>
        <v>24.422692307692309</v>
      </c>
      <c r="AA29" s="309">
        <f>T57</f>
        <v>3.63</v>
      </c>
      <c r="AB29" s="309"/>
      <c r="AC29" s="252">
        <f t="shared" si="14"/>
        <v>28.052692307692308</v>
      </c>
    </row>
    <row r="30" spans="1:30">
      <c r="A30">
        <f>A29+1</f>
        <v>4</v>
      </c>
      <c r="B30" s="377" t="s">
        <v>81</v>
      </c>
      <c r="C30" s="378"/>
      <c r="D30" s="379">
        <v>1</v>
      </c>
      <c r="E30" s="378"/>
      <c r="F30" s="379"/>
      <c r="G30" s="378"/>
      <c r="H30" s="379"/>
      <c r="I30" s="378"/>
      <c r="J30" s="380"/>
      <c r="K30" s="383">
        <f t="shared" si="11"/>
        <v>1</v>
      </c>
      <c r="L30" s="384">
        <f t="shared" si="12"/>
        <v>44</v>
      </c>
      <c r="M30" s="381"/>
      <c r="P30" s="357"/>
      <c r="Q30" s="358"/>
      <c r="R30" s="359"/>
      <c r="S30" s="359"/>
      <c r="T30" s="310"/>
      <c r="U30" s="309"/>
      <c r="V30" s="309"/>
      <c r="W30" s="252"/>
      <c r="Y30" s="302"/>
      <c r="Z30" s="316"/>
      <c r="AA30" s="320"/>
      <c r="AB30" s="320"/>
      <c r="AC30" s="252"/>
    </row>
    <row r="31" spans="1:30">
      <c r="A31">
        <f t="shared" ref="A31:A61" si="15">A30+1</f>
        <v>5</v>
      </c>
      <c r="B31" s="343" t="s">
        <v>12</v>
      </c>
      <c r="C31" s="344"/>
      <c r="D31" s="345"/>
      <c r="E31" s="344">
        <v>1</v>
      </c>
      <c r="F31" s="345"/>
      <c r="G31" s="344"/>
      <c r="H31" s="345">
        <v>1</v>
      </c>
      <c r="I31" s="344"/>
      <c r="J31" s="346"/>
      <c r="K31" s="383">
        <f t="shared" si="11"/>
        <v>2</v>
      </c>
      <c r="L31" s="384">
        <f t="shared" si="12"/>
        <v>78</v>
      </c>
      <c r="M31" s="352"/>
      <c r="P31" s="343"/>
      <c r="Q31" s="359"/>
      <c r="R31" s="359"/>
      <c r="S31" s="359"/>
      <c r="T31" s="310"/>
      <c r="U31" s="309"/>
      <c r="V31" s="309"/>
      <c r="W31" s="252"/>
      <c r="Y31" s="278"/>
      <c r="Z31" s="310"/>
      <c r="AA31" s="317"/>
      <c r="AB31" s="317"/>
      <c r="AC31" s="323">
        <f t="shared" si="14"/>
        <v>0</v>
      </c>
    </row>
    <row r="32" spans="1:30" ht="15.75" thickBot="1">
      <c r="A32">
        <f t="shared" si="15"/>
        <v>6</v>
      </c>
      <c r="B32" s="377" t="s">
        <v>62</v>
      </c>
      <c r="C32" s="378"/>
      <c r="D32" s="379"/>
      <c r="E32" s="378">
        <v>1</v>
      </c>
      <c r="F32" s="379"/>
      <c r="G32" s="378"/>
      <c r="H32" s="379"/>
      <c r="I32" s="378"/>
      <c r="J32" s="380"/>
      <c r="K32" s="383">
        <f t="shared" si="11"/>
        <v>1</v>
      </c>
      <c r="L32" s="384">
        <f t="shared" si="12"/>
        <v>44</v>
      </c>
      <c r="M32" s="381"/>
      <c r="P32" s="347"/>
      <c r="Q32" s="360"/>
      <c r="R32" s="360"/>
      <c r="S32" s="360"/>
      <c r="T32" s="312"/>
      <c r="U32" s="328"/>
      <c r="V32" s="328"/>
      <c r="W32" s="253"/>
      <c r="Y32" s="279"/>
      <c r="Z32" s="312"/>
      <c r="AA32" s="319"/>
      <c r="AB32" s="319"/>
      <c r="AC32" s="324">
        <f t="shared" si="14"/>
        <v>0</v>
      </c>
    </row>
    <row r="33" spans="1:29" ht="15.75" thickBot="1">
      <c r="A33">
        <f t="shared" si="15"/>
        <v>7</v>
      </c>
      <c r="B33" s="343" t="s">
        <v>78</v>
      </c>
      <c r="C33" s="344"/>
      <c r="D33" s="345"/>
      <c r="E33" s="344"/>
      <c r="F33" s="345"/>
      <c r="G33" s="344"/>
      <c r="H33" s="345">
        <v>1</v>
      </c>
      <c r="I33" s="344"/>
      <c r="J33" s="346"/>
      <c r="K33" s="383">
        <f t="shared" si="11"/>
        <v>1</v>
      </c>
      <c r="L33" s="384">
        <f t="shared" si="12"/>
        <v>34</v>
      </c>
      <c r="M33" s="352"/>
      <c r="P33" s="313" t="s">
        <v>113</v>
      </c>
      <c r="Q33" s="308"/>
      <c r="R33" s="308"/>
      <c r="S33" s="308"/>
      <c r="T33" s="308">
        <f>SUM(T27:T32)</f>
        <v>17</v>
      </c>
      <c r="U33" s="329"/>
      <c r="V33" s="308"/>
      <c r="W33" s="314">
        <f>SUM(W27:W32)</f>
        <v>465.25000000000006</v>
      </c>
    </row>
    <row r="34" spans="1:29" ht="15.75" thickBot="1">
      <c r="A34">
        <f t="shared" si="15"/>
        <v>8</v>
      </c>
      <c r="B34" s="377" t="s">
        <v>37</v>
      </c>
      <c r="C34" s="378"/>
      <c r="D34" s="379"/>
      <c r="E34" s="378">
        <v>1</v>
      </c>
      <c r="F34" s="379"/>
      <c r="G34" s="378">
        <v>1</v>
      </c>
      <c r="H34" s="379"/>
      <c r="I34" s="378"/>
      <c r="J34" s="380"/>
      <c r="K34" s="383">
        <f t="shared" si="11"/>
        <v>2</v>
      </c>
      <c r="L34" s="384">
        <f>IFERROR(((C34+D34)*$Q$3)+((E34+F34)*$Q$4)+((G34+H34)*$Q$5)+((I34+J34)*$Q$6),"-")-2</f>
        <v>76</v>
      </c>
      <c r="M34" s="381"/>
      <c r="P34" s="357" t="s">
        <v>129</v>
      </c>
      <c r="Q34" s="361"/>
      <c r="R34" s="361"/>
      <c r="S34" s="361"/>
      <c r="T34" s="361"/>
      <c r="U34" s="361"/>
      <c r="V34" s="361"/>
      <c r="W34" s="362"/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>
      <c r="A35">
        <f t="shared" si="15"/>
        <v>9</v>
      </c>
      <c r="B35" s="343" t="s">
        <v>66</v>
      </c>
      <c r="C35" s="344"/>
      <c r="D35" s="345"/>
      <c r="E35" s="344"/>
      <c r="F35" s="345"/>
      <c r="G35" s="344"/>
      <c r="H35" s="345">
        <v>1</v>
      </c>
      <c r="I35" s="344"/>
      <c r="J35" s="346"/>
      <c r="K35" s="383">
        <f t="shared" si="11"/>
        <v>1</v>
      </c>
      <c r="L35" s="384">
        <f t="shared" si="12"/>
        <v>34</v>
      </c>
      <c r="M35" s="352"/>
      <c r="P35" s="357" t="s">
        <v>130</v>
      </c>
      <c r="Q35" s="361"/>
      <c r="R35" s="361"/>
      <c r="S35" s="361"/>
      <c r="T35" s="361"/>
      <c r="U35" s="361"/>
      <c r="V35" s="361"/>
      <c r="W35" s="362">
        <v>22.96</v>
      </c>
      <c r="Y35" s="302" t="str">
        <f>$P$27</f>
        <v>CHOCOLATE</v>
      </c>
      <c r="Z35" s="363">
        <v>44</v>
      </c>
      <c r="AA35" s="309">
        <f>-AC27</f>
        <v>-26.610588235294117</v>
      </c>
      <c r="AB35" s="309">
        <f>SUM(Z35:AA35)</f>
        <v>17.389411764705883</v>
      </c>
      <c r="AC35" s="330">
        <f>AB35/Z35</f>
        <v>0.39521390374331555</v>
      </c>
    </row>
    <row r="36" spans="1:29" ht="15.75" thickBot="1">
      <c r="A36">
        <f t="shared" si="15"/>
        <v>10</v>
      </c>
      <c r="B36" s="377" t="s">
        <v>67</v>
      </c>
      <c r="C36" s="378"/>
      <c r="D36" s="379"/>
      <c r="E36" s="378"/>
      <c r="F36" s="379"/>
      <c r="G36" s="378"/>
      <c r="H36" s="379">
        <v>1</v>
      </c>
      <c r="I36" s="378"/>
      <c r="J36" s="380"/>
      <c r="K36" s="383">
        <f t="shared" si="11"/>
        <v>1</v>
      </c>
      <c r="L36" s="384">
        <f t="shared" si="12"/>
        <v>34</v>
      </c>
      <c r="M36" s="381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22.96</v>
      </c>
      <c r="Y36" s="302" t="str">
        <f>$P$28</f>
        <v>BLACK</v>
      </c>
      <c r="Z36" s="363">
        <v>44</v>
      </c>
      <c r="AA36" s="309">
        <f>-AC28</f>
        <v>-39.000588235294117</v>
      </c>
      <c r="AB36" s="309">
        <f t="shared" ref="AB36:AB38" si="16">SUM(Z36:AA36)</f>
        <v>4.9994117647058829</v>
      </c>
      <c r="AC36" s="330">
        <f t="shared" ref="AC36:AC38" si="17">AB36/Z36</f>
        <v>0.11362299465240643</v>
      </c>
    </row>
    <row r="37" spans="1:29" ht="15.75" thickBot="1">
      <c r="A37">
        <f t="shared" si="15"/>
        <v>11</v>
      </c>
      <c r="B37" s="343" t="s">
        <v>63</v>
      </c>
      <c r="C37" s="344"/>
      <c r="D37" s="345"/>
      <c r="E37" s="344"/>
      <c r="F37" s="345"/>
      <c r="G37" s="344">
        <v>1</v>
      </c>
      <c r="H37" s="345"/>
      <c r="I37" s="344"/>
      <c r="J37" s="346"/>
      <c r="K37" s="383">
        <f t="shared" si="11"/>
        <v>1</v>
      </c>
      <c r="L37" s="384">
        <f t="shared" si="12"/>
        <v>34</v>
      </c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465.25000000000006</v>
      </c>
      <c r="Y37" s="302" t="str">
        <f>P57</f>
        <v>OLIVE</v>
      </c>
      <c r="Z37" s="363">
        <v>34</v>
      </c>
      <c r="AA37" s="309">
        <f>-AC29</f>
        <v>-28.052692307692308</v>
      </c>
      <c r="AB37" s="309">
        <f t="shared" si="16"/>
        <v>5.9473076923076924</v>
      </c>
      <c r="AC37" s="330">
        <f t="shared" si="17"/>
        <v>0.174920814479638</v>
      </c>
    </row>
    <row r="38" spans="1:29" ht="15.75" thickBot="1">
      <c r="A38">
        <f t="shared" si="15"/>
        <v>12</v>
      </c>
      <c r="B38" s="377" t="s">
        <v>51</v>
      </c>
      <c r="C38" s="378"/>
      <c r="D38" s="379"/>
      <c r="E38" s="378"/>
      <c r="F38" s="379"/>
      <c r="G38" s="378"/>
      <c r="H38" s="379">
        <v>1</v>
      </c>
      <c r="I38" s="378"/>
      <c r="J38" s="380"/>
      <c r="K38" s="383">
        <f t="shared" si="11"/>
        <v>1</v>
      </c>
      <c r="L38" s="384">
        <f t="shared" si="12"/>
        <v>34</v>
      </c>
      <c r="M38" s="381"/>
      <c r="W38" s="276">
        <f>Q27*T27+Q28*T28+Q29*T29+Q30*T30+Q31*T31+Q32*T32+W36-W37</f>
        <v>0</v>
      </c>
      <c r="Y38" s="302">
        <f>$P$30</f>
        <v>0</v>
      </c>
      <c r="Z38" s="363"/>
      <c r="AA38" s="320"/>
      <c r="AB38" s="320"/>
      <c r="AC38" s="330"/>
    </row>
    <row r="39" spans="1:29" ht="15.75" thickBot="1">
      <c r="A39">
        <f t="shared" si="15"/>
        <v>13</v>
      </c>
      <c r="B39" s="343" t="s">
        <v>61</v>
      </c>
      <c r="C39" s="344"/>
      <c r="D39" s="345">
        <v>1</v>
      </c>
      <c r="E39" s="344"/>
      <c r="F39" s="345"/>
      <c r="G39" s="344"/>
      <c r="H39" s="345">
        <v>1</v>
      </c>
      <c r="I39" s="344"/>
      <c r="J39" s="346"/>
      <c r="K39" s="383">
        <f t="shared" si="11"/>
        <v>2</v>
      </c>
      <c r="L39" s="384">
        <f t="shared" si="12"/>
        <v>78</v>
      </c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5.75" thickBot="1">
      <c r="A40">
        <f t="shared" si="15"/>
        <v>14</v>
      </c>
      <c r="B40" s="377" t="s">
        <v>77</v>
      </c>
      <c r="C40" s="378"/>
      <c r="D40" s="379"/>
      <c r="E40" s="378"/>
      <c r="F40" s="379"/>
      <c r="G40" s="378"/>
      <c r="H40" s="379">
        <v>1</v>
      </c>
      <c r="I40" s="378"/>
      <c r="J40" s="380"/>
      <c r="K40" s="383">
        <f t="shared" si="11"/>
        <v>1</v>
      </c>
      <c r="L40" s="384">
        <f t="shared" si="12"/>
        <v>34</v>
      </c>
      <c r="M40" s="381"/>
      <c r="P40" s="357" t="s">
        <v>377</v>
      </c>
      <c r="Q40" s="358">
        <v>24</v>
      </c>
      <c r="R40" s="356">
        <v>5</v>
      </c>
      <c r="S40" s="356">
        <v>21</v>
      </c>
      <c r="T40" s="311">
        <f>SUM(R40:S40)</f>
        <v>26</v>
      </c>
      <c r="U40" s="316">
        <f>IFERROR($W$49/$T$46,"-")</f>
        <v>0.4226923076923077</v>
      </c>
      <c r="V40" s="376">
        <f>IFERROR(Q40+U40,"-")</f>
        <v>24.422692307692309</v>
      </c>
      <c r="W40" s="252">
        <f>IFERROR(T40*V40,"-")</f>
        <v>634.99</v>
      </c>
      <c r="Y40" s="279"/>
      <c r="Z40" s="360"/>
      <c r="AA40" s="319"/>
      <c r="AB40" s="319"/>
      <c r="AC40" s="205"/>
    </row>
    <row r="41" spans="1:29">
      <c r="A41">
        <f t="shared" si="15"/>
        <v>15</v>
      </c>
      <c r="B41" s="343" t="s">
        <v>27</v>
      </c>
      <c r="C41" s="344">
        <v>1</v>
      </c>
      <c r="D41" s="345"/>
      <c r="E41" s="344"/>
      <c r="F41" s="345"/>
      <c r="G41" s="344"/>
      <c r="H41" s="345"/>
      <c r="I41" s="344"/>
      <c r="J41" s="346"/>
      <c r="K41" s="383">
        <f t="shared" si="11"/>
        <v>1</v>
      </c>
      <c r="L41" s="384">
        <f t="shared" si="12"/>
        <v>44</v>
      </c>
      <c r="M41" s="352"/>
      <c r="P41" s="357"/>
      <c r="Q41" s="358"/>
      <c r="R41" s="359"/>
      <c r="S41" s="359"/>
      <c r="T41" s="310"/>
      <c r="U41" s="309"/>
      <c r="V41" s="309"/>
      <c r="W41" s="252"/>
    </row>
    <row r="42" spans="1:29">
      <c r="A42">
        <f t="shared" si="15"/>
        <v>16</v>
      </c>
      <c r="B42" s="377" t="s">
        <v>72</v>
      </c>
      <c r="C42" s="378"/>
      <c r="D42" s="379"/>
      <c r="E42" s="378"/>
      <c r="F42" s="379"/>
      <c r="G42" s="378"/>
      <c r="H42" s="379">
        <v>1</v>
      </c>
      <c r="I42" s="378"/>
      <c r="J42" s="380"/>
      <c r="K42" s="383">
        <f t="shared" si="11"/>
        <v>1</v>
      </c>
      <c r="L42" s="384">
        <f t="shared" si="12"/>
        <v>34</v>
      </c>
      <c r="M42" s="381"/>
      <c r="P42" s="357"/>
      <c r="Q42" s="358"/>
      <c r="R42" s="359"/>
      <c r="S42" s="359"/>
      <c r="T42" s="310"/>
      <c r="U42" s="309"/>
      <c r="V42" s="309"/>
      <c r="W42" s="252"/>
    </row>
    <row r="43" spans="1:29">
      <c r="A43">
        <f t="shared" si="15"/>
        <v>17</v>
      </c>
      <c r="B43" s="343" t="s">
        <v>39</v>
      </c>
      <c r="C43" s="344"/>
      <c r="D43" s="345"/>
      <c r="E43" s="344"/>
      <c r="F43" s="345"/>
      <c r="G43" s="344"/>
      <c r="H43" s="345">
        <v>1</v>
      </c>
      <c r="I43" s="344"/>
      <c r="J43" s="346"/>
      <c r="K43" s="383">
        <f t="shared" si="11"/>
        <v>1</v>
      </c>
      <c r="L43" s="384">
        <f t="shared" si="12"/>
        <v>34</v>
      </c>
      <c r="M43" s="352"/>
      <c r="P43" s="357"/>
      <c r="Q43" s="358"/>
      <c r="R43" s="359"/>
      <c r="S43" s="359"/>
      <c r="T43" s="310"/>
      <c r="U43" s="309"/>
      <c r="V43" s="309"/>
      <c r="W43" s="252"/>
    </row>
    <row r="44" spans="1:29">
      <c r="A44">
        <f t="shared" si="15"/>
        <v>18</v>
      </c>
      <c r="B44" s="377" t="s">
        <v>33</v>
      </c>
      <c r="C44" s="378"/>
      <c r="D44" s="379"/>
      <c r="E44" s="378"/>
      <c r="F44" s="379"/>
      <c r="G44" s="378"/>
      <c r="H44" s="379">
        <v>1</v>
      </c>
      <c r="I44" s="378"/>
      <c r="J44" s="380"/>
      <c r="K44" s="383">
        <f t="shared" si="11"/>
        <v>1</v>
      </c>
      <c r="L44" s="384">
        <f t="shared" si="12"/>
        <v>34</v>
      </c>
      <c r="M44" s="381"/>
      <c r="P44" s="343"/>
      <c r="Q44" s="359"/>
      <c r="R44" s="359"/>
      <c r="S44" s="359"/>
      <c r="T44" s="310"/>
      <c r="U44" s="309"/>
      <c r="V44" s="309"/>
      <c r="W44" s="252"/>
    </row>
    <row r="45" spans="1:29" ht="15.75" thickBot="1">
      <c r="A45">
        <f t="shared" si="15"/>
        <v>19</v>
      </c>
      <c r="B45" s="343" t="s">
        <v>54</v>
      </c>
      <c r="C45" s="344"/>
      <c r="D45" s="345"/>
      <c r="E45" s="344">
        <v>1</v>
      </c>
      <c r="F45" s="345"/>
      <c r="G45" s="344"/>
      <c r="H45" s="345"/>
      <c r="I45" s="344"/>
      <c r="J45" s="346"/>
      <c r="K45" s="383">
        <f t="shared" si="11"/>
        <v>1</v>
      </c>
      <c r="L45" s="384">
        <f t="shared" si="12"/>
        <v>44</v>
      </c>
      <c r="M45" s="352"/>
      <c r="P45" s="347"/>
      <c r="Q45" s="360"/>
      <c r="R45" s="360"/>
      <c r="S45" s="360"/>
      <c r="T45" s="312"/>
      <c r="U45" s="328"/>
      <c r="V45" s="328"/>
      <c r="W45" s="253"/>
    </row>
    <row r="46" spans="1:29">
      <c r="A46">
        <f t="shared" si="15"/>
        <v>20</v>
      </c>
      <c r="B46" s="377" t="s">
        <v>50</v>
      </c>
      <c r="C46" s="378"/>
      <c r="D46" s="379"/>
      <c r="E46" s="378"/>
      <c r="F46" s="379"/>
      <c r="G46" s="378"/>
      <c r="H46" s="379">
        <v>1</v>
      </c>
      <c r="I46" s="378"/>
      <c r="J46" s="380"/>
      <c r="K46" s="383">
        <f t="shared" si="11"/>
        <v>1</v>
      </c>
      <c r="L46" s="384">
        <f t="shared" si="12"/>
        <v>34</v>
      </c>
      <c r="M46" s="381"/>
      <c r="P46" s="313" t="s">
        <v>113</v>
      </c>
      <c r="Q46" s="308"/>
      <c r="R46" s="308"/>
      <c r="S46" s="308"/>
      <c r="T46" s="308">
        <f>SUM(T40:T45)</f>
        <v>26</v>
      </c>
      <c r="U46" s="329"/>
      <c r="V46" s="308"/>
      <c r="W46" s="314">
        <f>SUM(W40:W45)</f>
        <v>634.99</v>
      </c>
    </row>
    <row r="47" spans="1:29">
      <c r="A47">
        <f t="shared" si="15"/>
        <v>21</v>
      </c>
      <c r="B47" s="343" t="s">
        <v>57</v>
      </c>
      <c r="C47" s="344"/>
      <c r="D47" s="345"/>
      <c r="E47" s="344">
        <v>1</v>
      </c>
      <c r="F47" s="345"/>
      <c r="G47" s="344"/>
      <c r="H47" s="345"/>
      <c r="I47" s="344"/>
      <c r="J47" s="346"/>
      <c r="K47" s="383">
        <f t="shared" si="11"/>
        <v>1</v>
      </c>
      <c r="L47" s="384">
        <f t="shared" si="12"/>
        <v>44</v>
      </c>
      <c r="M47" s="352"/>
      <c r="P47" s="357" t="s">
        <v>129</v>
      </c>
      <c r="Q47" s="361"/>
      <c r="R47" s="361"/>
      <c r="S47" s="361"/>
      <c r="T47" s="361"/>
      <c r="U47" s="361"/>
      <c r="V47" s="361"/>
      <c r="W47" s="362">
        <v>10.99</v>
      </c>
    </row>
    <row r="48" spans="1:29">
      <c r="A48">
        <f t="shared" si="15"/>
        <v>22</v>
      </c>
      <c r="B48" s="377" t="s">
        <v>53</v>
      </c>
      <c r="C48" s="378"/>
      <c r="D48" s="379"/>
      <c r="E48" s="378"/>
      <c r="F48" s="379"/>
      <c r="G48" s="378"/>
      <c r="H48" s="379">
        <v>1</v>
      </c>
      <c r="I48" s="378"/>
      <c r="J48" s="380"/>
      <c r="K48" s="383">
        <f t="shared" si="11"/>
        <v>1</v>
      </c>
      <c r="L48" s="384">
        <f>IFERROR(((C48+D48)*$Q$3)+((E48+F48)*$Q$4)+((G48+H48)*$Q$5)+((I48+J48)*$Q$6),"-")-4</f>
        <v>30</v>
      </c>
      <c r="M48" s="381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5.75" thickBot="1">
      <c r="A49">
        <f t="shared" si="15"/>
        <v>23</v>
      </c>
      <c r="B49" s="343" t="s">
        <v>85</v>
      </c>
      <c r="C49" s="344"/>
      <c r="D49" s="345"/>
      <c r="E49" s="344"/>
      <c r="F49" s="345"/>
      <c r="G49" s="344"/>
      <c r="H49" s="345">
        <v>1</v>
      </c>
      <c r="I49" s="344"/>
      <c r="J49" s="346"/>
      <c r="K49" s="383">
        <f t="shared" si="11"/>
        <v>1</v>
      </c>
      <c r="L49" s="384">
        <f t="shared" si="12"/>
        <v>34</v>
      </c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10.99</v>
      </c>
    </row>
    <row r="50" spans="1:23" ht="15.75" thickBot="1">
      <c r="A50">
        <f t="shared" si="15"/>
        <v>24</v>
      </c>
      <c r="B50" s="377" t="s">
        <v>44</v>
      </c>
      <c r="C50" s="378"/>
      <c r="D50" s="379"/>
      <c r="E50" s="378"/>
      <c r="F50" s="379"/>
      <c r="G50" s="378">
        <v>1</v>
      </c>
      <c r="H50" s="379"/>
      <c r="I50" s="378"/>
      <c r="J50" s="380"/>
      <c r="K50" s="383">
        <f t="shared" si="11"/>
        <v>1</v>
      </c>
      <c r="L50" s="384">
        <f>IFERROR(((C50+D50)*$Q$3)+((E50+F50)*$Q$4)+((G50+H50)*$Q$5)+((I50+J50)*$Q$6),"-")-1</f>
        <v>33</v>
      </c>
      <c r="M50" s="381"/>
      <c r="P50" s="305" t="s">
        <v>132</v>
      </c>
      <c r="Q50" s="306"/>
      <c r="R50" s="306"/>
      <c r="S50" s="306"/>
      <c r="T50" s="306"/>
      <c r="U50" s="306"/>
      <c r="V50" s="306"/>
      <c r="W50" s="307">
        <f>W46</f>
        <v>634.99</v>
      </c>
    </row>
    <row r="51" spans="1:23" ht="15.75" thickBot="1">
      <c r="A51">
        <f t="shared" si="15"/>
        <v>25</v>
      </c>
      <c r="B51" s="343" t="s">
        <v>42</v>
      </c>
      <c r="C51" s="344"/>
      <c r="D51" s="345"/>
      <c r="E51" s="344">
        <v>1</v>
      </c>
      <c r="F51" s="345"/>
      <c r="G51" s="344">
        <v>1</v>
      </c>
      <c r="H51" s="345"/>
      <c r="I51" s="344"/>
      <c r="J51" s="346"/>
      <c r="K51" s="383">
        <f t="shared" si="11"/>
        <v>2</v>
      </c>
      <c r="L51" s="384">
        <f>IFERROR(((C51+D51)*$Q$3)+((E51+F51)*$Q$4)+((G51+H51)*$Q$5)+((I51+J51)*$Q$6),"-")-1</f>
        <v>77</v>
      </c>
      <c r="M51" s="352"/>
      <c r="W51" s="276"/>
    </row>
    <row r="52" spans="1:23" ht="15.75" thickBot="1">
      <c r="A52">
        <f t="shared" si="15"/>
        <v>26</v>
      </c>
      <c r="B52" s="377" t="s">
        <v>34</v>
      </c>
      <c r="C52" s="378"/>
      <c r="D52" s="379"/>
      <c r="E52" s="378"/>
      <c r="F52" s="379"/>
      <c r="G52" s="378"/>
      <c r="H52" s="379">
        <v>1</v>
      </c>
      <c r="I52" s="378"/>
      <c r="J52" s="380"/>
      <c r="K52" s="383">
        <f t="shared" si="11"/>
        <v>1</v>
      </c>
      <c r="L52" s="384">
        <f>IFERROR(((C52+D52)*$Q$3)+((E52+F52)*$Q$4)+((G52+H52)*$Q$5)+((I52+J52)*$Q$6),"-")-1</f>
        <v>33</v>
      </c>
      <c r="M52" s="381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1100.24</v>
      </c>
    </row>
    <row r="53" spans="1:23" ht="15.75" thickBot="1">
      <c r="A53">
        <f t="shared" si="15"/>
        <v>27</v>
      </c>
      <c r="B53" s="343" t="s">
        <v>90</v>
      </c>
      <c r="C53" s="344"/>
      <c r="D53" s="345">
        <v>1</v>
      </c>
      <c r="E53" s="344"/>
      <c r="F53" s="345"/>
      <c r="G53" s="344"/>
      <c r="H53" s="345"/>
      <c r="I53" s="344"/>
      <c r="J53" s="346"/>
      <c r="K53" s="383">
        <f t="shared" si="11"/>
        <v>1</v>
      </c>
      <c r="L53" s="384">
        <f t="shared" si="12"/>
        <v>44</v>
      </c>
      <c r="M53" s="352"/>
    </row>
    <row r="54" spans="1:23" ht="15.75" thickBot="1">
      <c r="A54">
        <f t="shared" si="15"/>
        <v>28</v>
      </c>
      <c r="B54" s="377" t="s">
        <v>31</v>
      </c>
      <c r="C54" s="378"/>
      <c r="D54" s="379"/>
      <c r="E54" s="378"/>
      <c r="F54" s="379">
        <v>1</v>
      </c>
      <c r="G54" s="378"/>
      <c r="H54" s="379">
        <v>1</v>
      </c>
      <c r="I54" s="378"/>
      <c r="J54" s="380"/>
      <c r="K54" s="383">
        <f t="shared" si="11"/>
        <v>2</v>
      </c>
      <c r="L54" s="384">
        <f t="shared" si="12"/>
        <v>78</v>
      </c>
      <c r="M54" s="381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>
      <c r="A55">
        <f t="shared" si="15"/>
        <v>29</v>
      </c>
      <c r="B55" s="343" t="s">
        <v>40</v>
      </c>
      <c r="C55" s="344"/>
      <c r="D55" s="345"/>
      <c r="E55" s="344"/>
      <c r="F55" s="345"/>
      <c r="G55" s="344"/>
      <c r="H55" s="345">
        <v>1</v>
      </c>
      <c r="I55" s="344"/>
      <c r="J55" s="346"/>
      <c r="K55" s="383">
        <f t="shared" si="11"/>
        <v>1</v>
      </c>
      <c r="L55" s="384">
        <f>IFERROR(((C55+D55)*$Q$3)+((E55+F55)*$Q$4)+((G55+H55)*$Q$5)+((I55+J55)*$Q$6),"-")-10</f>
        <v>24</v>
      </c>
      <c r="M55" s="352"/>
      <c r="P55" s="302" t="str">
        <f>$P$27</f>
        <v>CHOCOLATE</v>
      </c>
      <c r="Q55" s="358">
        <v>6</v>
      </c>
      <c r="R55" s="310">
        <f>T27</f>
        <v>6</v>
      </c>
      <c r="S55" s="309">
        <f>IFERROR(((Q55*R55)*0.21)/R55,"-")</f>
        <v>1.26</v>
      </c>
      <c r="T55" s="309">
        <f>IFERROR(Q55+S55,"-")</f>
        <v>7.26</v>
      </c>
      <c r="U55" s="252">
        <f>IFERROR(R55*T55,"-")</f>
        <v>43.56</v>
      </c>
    </row>
    <row r="56" spans="1:23">
      <c r="A56">
        <f t="shared" si="15"/>
        <v>30</v>
      </c>
      <c r="B56" s="377" t="s">
        <v>38</v>
      </c>
      <c r="C56" s="378"/>
      <c r="D56" s="379"/>
      <c r="E56" s="378">
        <v>1</v>
      </c>
      <c r="F56" s="379"/>
      <c r="G56" s="378">
        <v>1</v>
      </c>
      <c r="H56" s="379"/>
      <c r="I56" s="378"/>
      <c r="J56" s="380"/>
      <c r="K56" s="383">
        <f t="shared" si="11"/>
        <v>2</v>
      </c>
      <c r="L56" s="384"/>
      <c r="M56" s="381"/>
      <c r="P56" s="302" t="str">
        <f>$P$28</f>
        <v>BLACK</v>
      </c>
      <c r="Q56" s="358">
        <v>6</v>
      </c>
      <c r="R56" s="310">
        <f>T28</f>
        <v>11</v>
      </c>
      <c r="S56" s="309">
        <f>IFERROR(((Q56*R56)*0.21)/R56,"-")</f>
        <v>1.26</v>
      </c>
      <c r="T56" s="309">
        <f>IFERROR(Q56+S56,"-")</f>
        <v>7.26</v>
      </c>
      <c r="U56" s="252">
        <f>IFERROR(R56*T56,"-")</f>
        <v>79.86</v>
      </c>
    </row>
    <row r="57" spans="1:23">
      <c r="A57">
        <f t="shared" si="15"/>
        <v>31</v>
      </c>
      <c r="B57" s="343" t="s">
        <v>29</v>
      </c>
      <c r="C57" s="344"/>
      <c r="D57" s="345"/>
      <c r="E57" s="344"/>
      <c r="F57" s="345"/>
      <c r="G57" s="344"/>
      <c r="H57" s="345">
        <v>1</v>
      </c>
      <c r="I57" s="344"/>
      <c r="J57" s="346"/>
      <c r="K57" s="383">
        <f t="shared" si="11"/>
        <v>1</v>
      </c>
      <c r="L57" s="384"/>
      <c r="M57" s="352"/>
      <c r="P57" s="302" t="str">
        <f>P40</f>
        <v>OLIVE</v>
      </c>
      <c r="Q57" s="358">
        <v>3</v>
      </c>
      <c r="R57" s="310">
        <f>T40</f>
        <v>26</v>
      </c>
      <c r="S57" s="309">
        <f>IFERROR(((Q57*R57)*0.21)/R57,"-")</f>
        <v>0.63</v>
      </c>
      <c r="T57" s="309">
        <f>IFERROR(Q57+S57,"-")</f>
        <v>3.63</v>
      </c>
      <c r="U57" s="252">
        <f>IFERROR(R57*T57,"-")</f>
        <v>94.38</v>
      </c>
    </row>
    <row r="58" spans="1:23">
      <c r="A58">
        <f t="shared" si="15"/>
        <v>32</v>
      </c>
      <c r="B58" s="377" t="s">
        <v>23</v>
      </c>
      <c r="C58" s="378"/>
      <c r="D58" s="379">
        <v>1</v>
      </c>
      <c r="E58" s="378"/>
      <c r="F58" s="379"/>
      <c r="G58" s="378"/>
      <c r="H58" s="379">
        <v>1</v>
      </c>
      <c r="I58" s="378"/>
      <c r="J58" s="380"/>
      <c r="K58" s="383">
        <f t="shared" si="11"/>
        <v>2</v>
      </c>
      <c r="L58" s="384"/>
      <c r="M58" s="381"/>
      <c r="P58" s="302">
        <f>$P$30</f>
        <v>0</v>
      </c>
      <c r="Q58" s="358"/>
      <c r="R58" s="310">
        <f>T30</f>
        <v>0</v>
      </c>
      <c r="S58" s="320" t="str">
        <f>IFERROR(((Q58*R58)*0.21)/R58,"-")</f>
        <v>-</v>
      </c>
      <c r="T58" s="309" t="str">
        <f>IFERROR(Q58+S58,"-")</f>
        <v>-</v>
      </c>
      <c r="U58" s="252" t="str">
        <f>IFERROR(R58*T58,"-")</f>
        <v>-</v>
      </c>
    </row>
    <row r="59" spans="1:23">
      <c r="A59">
        <f t="shared" si="15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83">
        <f t="shared" si="11"/>
        <v>0</v>
      </c>
      <c r="L59" s="384">
        <f t="shared" si="12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5.75" thickBot="1">
      <c r="A60">
        <f t="shared" si="15"/>
        <v>34</v>
      </c>
      <c r="B60" s="377"/>
      <c r="C60" s="378"/>
      <c r="D60" s="379"/>
      <c r="E60" s="378"/>
      <c r="F60" s="379"/>
      <c r="G60" s="378"/>
      <c r="H60" s="379"/>
      <c r="I60" s="378"/>
      <c r="J60" s="380"/>
      <c r="K60" s="383">
        <f t="shared" si="11"/>
        <v>0</v>
      </c>
      <c r="L60" s="384">
        <f t="shared" si="12"/>
        <v>0</v>
      </c>
      <c r="M60" s="381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5.75" thickBot="1">
      <c r="A61">
        <f t="shared" si="15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85">
        <f t="shared" si="11"/>
        <v>0</v>
      </c>
      <c r="L61" s="386">
        <f t="shared" si="12"/>
        <v>0</v>
      </c>
      <c r="M61" s="353"/>
      <c r="P61" s="305" t="s">
        <v>112</v>
      </c>
      <c r="Q61" s="306"/>
      <c r="R61" s="306">
        <f>SUM(R55:R60)</f>
        <v>43</v>
      </c>
      <c r="S61" s="321"/>
      <c r="T61" s="321"/>
      <c r="U61" s="307">
        <f>SUM(U55:U60)</f>
        <v>217.8</v>
      </c>
    </row>
    <row r="65" spans="1:7">
      <c r="A65" s="364">
        <v>1</v>
      </c>
      <c r="B65" s="364" t="str">
        <f>B27</f>
        <v>JAIME RAMIREZ</v>
      </c>
      <c r="C65" s="364" t="str">
        <f>_xlfn.TEXTJOIN(", ",TRUE,
IF(OR(C27&gt;0,E27&gt;0,G27&gt;0,I27&gt;0),"M",""),
IF(OR(D27&gt;0,F27&gt;0,H27&gt;0,J27&gt;0),"L","")
)</f>
        <v>L</v>
      </c>
      <c r="D65" s="364">
        <f>IF(C65="M",1,IF(C65="L",2,IF(C65="M, L",3)))</f>
        <v>2</v>
      </c>
      <c r="E65" s="365">
        <f>K27</f>
        <v>1</v>
      </c>
      <c r="F65" s="366">
        <f>L27</f>
        <v>34</v>
      </c>
      <c r="G65" s="364" t="str">
        <f>$B$2</f>
        <v>DROP 4</v>
      </c>
    </row>
    <row r="66" spans="1:7">
      <c r="A66" s="364">
        <v>2</v>
      </c>
      <c r="B66" s="364" t="str">
        <f>B28</f>
        <v>CASAPE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1</v>
      </c>
      <c r="F66" s="366">
        <f>L28</f>
        <v>44</v>
      </c>
      <c r="G66" s="364" t="str">
        <f t="shared" ref="G66:G99" si="18">$B$2</f>
        <v>DROP 4</v>
      </c>
    </row>
    <row r="67" spans="1:7">
      <c r="A67" s="364">
        <v>3</v>
      </c>
      <c r="B67" s="364" t="str">
        <f>B29</f>
        <v>IAGO AMIGO JACO</v>
      </c>
      <c r="C67" s="364" t="str">
        <f>_xlfn.TEXTJOIN(", ",TRUE,
IF(OR(C29&gt;0,E29&gt;0,G29&gt;0,I29&gt;0),"M",""),
IF(OR(D29&gt;0,F29&gt;0,H29&gt;0,J29&gt;0),"L","")
)</f>
        <v>M</v>
      </c>
      <c r="D67" s="364">
        <f>IF(C67="M",1,IF(C67="L",2,IF(C67="M, L",3)))</f>
        <v>1</v>
      </c>
      <c r="E67" s="365">
        <f>K29</f>
        <v>1</v>
      </c>
      <c r="F67" s="366">
        <f>L29</f>
        <v>44</v>
      </c>
      <c r="G67" s="364" t="str">
        <f t="shared" si="18"/>
        <v>DROP 4</v>
      </c>
    </row>
    <row r="68" spans="1:7">
      <c r="A68" s="364">
        <f>A67+1</f>
        <v>4</v>
      </c>
      <c r="B68" s="364" t="str">
        <f>B30</f>
        <v>LAURA PUIG</v>
      </c>
      <c r="C68" s="364" t="str">
        <f>_xlfn.TEXTJOIN(", ",TRUE,
IF(OR(C30&gt;0,E30&gt;0,G30&gt;0,I30&gt;0),"M",""),
IF(OR(D30&gt;0,F30&gt;0,H30&gt;0,J30&gt;0),"L","")
)</f>
        <v>L</v>
      </c>
      <c r="D68" s="364">
        <f>IF(C68="M",1,IF(C68="L",2,IF(C68="M, L",3)))</f>
        <v>2</v>
      </c>
      <c r="E68" s="365">
        <f>K30</f>
        <v>1</v>
      </c>
      <c r="F68" s="366">
        <f>L30</f>
        <v>44</v>
      </c>
      <c r="G68" s="364" t="str">
        <f t="shared" si="18"/>
        <v>DROP 4</v>
      </c>
    </row>
    <row r="69" spans="1:7">
      <c r="A69" s="364">
        <f t="shared" ref="A69:A99" si="19">A68+1</f>
        <v>5</v>
      </c>
      <c r="B69" s="364" t="str">
        <f>B31</f>
        <v>PETER</v>
      </c>
      <c r="C69" s="364" t="str">
        <f>_xlfn.TEXTJOIN(", ",TRUE,
IF(OR(C31&gt;0,E31&gt;0,G31&gt;0,I31&gt;0),"M",""),
IF(OR(D31&gt;0,F31&gt;0,H31&gt;0,J31&gt;0),"L","")
)</f>
        <v>M, L</v>
      </c>
      <c r="D69" s="364">
        <f>IF(C69="M",1,IF(C69="L",2,IF(C69="M, L",3)))</f>
        <v>3</v>
      </c>
      <c r="E69" s="365">
        <f>K31</f>
        <v>2</v>
      </c>
      <c r="F69" s="366">
        <f>L31</f>
        <v>78</v>
      </c>
      <c r="G69" s="364" t="str">
        <f t="shared" si="18"/>
        <v>DROP 4</v>
      </c>
    </row>
    <row r="70" spans="1:7">
      <c r="A70" s="364">
        <f t="shared" si="19"/>
        <v>6</v>
      </c>
      <c r="B70" s="364" t="str">
        <f>B32</f>
        <v>DIEGUITO</v>
      </c>
      <c r="C70" s="364" t="str">
        <f>_xlfn.TEXTJOIN(", ",TRUE,
IF(OR(C32&gt;0,E32&gt;0,G32&gt;0,I32&gt;0),"M",""),
IF(OR(D32&gt;0,F32&gt;0,H32&gt;0,J32&gt;0),"L","")
)</f>
        <v>M</v>
      </c>
      <c r="D70" s="364">
        <f>IF(C70="M",1,IF(C70="L",2,IF(C70="M, L",3)))</f>
        <v>1</v>
      </c>
      <c r="E70" s="365">
        <f>K32</f>
        <v>1</v>
      </c>
      <c r="F70" s="366">
        <f>L32</f>
        <v>44</v>
      </c>
      <c r="G70" s="364" t="str">
        <f t="shared" si="18"/>
        <v>DROP 4</v>
      </c>
    </row>
    <row r="71" spans="1:7">
      <c r="A71" s="364">
        <f t="shared" si="19"/>
        <v>7</v>
      </c>
      <c r="B71" s="364" t="str">
        <f>B33</f>
        <v>WEITERS</v>
      </c>
      <c r="C71" s="364" t="str">
        <f>_xlfn.TEXTJOIN(", ",TRUE,
IF(OR(C33&gt;0,E33&gt;0,G33&gt;0,I33&gt;0),"M",""),
IF(OR(D33&gt;0,F33&gt;0,H33&gt;0,J33&gt;0),"L","")
)</f>
        <v>L</v>
      </c>
      <c r="D71" s="364">
        <f>IF(C71="M",1,IF(C71="L",2,IF(C71="M, L",3)))</f>
        <v>2</v>
      </c>
      <c r="E71" s="365">
        <f>K33</f>
        <v>1</v>
      </c>
      <c r="F71" s="366">
        <f>L33</f>
        <v>34</v>
      </c>
      <c r="G71" s="364" t="str">
        <f t="shared" si="18"/>
        <v>DROP 4</v>
      </c>
    </row>
    <row r="72" spans="1:7">
      <c r="A72" s="364">
        <f t="shared" si="19"/>
        <v>8</v>
      </c>
      <c r="B72" s="364" t="str">
        <f>B34</f>
        <v>NICO RUIZ</v>
      </c>
      <c r="C72" s="364" t="str">
        <f>_xlfn.TEXTJOIN(", ",TRUE,
IF(OR(C34&gt;0,E34&gt;0,G34&gt;0,I34&gt;0),"M",""),
IF(OR(D34&gt;0,F34&gt;0,H34&gt;0,J34&gt;0),"L","")
)</f>
        <v>M</v>
      </c>
      <c r="D72" s="364">
        <f>IF(C72="M",1,IF(C72="L",2,IF(C72="M, L",3)))</f>
        <v>1</v>
      </c>
      <c r="E72" s="365">
        <f>K34</f>
        <v>2</v>
      </c>
      <c r="F72" s="366">
        <f>L34</f>
        <v>76</v>
      </c>
      <c r="G72" s="364" t="str">
        <f t="shared" si="18"/>
        <v>DROP 4</v>
      </c>
    </row>
    <row r="73" spans="1:7">
      <c r="A73" s="364">
        <f t="shared" si="19"/>
        <v>9</v>
      </c>
      <c r="B73" s="364" t="str">
        <f>B35</f>
        <v>FELIX</v>
      </c>
      <c r="C73" s="364" t="str">
        <f>_xlfn.TEXTJOIN(", ",TRUE,
IF(OR(C35&gt;0,E35&gt;0,G35&gt;0,I35&gt;0),"M",""),
IF(OR(D35&gt;0,F35&gt;0,H35&gt;0,J35&gt;0),"L","")
)</f>
        <v>L</v>
      </c>
      <c r="D73" s="364">
        <f>IF(C73="M",1,IF(C73="L",2,IF(C73="M, L",3)))</f>
        <v>2</v>
      </c>
      <c r="E73" s="365">
        <f>K35</f>
        <v>1</v>
      </c>
      <c r="F73" s="366">
        <f>L35</f>
        <v>34</v>
      </c>
      <c r="G73" s="364" t="str">
        <f t="shared" si="18"/>
        <v>DROP 4</v>
      </c>
    </row>
    <row r="74" spans="1:7">
      <c r="A74" s="364">
        <f t="shared" si="19"/>
        <v>10</v>
      </c>
      <c r="B74" s="364" t="str">
        <f>B36</f>
        <v>TITO</v>
      </c>
      <c r="C74" s="364" t="str">
        <f>_xlfn.TEXTJOIN(", ",TRUE,
IF(OR(C36&gt;0,E36&gt;0,G36&gt;0,I36&gt;0),"M",""),
IF(OR(D36&gt;0,F36&gt;0,H36&gt;0,J36&gt;0),"L","")
)</f>
        <v>L</v>
      </c>
      <c r="D74" s="364">
        <f>IF(C74="M",1,IF(C74="L",2,IF(C74="M, L",3)))</f>
        <v>2</v>
      </c>
      <c r="E74" s="365">
        <f>K36</f>
        <v>1</v>
      </c>
      <c r="F74" s="366">
        <f>L36</f>
        <v>34</v>
      </c>
      <c r="G74" s="364" t="str">
        <f t="shared" si="18"/>
        <v>DROP 4</v>
      </c>
    </row>
    <row r="75" spans="1:7">
      <c r="A75" s="364">
        <f t="shared" si="19"/>
        <v>11</v>
      </c>
      <c r="B75" s="364" t="str">
        <f>B37</f>
        <v>FORMARIZ</v>
      </c>
      <c r="C75" s="364" t="str">
        <f>_xlfn.TEXTJOIN(", ",TRUE,
IF(OR(C37&gt;0,E37&gt;0,G37&gt;0,I37&gt;0),"M",""),
IF(OR(D37&gt;0,F37&gt;0,H37&gt;0,J37&gt;0),"L","")
)</f>
        <v>M</v>
      </c>
      <c r="D75" s="364">
        <f>IF(C75="M",1,IF(C75="L",2,IF(C75="M, L",3)))</f>
        <v>1</v>
      </c>
      <c r="E75" s="365">
        <f>K37</f>
        <v>1</v>
      </c>
      <c r="F75" s="366">
        <f>L37</f>
        <v>34</v>
      </c>
      <c r="G75" s="364" t="str">
        <f t="shared" si="18"/>
        <v>DROP 4</v>
      </c>
    </row>
    <row r="76" spans="1:7">
      <c r="A76" s="364">
        <f t="shared" si="19"/>
        <v>12</v>
      </c>
      <c r="B76" s="364" t="str">
        <f>B38</f>
        <v>CASADO</v>
      </c>
      <c r="C76" s="364" t="str">
        <f>_xlfn.TEXTJOIN(", ",TRUE,
IF(OR(C38&gt;0,E38&gt;0,G38&gt;0,I38&gt;0),"M",""),
IF(OR(D38&gt;0,F38&gt;0,H38&gt;0,J38&gt;0),"L","")
)</f>
        <v>L</v>
      </c>
      <c r="D76" s="364">
        <f>IF(C76="M",1,IF(C76="L",2,IF(C76="M, L",3)))</f>
        <v>2</v>
      </c>
      <c r="E76" s="365">
        <f>K38</f>
        <v>1</v>
      </c>
      <c r="F76" s="366">
        <f>L38</f>
        <v>34</v>
      </c>
      <c r="G76" s="364" t="str">
        <f t="shared" si="18"/>
        <v>DROP 4</v>
      </c>
    </row>
    <row r="77" spans="1:7">
      <c r="A77" s="364">
        <f t="shared" si="19"/>
        <v>13</v>
      </c>
      <c r="B77" s="364" t="str">
        <f>B39</f>
        <v>RUBINI</v>
      </c>
      <c r="C77" s="364" t="str">
        <f>_xlfn.TEXTJOIN(", ",TRUE,
IF(OR(C39&gt;0,E39&gt;0,G39&gt;0,I39&gt;0),"M",""),
IF(OR(D39&gt;0,F39&gt;0,H39&gt;0,J39&gt;0),"L","")
)</f>
        <v>L</v>
      </c>
      <c r="D77" s="364">
        <f>IF(C77="M",1,IF(C77="L",2,IF(C77="M, L",3)))</f>
        <v>2</v>
      </c>
      <c r="E77" s="365">
        <f>K39</f>
        <v>2</v>
      </c>
      <c r="F77" s="366">
        <f>L39</f>
        <v>78</v>
      </c>
      <c r="G77" s="364" t="str">
        <f t="shared" si="18"/>
        <v>DROP 4</v>
      </c>
    </row>
    <row r="78" spans="1:7">
      <c r="A78" s="364">
        <f t="shared" si="19"/>
        <v>14</v>
      </c>
      <c r="B78" s="364" t="str">
        <f>B40</f>
        <v>PUPI</v>
      </c>
      <c r="C78" s="364" t="str">
        <f>_xlfn.TEXTJOIN(", ",TRUE,
IF(OR(C40&gt;0,E40&gt;0,G40&gt;0,I40&gt;0),"M",""),
IF(OR(D40&gt;0,F40&gt;0,H40&gt;0,J40&gt;0),"L","")
)</f>
        <v>L</v>
      </c>
      <c r="D78" s="364">
        <f>IF(C78="M",1,IF(C78="L",2,IF(C78="M, L",3)))</f>
        <v>2</v>
      </c>
      <c r="E78" s="365">
        <f>K40</f>
        <v>1</v>
      </c>
      <c r="F78" s="366">
        <f>L40</f>
        <v>34</v>
      </c>
      <c r="G78" s="364" t="str">
        <f t="shared" si="18"/>
        <v>DROP 4</v>
      </c>
    </row>
    <row r="79" spans="1:7">
      <c r="A79" s="364">
        <f t="shared" si="19"/>
        <v>15</v>
      </c>
      <c r="B79" s="364" t="str">
        <f>B41</f>
        <v>ANA AMIGA JACO</v>
      </c>
      <c r="C79" s="364" t="str">
        <f>_xlfn.TEXTJOIN(", ",TRUE,
IF(OR(C41&gt;0,E41&gt;0,G41&gt;0,I41&gt;0),"M",""),
IF(OR(D41&gt;0,F41&gt;0,H41&gt;0,J41&gt;0),"L","")
)</f>
        <v>M</v>
      </c>
      <c r="D79" s="364">
        <f>IF(C79="M",1,IF(C79="L",2,IF(C79="M, L",3)))</f>
        <v>1</v>
      </c>
      <c r="E79" s="365">
        <f>K41</f>
        <v>1</v>
      </c>
      <c r="F79" s="366">
        <f>L41</f>
        <v>44</v>
      </c>
      <c r="G79" s="364" t="str">
        <f t="shared" si="18"/>
        <v>DROP 4</v>
      </c>
    </row>
    <row r="80" spans="1:7">
      <c r="A80" s="364">
        <f t="shared" si="19"/>
        <v>16</v>
      </c>
      <c r="B80" s="364" t="str">
        <f>B42</f>
        <v>MONICA AMIGA JACO</v>
      </c>
      <c r="C80" s="364" t="str">
        <f>_xlfn.TEXTJOIN(", ",TRUE,
IF(OR(C42&gt;0,E42&gt;0,G42&gt;0,I42&gt;0),"M",""),
IF(OR(D42&gt;0,F42&gt;0,H42&gt;0,J42&gt;0),"L","")
)</f>
        <v>L</v>
      </c>
      <c r="D80" s="364">
        <f>IF(C80="M",1,IF(C80="L",2,IF(C80="M, L",3)))</f>
        <v>2</v>
      </c>
      <c r="E80" s="365">
        <f>K42</f>
        <v>1</v>
      </c>
      <c r="F80" s="366">
        <f>L42</f>
        <v>34</v>
      </c>
      <c r="G80" s="364" t="str">
        <f t="shared" si="18"/>
        <v>DROP 4</v>
      </c>
    </row>
    <row r="81" spans="1:7">
      <c r="A81" s="364">
        <f t="shared" si="19"/>
        <v>17</v>
      </c>
      <c r="B81" s="364" t="str">
        <f t="shared" ref="B81:B99" si="20">B43</f>
        <v>CAMACHO</v>
      </c>
      <c r="C81" s="364" t="str">
        <f t="shared" ref="C81:C99" si="21">_xlfn.TEXTJOIN(", ",TRUE,
IF(OR(C43&gt;0,E43&gt;0,G43&gt;0,I43&gt;0),"M",""),
IF(OR(D43&gt;0,F43&gt;0,H43&gt;0,J43&gt;0),"L","")
)</f>
        <v>L</v>
      </c>
      <c r="D81" s="364">
        <f>IF(C81="M",1,IF(C81="L",2,IF(C81="M, L",3)))</f>
        <v>2</v>
      </c>
      <c r="E81" s="365">
        <f>K43</f>
        <v>1</v>
      </c>
      <c r="F81" s="366">
        <f>L43</f>
        <v>34</v>
      </c>
      <c r="G81" s="364" t="str">
        <f t="shared" si="18"/>
        <v>DROP 4</v>
      </c>
    </row>
    <row r="82" spans="1:7">
      <c r="A82" s="364">
        <f t="shared" si="19"/>
        <v>18</v>
      </c>
      <c r="B82" s="364" t="str">
        <f t="shared" si="20"/>
        <v>MUÑOZ</v>
      </c>
      <c r="C82" s="364" t="str">
        <f t="shared" si="21"/>
        <v>L</v>
      </c>
      <c r="D82" s="364">
        <f>IF(C82="M",1,IF(C82="L",2,IF(C82="M, L",3)))</f>
        <v>2</v>
      </c>
      <c r="E82" s="365">
        <f>K44</f>
        <v>1</v>
      </c>
      <c r="F82" s="366">
        <f>L44</f>
        <v>34</v>
      </c>
      <c r="G82" s="364" t="str">
        <f t="shared" si="18"/>
        <v>DROP 4</v>
      </c>
    </row>
    <row r="83" spans="1:7">
      <c r="A83" s="364">
        <f t="shared" si="19"/>
        <v>19</v>
      </c>
      <c r="B83" s="364" t="str">
        <f t="shared" si="20"/>
        <v>CHIARRI</v>
      </c>
      <c r="C83" s="364" t="str">
        <f t="shared" si="21"/>
        <v>M</v>
      </c>
      <c r="D83" s="364">
        <f>IF(C83="M",1,IF(C83="L",2,IF(C83="M, L",3)))</f>
        <v>1</v>
      </c>
      <c r="E83" s="365">
        <f>K45</f>
        <v>1</v>
      </c>
      <c r="F83" s="366">
        <f>L45</f>
        <v>44</v>
      </c>
      <c r="G83" s="364" t="str">
        <f t="shared" si="18"/>
        <v>DROP 4</v>
      </c>
    </row>
    <row r="84" spans="1:7">
      <c r="A84" s="364">
        <f t="shared" si="19"/>
        <v>20</v>
      </c>
      <c r="B84" s="364" t="str">
        <f t="shared" si="20"/>
        <v>QUINTANA</v>
      </c>
      <c r="C84" s="364" t="str">
        <f t="shared" si="21"/>
        <v>L</v>
      </c>
      <c r="D84" s="364">
        <f>IF(C84="M",1,IF(C84="L",2,IF(C84="M, L",3)))</f>
        <v>2</v>
      </c>
      <c r="E84" s="365">
        <f>K46</f>
        <v>1</v>
      </c>
      <c r="F84" s="366">
        <f>L46</f>
        <v>34</v>
      </c>
      <c r="G84" s="364" t="str">
        <f t="shared" si="18"/>
        <v>DROP 4</v>
      </c>
    </row>
    <row r="85" spans="1:7">
      <c r="A85" s="364">
        <f t="shared" si="19"/>
        <v>21</v>
      </c>
      <c r="B85" s="364" t="str">
        <f t="shared" si="20"/>
        <v>LUIS CANADA</v>
      </c>
      <c r="C85" s="364" t="str">
        <f t="shared" si="21"/>
        <v>M</v>
      </c>
      <c r="D85" s="364">
        <f>IF(C85="M",1,IF(C85="L",2,IF(C85="M, L",3)))</f>
        <v>1</v>
      </c>
      <c r="E85" s="365">
        <f>K47</f>
        <v>1</v>
      </c>
      <c r="F85" s="366">
        <f>L47</f>
        <v>44</v>
      </c>
      <c r="G85" s="364" t="str">
        <f t="shared" si="18"/>
        <v>DROP 4</v>
      </c>
    </row>
    <row r="86" spans="1:7">
      <c r="A86" s="364">
        <f t="shared" si="19"/>
        <v>22</v>
      </c>
      <c r="B86" s="364" t="str">
        <f t="shared" si="20"/>
        <v>JUANMA</v>
      </c>
      <c r="C86" s="364" t="str">
        <f t="shared" si="21"/>
        <v>L</v>
      </c>
      <c r="D86" s="364">
        <f>IF(C86="M",1,IF(C86="L",2,IF(C86="M, L",3)))</f>
        <v>2</v>
      </c>
      <c r="E86" s="365">
        <f>K48</f>
        <v>1</v>
      </c>
      <c r="F86" s="366">
        <f>L48</f>
        <v>30</v>
      </c>
      <c r="G86" s="364" t="str">
        <f t="shared" si="18"/>
        <v>DROP 4</v>
      </c>
    </row>
    <row r="87" spans="1:7">
      <c r="A87" s="364">
        <f t="shared" si="19"/>
        <v>23</v>
      </c>
      <c r="B87" s="364" t="str">
        <f t="shared" si="20"/>
        <v>MARQUINA</v>
      </c>
      <c r="C87" s="364" t="str">
        <f t="shared" si="21"/>
        <v>L</v>
      </c>
      <c r="D87" s="364">
        <f>IF(C87="M",1,IF(C87="L",2,IF(C87="M, L",3)))</f>
        <v>2</v>
      </c>
      <c r="E87" s="365">
        <f>K49</f>
        <v>1</v>
      </c>
      <c r="F87" s="366">
        <f>L49</f>
        <v>34</v>
      </c>
      <c r="G87" s="364" t="str">
        <f t="shared" si="18"/>
        <v>DROP 4</v>
      </c>
    </row>
    <row r="88" spans="1:7">
      <c r="A88" s="364">
        <f t="shared" si="19"/>
        <v>24</v>
      </c>
      <c r="B88" s="364" t="str">
        <f t="shared" si="20"/>
        <v>NACHO PEREZ</v>
      </c>
      <c r="C88" s="364" t="str">
        <f t="shared" si="21"/>
        <v>M</v>
      </c>
      <c r="D88" s="364">
        <f>IF(C88="M",1,IF(C88="L",2,IF(C88="M, L",3)))</f>
        <v>1</v>
      </c>
      <c r="E88" s="365">
        <f>K50</f>
        <v>1</v>
      </c>
      <c r="F88" s="366">
        <f>L50</f>
        <v>33</v>
      </c>
      <c r="G88" s="364" t="str">
        <f t="shared" si="18"/>
        <v>DROP 4</v>
      </c>
    </row>
    <row r="89" spans="1:7">
      <c r="A89" s="364">
        <f t="shared" si="19"/>
        <v>25</v>
      </c>
      <c r="B89" s="364" t="str">
        <f t="shared" si="20"/>
        <v>CHORVO</v>
      </c>
      <c r="C89" s="364" t="str">
        <f t="shared" si="21"/>
        <v>M</v>
      </c>
      <c r="D89" s="364">
        <f>IF(C89="M",1,IF(C89="L",2,IF(C89="M, L",3)))</f>
        <v>1</v>
      </c>
      <c r="E89" s="365">
        <f>K51</f>
        <v>2</v>
      </c>
      <c r="F89" s="366">
        <f>L51</f>
        <v>77</v>
      </c>
      <c r="G89" s="364" t="str">
        <f t="shared" si="18"/>
        <v>DROP 4</v>
      </c>
    </row>
    <row r="90" spans="1:7">
      <c r="A90" s="364">
        <f t="shared" si="19"/>
        <v>26</v>
      </c>
      <c r="B90" s="364" t="str">
        <f t="shared" si="20"/>
        <v>BARALLOBRE</v>
      </c>
      <c r="C90" s="364" t="str">
        <f t="shared" si="21"/>
        <v>L</v>
      </c>
      <c r="D90" s="364">
        <f>IF(C90="M",1,IF(C90="L",2,IF(C90="M, L",3)))</f>
        <v>2</v>
      </c>
      <c r="E90" s="365">
        <f>K52</f>
        <v>1</v>
      </c>
      <c r="F90" s="366">
        <f>L52</f>
        <v>33</v>
      </c>
      <c r="G90" s="364" t="str">
        <f t="shared" si="18"/>
        <v>DROP 4</v>
      </c>
    </row>
    <row r="91" spans="1:7">
      <c r="A91" s="364">
        <f t="shared" si="19"/>
        <v>27</v>
      </c>
      <c r="B91" s="364" t="str">
        <f t="shared" si="20"/>
        <v>RITXI AMIGO JACO</v>
      </c>
      <c r="C91" s="364" t="str">
        <f t="shared" si="21"/>
        <v>L</v>
      </c>
      <c r="D91" s="364">
        <f>IF(C91="M",1,IF(C91="L",2,IF(C91="M, L",3)))</f>
        <v>2</v>
      </c>
      <c r="E91" s="365">
        <f>K53</f>
        <v>1</v>
      </c>
      <c r="F91" s="366">
        <f>L53</f>
        <v>44</v>
      </c>
      <c r="G91" s="364" t="str">
        <f t="shared" si="18"/>
        <v>DROP 4</v>
      </c>
    </row>
    <row r="92" spans="1:7">
      <c r="A92" s="364">
        <f t="shared" si="19"/>
        <v>28</v>
      </c>
      <c r="B92" s="364" t="str">
        <f t="shared" si="20"/>
        <v>JAIME BUSTAMANTE</v>
      </c>
      <c r="C92" s="364" t="str">
        <f t="shared" si="21"/>
        <v>L</v>
      </c>
      <c r="D92" s="364">
        <f>IF(C92="M",1,IF(C92="L",2,IF(C92="M, L",3)))</f>
        <v>2</v>
      </c>
      <c r="E92" s="365">
        <f>K54</f>
        <v>2</v>
      </c>
      <c r="F92" s="366">
        <f>L54</f>
        <v>78</v>
      </c>
      <c r="G92" s="364" t="str">
        <f t="shared" si="18"/>
        <v>DROP 4</v>
      </c>
    </row>
    <row r="93" spans="1:7">
      <c r="A93" s="364">
        <f t="shared" si="19"/>
        <v>29</v>
      </c>
      <c r="B93" s="364" t="str">
        <f t="shared" si="20"/>
        <v>VINTED</v>
      </c>
      <c r="C93" s="364" t="str">
        <f t="shared" si="21"/>
        <v>L</v>
      </c>
      <c r="D93" s="364">
        <f>IF(C93="M",1,IF(C93="L",2,IF(C93="M, L",3)))</f>
        <v>2</v>
      </c>
      <c r="E93" s="365">
        <f>K55</f>
        <v>1</v>
      </c>
      <c r="F93" s="366">
        <f>L55</f>
        <v>24</v>
      </c>
      <c r="G93" s="364" t="str">
        <f t="shared" si="18"/>
        <v>DROP 4</v>
      </c>
    </row>
    <row r="94" spans="1:7">
      <c r="A94" s="364">
        <f t="shared" si="19"/>
        <v>30</v>
      </c>
      <c r="B94" s="364" t="str">
        <f t="shared" si="20"/>
        <v>BRUNITO</v>
      </c>
      <c r="C94" s="364" t="str">
        <f t="shared" ref="C94:C96" si="22">_xlfn.TEXTJOIN(", ",TRUE,
IF(OR(C56&gt;0,E56&gt;0,G56&gt;0,I56&gt;0),"M",""),
IF(OR(D56&gt;0,F56&gt;0,H56&gt;0,J56&gt;0),"L","")
)</f>
        <v>M</v>
      </c>
      <c r="D94" s="364">
        <f t="shared" ref="D94:D96" si="23">IF(C94="M",1,IF(C94="L",2,IF(C94="M, L",3)))</f>
        <v>1</v>
      </c>
      <c r="E94" s="365">
        <f t="shared" ref="E94:F94" si="24">K56</f>
        <v>2</v>
      </c>
      <c r="F94" s="366">
        <f t="shared" si="24"/>
        <v>0</v>
      </c>
      <c r="G94" s="364" t="str">
        <f t="shared" si="18"/>
        <v>DROP 4</v>
      </c>
    </row>
    <row r="95" spans="1:7">
      <c r="A95" s="364">
        <f t="shared" si="19"/>
        <v>31</v>
      </c>
      <c r="B95" s="364" t="str">
        <f t="shared" si="20"/>
        <v>ANGEL AMIGO JACO</v>
      </c>
      <c r="C95" s="364" t="str">
        <f t="shared" si="22"/>
        <v>L</v>
      </c>
      <c r="D95" s="364">
        <f t="shared" si="23"/>
        <v>2</v>
      </c>
      <c r="E95" s="365">
        <f t="shared" ref="E95:F95" si="25">K57</f>
        <v>1</v>
      </c>
      <c r="F95" s="366">
        <f t="shared" si="25"/>
        <v>0</v>
      </c>
      <c r="G95" s="364" t="str">
        <f t="shared" si="18"/>
        <v>DROP 4</v>
      </c>
    </row>
    <row r="96" spans="1:7">
      <c r="A96" s="364">
        <f t="shared" si="19"/>
        <v>32</v>
      </c>
      <c r="B96" s="364" t="str">
        <f t="shared" si="20"/>
        <v>ALVARO PEREZ</v>
      </c>
      <c r="C96" s="364" t="str">
        <f t="shared" si="22"/>
        <v>L</v>
      </c>
      <c r="D96" s="364">
        <f t="shared" si="23"/>
        <v>2</v>
      </c>
      <c r="E96" s="365">
        <f t="shared" ref="E96:F96" si="26">K58</f>
        <v>2</v>
      </c>
      <c r="F96" s="366">
        <f t="shared" si="26"/>
        <v>0</v>
      </c>
      <c r="G96" s="364" t="str">
        <f t="shared" si="18"/>
        <v>DROP 4</v>
      </c>
    </row>
    <row r="97" spans="1:7">
      <c r="A97" s="364">
        <f t="shared" si="19"/>
        <v>33</v>
      </c>
      <c r="B97" s="364">
        <f t="shared" si="20"/>
        <v>0</v>
      </c>
      <c r="C97" s="364" t="str">
        <f t="shared" si="21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18"/>
        <v>DROP 4</v>
      </c>
    </row>
    <row r="98" spans="1:7">
      <c r="A98" s="364">
        <f t="shared" si="19"/>
        <v>34</v>
      </c>
      <c r="B98" s="364">
        <f t="shared" si="20"/>
        <v>0</v>
      </c>
      <c r="C98" s="364" t="str">
        <f t="shared" si="21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18"/>
        <v>DROP 4</v>
      </c>
    </row>
    <row r="99" spans="1:7">
      <c r="A99" s="364">
        <f t="shared" si="19"/>
        <v>35</v>
      </c>
      <c r="B99" s="364">
        <f t="shared" si="20"/>
        <v>0</v>
      </c>
      <c r="C99" s="364" t="str">
        <f t="shared" si="21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18"/>
        <v>DROP 4</v>
      </c>
    </row>
    <row r="109" spans="1:7" ht="15.95" customHeight="1"/>
    <row r="110" spans="1:7" ht="17.100000000000001" customHeight="1"/>
    <row r="119" ht="15.95" customHeight="1"/>
    <row r="120" ht="17.100000000000001" customHeight="1"/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C583ED-28BA-3D4B-914D-0079BE4D1053}">
          <x14:formula1>
            <xm:f>CLIENTES!$A$2:$A$1048576</xm:f>
          </x14:formula1>
          <xm:sqref>B27:B61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FB7F-F2C0-7C4A-AA1E-62454C712444}">
  <sheetPr>
    <tabColor rgb="FF7030A0"/>
  </sheetPr>
  <dimension ref="A1:AD116"/>
  <sheetViews>
    <sheetView showGridLines="0" topLeftCell="A16" zoomScale="82" zoomScaleNormal="50" workbookViewId="0">
      <selection activeCell="C66" sqref="C66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1" max="21" width="12" customWidth="1"/>
    <col min="22" max="22" width="11" bestFit="1" customWidth="1"/>
    <col min="23" max="23" width="10.875" customWidth="1"/>
    <col min="25" max="25" width="21.875" customWidth="1"/>
    <col min="30" max="30" width="10.875" customWidth="1"/>
  </cols>
  <sheetData>
    <row r="1" spans="2:30" ht="15.75" thickBot="1"/>
    <row r="2" spans="2:30" ht="15.75" thickBot="1">
      <c r="B2" s="402" t="s">
        <v>28</v>
      </c>
      <c r="C2" s="403"/>
      <c r="D2" s="403"/>
      <c r="P2" s="315" t="s">
        <v>120</v>
      </c>
      <c r="Q2" s="202" t="s">
        <v>121</v>
      </c>
      <c r="R2" s="202" t="s">
        <v>16</v>
      </c>
      <c r="S2" s="202" t="s">
        <v>13</v>
      </c>
      <c r="T2" s="202" t="s">
        <v>4</v>
      </c>
      <c r="U2" s="203" t="s">
        <v>113</v>
      </c>
      <c r="Y2" s="315" t="s">
        <v>98</v>
      </c>
      <c r="Z2" s="202" t="s">
        <v>121</v>
      </c>
      <c r="AA2" s="202" t="s">
        <v>16</v>
      </c>
      <c r="AB2" s="337" t="s">
        <v>13</v>
      </c>
      <c r="AC2" s="202" t="s">
        <v>4</v>
      </c>
      <c r="AD2" s="338" t="s">
        <v>113</v>
      </c>
    </row>
    <row r="3" spans="2:30" ht="15.75" thickBot="1">
      <c r="B3" s="404"/>
      <c r="C3" s="405"/>
      <c r="D3" s="405"/>
      <c r="P3" s="302" t="str">
        <f>$P$27</f>
        <v>BRAILE</v>
      </c>
      <c r="Q3" s="309">
        <f>Z3</f>
        <v>33</v>
      </c>
      <c r="R3" s="310">
        <f>AA3-AA12</f>
        <v>5</v>
      </c>
      <c r="S3" s="310">
        <f t="shared" ref="S3:S8" si="0">AB3-AB12</f>
        <v>14</v>
      </c>
      <c r="T3" s="310">
        <f>SUM(R3:S3)</f>
        <v>19</v>
      </c>
      <c r="U3" s="252">
        <f>IFERROR(Q3*T3,"-")</f>
        <v>627</v>
      </c>
      <c r="Y3" s="302" t="str">
        <f>$P$27</f>
        <v>BRAILE</v>
      </c>
      <c r="Z3" s="309">
        <f>Z35</f>
        <v>33</v>
      </c>
      <c r="AA3" s="310">
        <f>R27</f>
        <v>6</v>
      </c>
      <c r="AB3" s="310">
        <f>S27</f>
        <v>15</v>
      </c>
      <c r="AC3" s="310">
        <f>SUM(AA3:AB3)</f>
        <v>21</v>
      </c>
      <c r="AD3" s="252">
        <f>IFERROR(Z3*AC3,"-")</f>
        <v>693</v>
      </c>
    </row>
    <row r="4" spans="2:30" ht="15.75" thickBot="1">
      <c r="B4" s="63"/>
      <c r="C4" s="63"/>
      <c r="D4" s="63"/>
      <c r="P4" s="302" t="str">
        <f>$P$28</f>
        <v>GRAFITTI</v>
      </c>
      <c r="Q4" s="309">
        <f t="shared" ref="Q4:Q6" si="1">Z4</f>
        <v>33</v>
      </c>
      <c r="R4" s="310">
        <f t="shared" ref="R4:R8" si="2">AA4-AA13</f>
        <v>5</v>
      </c>
      <c r="S4" s="310">
        <f t="shared" si="0"/>
        <v>13</v>
      </c>
      <c r="T4" s="310">
        <f t="shared" ref="T4:T8" si="3">SUM(R4:S4)</f>
        <v>18</v>
      </c>
      <c r="U4" s="252">
        <f t="shared" ref="U4:U8" si="4">IFERROR(Q4*T4,"-")</f>
        <v>594</v>
      </c>
      <c r="Y4" s="302" t="str">
        <f>$P$28</f>
        <v>GRAFITTI</v>
      </c>
      <c r="Z4" s="309">
        <f>Z36</f>
        <v>33</v>
      </c>
      <c r="AA4" s="310">
        <f>R28</f>
        <v>6</v>
      </c>
      <c r="AB4" s="310">
        <f>S28</f>
        <v>15</v>
      </c>
      <c r="AC4" s="310">
        <f t="shared" ref="AC4:AC8" si="5">SUM(AA4:AB4)</f>
        <v>21</v>
      </c>
      <c r="AD4" s="252">
        <f t="shared" ref="AD4:AD8" si="6">IFERROR(Z4*AC4,"-")</f>
        <v>693</v>
      </c>
    </row>
    <row r="5" spans="2:30" ht="15.75" thickBot="1">
      <c r="B5" s="63"/>
      <c r="C5" s="300" t="s">
        <v>122</v>
      </c>
      <c r="D5" s="301" t="s">
        <v>123</v>
      </c>
      <c r="P5" s="302">
        <f>$P$29</f>
        <v>0</v>
      </c>
      <c r="Q5" s="309">
        <f t="shared" si="1"/>
        <v>0</v>
      </c>
      <c r="R5" s="310">
        <f t="shared" si="2"/>
        <v>0</v>
      </c>
      <c r="S5" s="310">
        <f t="shared" si="0"/>
        <v>0</v>
      </c>
      <c r="T5" s="310">
        <f t="shared" si="3"/>
        <v>0</v>
      </c>
      <c r="U5" s="252">
        <f t="shared" si="4"/>
        <v>0</v>
      </c>
      <c r="Y5" s="302">
        <f>$P$29</f>
        <v>0</v>
      </c>
      <c r="Z5" s="309">
        <f>Z37</f>
        <v>0</v>
      </c>
      <c r="AA5" s="310">
        <f>R29</f>
        <v>0</v>
      </c>
      <c r="AB5" s="310">
        <f>S29</f>
        <v>0</v>
      </c>
      <c r="AC5" s="310">
        <f t="shared" si="5"/>
        <v>0</v>
      </c>
      <c r="AD5" s="252">
        <f t="shared" si="6"/>
        <v>0</v>
      </c>
    </row>
    <row r="6" spans="2:30">
      <c r="B6" s="270" t="s">
        <v>98</v>
      </c>
      <c r="C6" s="266">
        <f>U9</f>
        <v>1221</v>
      </c>
      <c r="D6" s="267">
        <f>SUM(L27:$L$61)</f>
        <v>363</v>
      </c>
      <c r="P6" s="302">
        <f>$P$30</f>
        <v>0</v>
      </c>
      <c r="Q6" s="309">
        <f t="shared" si="1"/>
        <v>0</v>
      </c>
      <c r="R6" s="310">
        <f t="shared" si="2"/>
        <v>0</v>
      </c>
      <c r="S6" s="310">
        <f t="shared" si="0"/>
        <v>0</v>
      </c>
      <c r="T6" s="310">
        <f t="shared" si="3"/>
        <v>0</v>
      </c>
      <c r="U6" s="252">
        <f t="shared" si="4"/>
        <v>0</v>
      </c>
      <c r="Y6" s="302">
        <f>$P$30</f>
        <v>0</v>
      </c>
      <c r="Z6" s="309">
        <f>Z38</f>
        <v>0</v>
      </c>
      <c r="AA6" s="310">
        <f>R30</f>
        <v>0</v>
      </c>
      <c r="AB6" s="310">
        <f>S30</f>
        <v>0</v>
      </c>
      <c r="AC6" s="310">
        <f t="shared" si="5"/>
        <v>0</v>
      </c>
      <c r="AD6" s="252">
        <f t="shared" si="6"/>
        <v>0</v>
      </c>
    </row>
    <row r="7" spans="2:30">
      <c r="B7" s="271" t="s">
        <v>124</v>
      </c>
      <c r="C7" s="268">
        <v>0</v>
      </c>
      <c r="D7" s="269"/>
      <c r="P7" s="278"/>
      <c r="Q7" s="310"/>
      <c r="R7" s="310">
        <f t="shared" si="2"/>
        <v>0</v>
      </c>
      <c r="S7" s="310">
        <f t="shared" si="0"/>
        <v>0</v>
      </c>
      <c r="T7" s="310">
        <f t="shared" si="3"/>
        <v>0</v>
      </c>
      <c r="U7" s="323">
        <f>IFERROR(Q7*T7,"-")</f>
        <v>0</v>
      </c>
      <c r="Y7" s="278"/>
      <c r="Z7" s="310"/>
      <c r="AA7" s="310">
        <f>R31</f>
        <v>0</v>
      </c>
      <c r="AB7" s="310">
        <f>S31</f>
        <v>0</v>
      </c>
      <c r="AC7" s="310">
        <f t="shared" si="5"/>
        <v>0</v>
      </c>
      <c r="AD7" s="323">
        <f t="shared" si="6"/>
        <v>0</v>
      </c>
    </row>
    <row r="8" spans="2:30" ht="15.75" thickBot="1">
      <c r="B8" s="273" t="s">
        <v>125</v>
      </c>
      <c r="C8" s="257">
        <f>SUM(C6:C7)</f>
        <v>1221</v>
      </c>
      <c r="D8" s="258">
        <f>SUM(D6:D7)</f>
        <v>363</v>
      </c>
      <c r="P8" s="279"/>
      <c r="Q8" s="312"/>
      <c r="R8" s="312">
        <f t="shared" si="2"/>
        <v>0</v>
      </c>
      <c r="S8" s="312">
        <f t="shared" si="0"/>
        <v>0</v>
      </c>
      <c r="T8" s="312">
        <f t="shared" si="3"/>
        <v>0</v>
      </c>
      <c r="U8" s="324">
        <f t="shared" si="4"/>
        <v>0</v>
      </c>
      <c r="Y8" s="279"/>
      <c r="Z8" s="312"/>
      <c r="AA8" s="312">
        <f>R32</f>
        <v>0</v>
      </c>
      <c r="AB8" s="312">
        <f>S32</f>
        <v>0</v>
      </c>
      <c r="AC8" s="312">
        <f t="shared" si="5"/>
        <v>0</v>
      </c>
      <c r="AD8" s="324">
        <f t="shared" si="6"/>
        <v>0</v>
      </c>
    </row>
    <row r="9" spans="2:30" ht="15.75" thickBot="1">
      <c r="B9" s="272" t="s">
        <v>126</v>
      </c>
      <c r="C9" s="259">
        <f>-$W$52</f>
        <v>-713.57999999999993</v>
      </c>
      <c r="D9" s="260">
        <f>C9</f>
        <v>-713.57999999999993</v>
      </c>
      <c r="P9" s="305" t="s">
        <v>127</v>
      </c>
      <c r="Q9" s="306"/>
      <c r="R9" s="306"/>
      <c r="S9" s="321"/>
      <c r="T9" s="333">
        <f>SUM(T3:T8)</f>
        <v>37</v>
      </c>
      <c r="U9" s="307">
        <f>SUM(U3:U8)</f>
        <v>1221</v>
      </c>
      <c r="Y9" s="305" t="s">
        <v>142</v>
      </c>
      <c r="Z9" s="306"/>
      <c r="AA9" s="306"/>
      <c r="AB9" s="321"/>
      <c r="AC9" s="333">
        <f>SUM(AC3:AC8)</f>
        <v>42</v>
      </c>
      <c r="AD9" s="307">
        <f>SUM(AD3:AD8)</f>
        <v>1386</v>
      </c>
    </row>
    <row r="10" spans="2:30" ht="15.75" thickBot="1">
      <c r="B10" s="272" t="s">
        <v>128</v>
      </c>
      <c r="C10" s="259">
        <f>-$U$61</f>
        <v>-228.69</v>
      </c>
      <c r="D10" s="260">
        <f>C10</f>
        <v>-228.69</v>
      </c>
    </row>
    <row r="11" spans="2:30" ht="15.75" thickBot="1">
      <c r="B11" s="272" t="s">
        <v>130</v>
      </c>
      <c r="C11" s="259">
        <v>0</v>
      </c>
      <c r="D11" s="260"/>
      <c r="Y11" s="315" t="s">
        <v>143</v>
      </c>
      <c r="Z11" s="202" t="s">
        <v>144</v>
      </c>
      <c r="AA11" s="202" t="s">
        <v>16</v>
      </c>
      <c r="AB11" s="202" t="s">
        <v>13</v>
      </c>
      <c r="AC11" s="202" t="s">
        <v>4</v>
      </c>
      <c r="AD11" s="203" t="s">
        <v>113</v>
      </c>
    </row>
    <row r="12" spans="2:30">
      <c r="B12" s="272"/>
      <c r="C12" s="259"/>
      <c r="D12" s="260"/>
      <c r="Y12" s="302" t="str">
        <f>$P$27</f>
        <v>BRAILE</v>
      </c>
      <c r="Z12" s="309">
        <f>AA35</f>
        <v>-24.25</v>
      </c>
      <c r="AA12" s="359">
        <v>1</v>
      </c>
      <c r="AB12" s="359">
        <v>1</v>
      </c>
      <c r="AC12" s="310">
        <f>SUM(AA12:AB12)</f>
        <v>2</v>
      </c>
      <c r="AD12" s="252">
        <f>IFERROR(Z12*AC12,"-")</f>
        <v>-48.5</v>
      </c>
    </row>
    <row r="13" spans="2:30">
      <c r="B13" s="271"/>
      <c r="C13" s="255"/>
      <c r="D13" s="256"/>
      <c r="Y13" s="302" t="str">
        <f>$P$28</f>
        <v>GRAFITTI</v>
      </c>
      <c r="Z13" s="309">
        <f>AA36</f>
        <v>-20.619999999999997</v>
      </c>
      <c r="AA13" s="359">
        <v>1</v>
      </c>
      <c r="AB13" s="359">
        <v>2</v>
      </c>
      <c r="AC13" s="310">
        <f t="shared" ref="AC13:AC17" si="7">SUM(AA13:AB13)</f>
        <v>3</v>
      </c>
      <c r="AD13" s="252">
        <f t="shared" ref="AD13:AD17" si="8">IFERROR(Z13*AC13,"-")</f>
        <v>-61.859999999999992</v>
      </c>
    </row>
    <row r="14" spans="2:30">
      <c r="B14" s="273" t="s">
        <v>133</v>
      </c>
      <c r="C14" s="257">
        <f>SUM(C9:C13)</f>
        <v>-942.27</v>
      </c>
      <c r="D14" s="258">
        <f>SUM(D9:D13)</f>
        <v>-942.27</v>
      </c>
      <c r="Y14" s="302">
        <f>$P$29</f>
        <v>0</v>
      </c>
      <c r="Z14" s="309">
        <f>AA37</f>
        <v>0</v>
      </c>
      <c r="AA14" s="359"/>
      <c r="AB14" s="359"/>
      <c r="AC14" s="310">
        <f t="shared" si="7"/>
        <v>0</v>
      </c>
      <c r="AD14" s="252">
        <f t="shared" si="8"/>
        <v>0</v>
      </c>
    </row>
    <row r="15" spans="2:30" ht="15.75" thickBot="1">
      <c r="B15" s="274"/>
      <c r="C15" s="261"/>
      <c r="D15" s="262"/>
      <c r="Y15" s="302">
        <f>$P$30</f>
        <v>0</v>
      </c>
      <c r="Z15" s="309">
        <f>AA38</f>
        <v>0</v>
      </c>
      <c r="AA15" s="359"/>
      <c r="AB15" s="359"/>
      <c r="AC15" s="310">
        <f t="shared" si="7"/>
        <v>0</v>
      </c>
      <c r="AD15" s="252">
        <f t="shared" si="8"/>
        <v>0</v>
      </c>
    </row>
    <row r="16" spans="2:30" ht="15.75" thickBot="1">
      <c r="C16" s="200"/>
      <c r="D16" s="200"/>
      <c r="Y16" s="278"/>
      <c r="Z16" s="310"/>
      <c r="AA16" s="359"/>
      <c r="AB16" s="359"/>
      <c r="AC16" s="310">
        <f t="shared" si="7"/>
        <v>0</v>
      </c>
      <c r="AD16" s="323">
        <f t="shared" si="8"/>
        <v>0</v>
      </c>
    </row>
    <row r="17" spans="1:30" ht="15.75" thickBot="1">
      <c r="B17" s="275" t="s">
        <v>110</v>
      </c>
      <c r="C17" s="263">
        <f>C8+C14</f>
        <v>278.73</v>
      </c>
      <c r="D17" s="264">
        <f>D8+D14</f>
        <v>-579.27</v>
      </c>
      <c r="Y17" s="279"/>
      <c r="Z17" s="312"/>
      <c r="AA17" s="360"/>
      <c r="AB17" s="360"/>
      <c r="AC17" s="312">
        <f t="shared" si="7"/>
        <v>0</v>
      </c>
      <c r="AD17" s="324">
        <f t="shared" si="8"/>
        <v>0</v>
      </c>
    </row>
    <row r="18" spans="1:30" ht="15.75" thickBot="1">
      <c r="Y18" s="305" t="s">
        <v>145</v>
      </c>
      <c r="Z18" s="306"/>
      <c r="AA18" s="306"/>
      <c r="AB18" s="321"/>
      <c r="AC18" s="333">
        <f>SUM(AC12:AC17)</f>
        <v>5</v>
      </c>
      <c r="AD18" s="307">
        <f>SUM(AD12:AD17)</f>
        <v>-110.35999999999999</v>
      </c>
    </row>
    <row r="19" spans="1:30">
      <c r="B19" t="s">
        <v>135</v>
      </c>
      <c r="C19" s="198">
        <f>IFERROR(ABS($C$9/$C$8),"-")</f>
        <v>0.58442260442260441</v>
      </c>
      <c r="D19" s="198">
        <f>IFERROR(ABS($D$10/$D$8),"-")</f>
        <v>0.63</v>
      </c>
    </row>
    <row r="20" spans="1:30">
      <c r="B20" t="s">
        <v>114</v>
      </c>
      <c r="C20" s="198">
        <f>IFERROR(ABS($C$14/$C$8),"-")</f>
        <v>0.77171990171990168</v>
      </c>
      <c r="D20" s="198">
        <f>IFERROR(ABS($D$14/$D$8),"-")</f>
        <v>2.5957851239669423</v>
      </c>
    </row>
    <row r="21" spans="1:30" ht="15.75" thickBot="1"/>
    <row r="22" spans="1:30">
      <c r="C22" s="848" t="str">
        <f>$P$27</f>
        <v>BRAILE</v>
      </c>
      <c r="D22" s="844"/>
      <c r="E22" s="766" t="str">
        <f>$P$28</f>
        <v>GRAFITTI</v>
      </c>
      <c r="F22" s="767"/>
      <c r="G22" s="838">
        <f>$P$29</f>
        <v>0</v>
      </c>
      <c r="H22" s="839"/>
      <c r="I22" s="838">
        <f>$P$30</f>
        <v>0</v>
      </c>
      <c r="J22" s="408"/>
    </row>
    <row r="23" spans="1:30" ht="17.100000000000001" customHeight="1" thickBot="1">
      <c r="C23" s="295" t="s">
        <v>16</v>
      </c>
      <c r="D23" s="298" t="s">
        <v>13</v>
      </c>
      <c r="E23" s="297" t="s">
        <v>16</v>
      </c>
      <c r="F23" s="298" t="s">
        <v>13</v>
      </c>
      <c r="G23" s="297" t="s">
        <v>16</v>
      </c>
      <c r="H23" s="298" t="s">
        <v>13</v>
      </c>
      <c r="I23" s="297" t="s">
        <v>16</v>
      </c>
      <c r="J23" s="296" t="s">
        <v>13</v>
      </c>
      <c r="K23" s="46" t="s">
        <v>113</v>
      </c>
    </row>
    <row r="24" spans="1:30" ht="15.95" customHeight="1">
      <c r="B24" s="277" t="s">
        <v>136</v>
      </c>
      <c r="C24" s="278">
        <f>SUM(C27:C61)</f>
        <v>3</v>
      </c>
      <c r="D24" s="249">
        <f t="shared" ref="D24:J24" si="9">SUM(D27:D61)</f>
        <v>6</v>
      </c>
      <c r="E24" s="286">
        <f t="shared" si="9"/>
        <v>5</v>
      </c>
      <c r="F24" s="249">
        <f t="shared" si="9"/>
        <v>13</v>
      </c>
      <c r="G24" s="284">
        <f t="shared" si="9"/>
        <v>0</v>
      </c>
      <c r="H24" s="248">
        <f t="shared" si="9"/>
        <v>0</v>
      </c>
      <c r="I24" s="284">
        <f t="shared" si="9"/>
        <v>0</v>
      </c>
      <c r="J24" s="246">
        <f t="shared" si="9"/>
        <v>0</v>
      </c>
      <c r="K24" s="322">
        <f>SUM(C24:J24)</f>
        <v>27</v>
      </c>
      <c r="L24" s="276">
        <f>K24-SUM(K27:K61)</f>
        <v>0</v>
      </c>
    </row>
    <row r="25" spans="1:30" ht="15.75" thickBot="1">
      <c r="B25" s="279" t="s">
        <v>137</v>
      </c>
      <c r="C25" s="373">
        <f>R3-C24</f>
        <v>2</v>
      </c>
      <c r="D25" s="291">
        <f t="shared" ref="D25" si="10">S3-D24</f>
        <v>8</v>
      </c>
      <c r="E25" s="290">
        <f>R4-E24</f>
        <v>0</v>
      </c>
      <c r="F25" s="374">
        <f>S4-F24</f>
        <v>0</v>
      </c>
      <c r="G25" s="290">
        <f>R5-G24</f>
        <v>0</v>
      </c>
      <c r="H25" s="291">
        <f>S5-H24</f>
        <v>0</v>
      </c>
      <c r="I25" s="290">
        <f>R6-I24</f>
        <v>0</v>
      </c>
      <c r="J25" s="292">
        <f>S6-J24</f>
        <v>0</v>
      </c>
      <c r="K25" s="369">
        <f>SUM(C25:J25)</f>
        <v>10</v>
      </c>
      <c r="L25" s="276"/>
    </row>
    <row r="26" spans="1:30" ht="15.75" thickBot="1">
      <c r="B26" s="285" t="s">
        <v>138</v>
      </c>
      <c r="C26" s="283"/>
      <c r="D26" s="283"/>
      <c r="E26" s="283"/>
      <c r="F26" s="283"/>
      <c r="G26" s="283"/>
      <c r="H26" s="283"/>
      <c r="I26" s="283"/>
      <c r="J26" s="283"/>
      <c r="K26" s="280" t="s">
        <v>4</v>
      </c>
      <c r="L26" s="281" t="s">
        <v>5</v>
      </c>
      <c r="M26" s="282" t="s">
        <v>139</v>
      </c>
      <c r="P26" s="331" t="s">
        <v>116</v>
      </c>
      <c r="Q26" s="213" t="s">
        <v>117</v>
      </c>
      <c r="R26" s="213" t="s">
        <v>16</v>
      </c>
      <c r="S26" s="213" t="s">
        <v>13</v>
      </c>
      <c r="T26" s="213" t="s">
        <v>4</v>
      </c>
      <c r="U26" s="213" t="s">
        <v>119</v>
      </c>
      <c r="V26" s="213" t="s">
        <v>103</v>
      </c>
      <c r="W26" s="214" t="s">
        <v>113</v>
      </c>
      <c r="Y26" s="315" t="s">
        <v>146</v>
      </c>
      <c r="Z26" s="202" t="s">
        <v>147</v>
      </c>
      <c r="AA26" s="202" t="s">
        <v>141</v>
      </c>
      <c r="AB26" s="202" t="s">
        <v>119</v>
      </c>
      <c r="AC26" s="203" t="s">
        <v>113</v>
      </c>
    </row>
    <row r="27" spans="1:30" ht="15.95" customHeight="1">
      <c r="A27">
        <v>1</v>
      </c>
      <c r="B27" s="339" t="s">
        <v>46</v>
      </c>
      <c r="C27" s="340"/>
      <c r="D27" s="341"/>
      <c r="E27" s="340"/>
      <c r="F27" s="341">
        <v>1</v>
      </c>
      <c r="G27" s="340"/>
      <c r="H27" s="341"/>
      <c r="I27" s="340"/>
      <c r="J27" s="342"/>
      <c r="K27" s="382">
        <f>SUM(C27:J27)</f>
        <v>1</v>
      </c>
      <c r="L27" s="265">
        <f>IFERROR(((C27+D27)*$Q$3)+((E27+F27)*$Q$4)+((G27+H27)*$Q$5)+((I27+J27)*$Q$6),"-")</f>
        <v>33</v>
      </c>
      <c r="M27" s="351"/>
      <c r="P27" s="354" t="s">
        <v>378</v>
      </c>
      <c r="Q27" s="355">
        <v>16.989999999999998</v>
      </c>
      <c r="R27" s="356">
        <v>6</v>
      </c>
      <c r="S27" s="356">
        <v>15</v>
      </c>
      <c r="T27" s="311">
        <f>R27+S27</f>
        <v>21</v>
      </c>
      <c r="U27" s="332">
        <f>IFERROR($W$36/$T$33,"-")</f>
        <v>0</v>
      </c>
      <c r="V27" s="375">
        <f>IFERROR(Q27+U27,"-")</f>
        <v>16.989999999999998</v>
      </c>
      <c r="W27" s="251">
        <f>IFERROR(T27*V27,"-")</f>
        <v>356.78999999999996</v>
      </c>
      <c r="Y27" s="302" t="str">
        <f>$P$27</f>
        <v>BRAILE</v>
      </c>
      <c r="Z27" s="316">
        <f>V27</f>
        <v>16.989999999999998</v>
      </c>
      <c r="AA27" s="309">
        <f>T55</f>
        <v>7.26</v>
      </c>
      <c r="AB27" s="309"/>
      <c r="AC27" s="252">
        <f>SUM(Z27:AB27)</f>
        <v>24.25</v>
      </c>
    </row>
    <row r="28" spans="1:30" ht="17.100000000000001" customHeight="1">
      <c r="A28">
        <v>2</v>
      </c>
      <c r="B28" s="377" t="s">
        <v>34</v>
      </c>
      <c r="C28" s="378"/>
      <c r="D28" s="379"/>
      <c r="E28" s="378"/>
      <c r="F28" s="379">
        <v>1</v>
      </c>
      <c r="G28" s="378"/>
      <c r="H28" s="379"/>
      <c r="I28" s="378"/>
      <c r="J28" s="380"/>
      <c r="K28" s="383">
        <f t="shared" ref="K28:K61" si="11">SUM(C28:J28)</f>
        <v>1</v>
      </c>
      <c r="L28" s="384">
        <f t="shared" ref="L28:L61" si="12">IFERROR(((C28+D28)*$Q$3)+((E28+F28)*$Q$4)+((G28+H28)*$Q$5)+((I28+J28)*$Q$6),"-")</f>
        <v>33</v>
      </c>
      <c r="M28" s="381"/>
      <c r="P28" s="357" t="s">
        <v>379</v>
      </c>
      <c r="Q28" s="358">
        <v>16.989999999999998</v>
      </c>
      <c r="R28" s="359">
        <v>6</v>
      </c>
      <c r="S28" s="359">
        <v>15</v>
      </c>
      <c r="T28" s="310">
        <f t="shared" ref="T28:T32" si="13">R28+S28</f>
        <v>21</v>
      </c>
      <c r="U28" s="309">
        <f>IFERROR($W$36/$T$33,"-")</f>
        <v>0</v>
      </c>
      <c r="V28" s="309">
        <f>IFERROR(Q28+U28,"-")</f>
        <v>16.989999999999998</v>
      </c>
      <c r="W28" s="252">
        <f t="shared" ref="W28:W32" si="14">IFERROR(T28*V28,"-")</f>
        <v>356.78999999999996</v>
      </c>
      <c r="Y28" s="302" t="str">
        <f>$P$28</f>
        <v>GRAFITTI</v>
      </c>
      <c r="Z28" s="316">
        <f>V28</f>
        <v>16.989999999999998</v>
      </c>
      <c r="AA28" s="309">
        <f>T56</f>
        <v>3.63</v>
      </c>
      <c r="AB28" s="309"/>
      <c r="AC28" s="252">
        <f t="shared" ref="AC28:AC32" si="15">SUM(Z28:AB28)</f>
        <v>20.619999999999997</v>
      </c>
    </row>
    <row r="29" spans="1:30" ht="15.95" customHeight="1">
      <c r="A29">
        <v>3</v>
      </c>
      <c r="B29" s="343" t="s">
        <v>96</v>
      </c>
      <c r="C29" s="344"/>
      <c r="D29" s="345"/>
      <c r="E29" s="344"/>
      <c r="F29" s="345">
        <v>1</v>
      </c>
      <c r="G29" s="344"/>
      <c r="H29" s="345"/>
      <c r="I29" s="344"/>
      <c r="J29" s="346"/>
      <c r="K29" s="383">
        <f t="shared" si="11"/>
        <v>1</v>
      </c>
      <c r="L29" s="384">
        <f t="shared" si="12"/>
        <v>33</v>
      </c>
      <c r="M29" s="352"/>
      <c r="P29" s="357"/>
      <c r="Q29" s="358"/>
      <c r="R29" s="359"/>
      <c r="S29" s="359"/>
      <c r="T29" s="310">
        <f t="shared" si="13"/>
        <v>0</v>
      </c>
      <c r="U29" s="309">
        <f>IFERROR($W$36/$T$33,"-")</f>
        <v>0</v>
      </c>
      <c r="V29" s="309">
        <f>IFERROR(Q29+U29,"-")</f>
        <v>0</v>
      </c>
      <c r="W29" s="252">
        <f t="shared" si="14"/>
        <v>0</v>
      </c>
      <c r="Y29" s="302">
        <f>$P$29</f>
        <v>0</v>
      </c>
      <c r="Z29" s="316">
        <f>V29</f>
        <v>0</v>
      </c>
      <c r="AA29" s="309" t="str">
        <f>T57</f>
        <v>-</v>
      </c>
      <c r="AB29" s="309"/>
      <c r="AC29" s="252">
        <f t="shared" si="15"/>
        <v>0</v>
      </c>
    </row>
    <row r="30" spans="1:30" ht="17.100000000000001" customHeight="1">
      <c r="A30">
        <f>A29+1</f>
        <v>4</v>
      </c>
      <c r="B30" s="377" t="s">
        <v>63</v>
      </c>
      <c r="C30" s="378">
        <v>1</v>
      </c>
      <c r="D30" s="379"/>
      <c r="E30" s="378"/>
      <c r="F30" s="379"/>
      <c r="G30" s="378"/>
      <c r="H30" s="379"/>
      <c r="I30" s="378"/>
      <c r="J30" s="380"/>
      <c r="K30" s="383">
        <f t="shared" si="11"/>
        <v>1</v>
      </c>
      <c r="L30" s="384">
        <f t="shared" si="12"/>
        <v>33</v>
      </c>
      <c r="M30" s="381"/>
      <c r="P30" s="357"/>
      <c r="Q30" s="358"/>
      <c r="R30" s="359"/>
      <c r="S30" s="359"/>
      <c r="T30" s="310">
        <f t="shared" si="13"/>
        <v>0</v>
      </c>
      <c r="U30" s="309">
        <f>IFERROR($W$36/$T$33,"-")</f>
        <v>0</v>
      </c>
      <c r="V30" s="309">
        <f>IFERROR(Q30+U30,"-")</f>
        <v>0</v>
      </c>
      <c r="W30" s="252">
        <f t="shared" si="14"/>
        <v>0</v>
      </c>
      <c r="Y30" s="302">
        <f>$P$30</f>
        <v>0</v>
      </c>
      <c r="Z30" s="316">
        <f>V30</f>
        <v>0</v>
      </c>
      <c r="AA30" s="320" t="str">
        <f>T58</f>
        <v>-</v>
      </c>
      <c r="AB30" s="320"/>
      <c r="AC30" s="252">
        <f>SUM(Z30:AB30)</f>
        <v>0</v>
      </c>
    </row>
    <row r="31" spans="1:30" ht="15.95" customHeight="1">
      <c r="A31">
        <f t="shared" ref="A31:A61" si="16">A30+1</f>
        <v>5</v>
      </c>
      <c r="B31" s="343" t="s">
        <v>48</v>
      </c>
      <c r="C31" s="344"/>
      <c r="D31" s="345">
        <v>1</v>
      </c>
      <c r="E31" s="344"/>
      <c r="F31" s="345">
        <v>1</v>
      </c>
      <c r="G31" s="344"/>
      <c r="H31" s="345"/>
      <c r="I31" s="344"/>
      <c r="J31" s="346"/>
      <c r="K31" s="383">
        <f t="shared" si="11"/>
        <v>2</v>
      </c>
      <c r="L31" s="384">
        <f t="shared" si="12"/>
        <v>66</v>
      </c>
      <c r="M31" s="352"/>
      <c r="P31" s="343"/>
      <c r="Q31" s="359"/>
      <c r="R31" s="359"/>
      <c r="S31" s="359"/>
      <c r="T31" s="310">
        <f t="shared" si="13"/>
        <v>0</v>
      </c>
      <c r="U31" s="309"/>
      <c r="V31" s="309">
        <f>IFERROR(Q31+U31,"-")</f>
        <v>0</v>
      </c>
      <c r="W31" s="252">
        <f t="shared" si="14"/>
        <v>0</v>
      </c>
      <c r="Y31" s="278"/>
      <c r="Z31" s="310"/>
      <c r="AA31" s="317"/>
      <c r="AB31" s="317"/>
      <c r="AC31" s="323">
        <f t="shared" si="15"/>
        <v>0</v>
      </c>
    </row>
    <row r="32" spans="1:30" ht="17.100000000000001" customHeight="1" thickBot="1">
      <c r="A32">
        <f t="shared" si="16"/>
        <v>6</v>
      </c>
      <c r="B32" s="377" t="s">
        <v>35</v>
      </c>
      <c r="C32" s="378">
        <v>1</v>
      </c>
      <c r="D32" s="379"/>
      <c r="E32" s="378">
        <v>1</v>
      </c>
      <c r="F32" s="379"/>
      <c r="G32" s="378"/>
      <c r="H32" s="379"/>
      <c r="I32" s="378"/>
      <c r="J32" s="380"/>
      <c r="K32" s="383">
        <f t="shared" si="11"/>
        <v>2</v>
      </c>
      <c r="L32" s="384">
        <f t="shared" si="12"/>
        <v>66</v>
      </c>
      <c r="M32" s="381"/>
      <c r="P32" s="347"/>
      <c r="Q32" s="360"/>
      <c r="R32" s="360"/>
      <c r="S32" s="360"/>
      <c r="T32" s="312">
        <f t="shared" si="13"/>
        <v>0</v>
      </c>
      <c r="U32" s="328"/>
      <c r="V32" s="328">
        <f>IFERROR(Q32+U32,"-")</f>
        <v>0</v>
      </c>
      <c r="W32" s="253">
        <f t="shared" si="14"/>
        <v>0</v>
      </c>
      <c r="Y32" s="279"/>
      <c r="Z32" s="312"/>
      <c r="AA32" s="319"/>
      <c r="AB32" s="319"/>
      <c r="AC32" s="324">
        <f t="shared" si="15"/>
        <v>0</v>
      </c>
    </row>
    <row r="33" spans="1:29" ht="17.100000000000001" customHeight="1" thickBot="1">
      <c r="A33">
        <f t="shared" si="16"/>
        <v>7</v>
      </c>
      <c r="B33" s="343" t="s">
        <v>40</v>
      </c>
      <c r="C33" s="344"/>
      <c r="D33" s="345"/>
      <c r="E33" s="344">
        <v>1</v>
      </c>
      <c r="F33" s="345"/>
      <c r="G33" s="344"/>
      <c r="H33" s="345"/>
      <c r="I33" s="344"/>
      <c r="J33" s="346"/>
      <c r="K33" s="383">
        <f t="shared" si="11"/>
        <v>1</v>
      </c>
      <c r="L33" s="384">
        <f t="shared" si="12"/>
        <v>33</v>
      </c>
      <c r="M33" s="352"/>
      <c r="P33" s="313" t="s">
        <v>113</v>
      </c>
      <c r="Q33" s="308"/>
      <c r="R33" s="308"/>
      <c r="S33" s="308"/>
      <c r="T33" s="308">
        <f>SUM(T27:T32)</f>
        <v>42</v>
      </c>
      <c r="U33" s="329"/>
      <c r="V33" s="308"/>
      <c r="W33" s="314">
        <f>SUM(W27:W32)</f>
        <v>713.57999999999993</v>
      </c>
    </row>
    <row r="34" spans="1:29" ht="17.100000000000001" customHeight="1" thickBot="1">
      <c r="A34">
        <f t="shared" si="16"/>
        <v>8</v>
      </c>
      <c r="B34" s="377" t="s">
        <v>37</v>
      </c>
      <c r="C34" s="378"/>
      <c r="D34" s="379">
        <v>1</v>
      </c>
      <c r="E34" s="378"/>
      <c r="F34" s="379">
        <v>1</v>
      </c>
      <c r="G34" s="378"/>
      <c r="H34" s="379"/>
      <c r="I34" s="378"/>
      <c r="J34" s="380"/>
      <c r="K34" s="383">
        <f t="shared" si="11"/>
        <v>2</v>
      </c>
      <c r="L34" s="384">
        <f t="shared" si="12"/>
        <v>66</v>
      </c>
      <c r="M34" s="381"/>
      <c r="P34" s="357" t="s">
        <v>129</v>
      </c>
      <c r="Q34" s="361"/>
      <c r="R34" s="361"/>
      <c r="S34" s="361"/>
      <c r="T34" s="361"/>
      <c r="U34" s="361"/>
      <c r="V34" s="361"/>
      <c r="W34" s="362"/>
      <c r="Y34" s="315" t="s">
        <v>148</v>
      </c>
      <c r="Z34" s="202" t="s">
        <v>121</v>
      </c>
      <c r="AA34" s="202" t="s">
        <v>144</v>
      </c>
      <c r="AB34" s="202" t="s">
        <v>110</v>
      </c>
      <c r="AC34" s="203" t="s">
        <v>149</v>
      </c>
    </row>
    <row r="35" spans="1:29" ht="15.95" customHeight="1">
      <c r="A35">
        <f t="shared" si="16"/>
        <v>9</v>
      </c>
      <c r="B35" s="343" t="s">
        <v>39</v>
      </c>
      <c r="C35" s="344"/>
      <c r="D35" s="345"/>
      <c r="E35" s="344"/>
      <c r="F35" s="345">
        <v>1</v>
      </c>
      <c r="G35" s="344"/>
      <c r="H35" s="345"/>
      <c r="I35" s="344"/>
      <c r="J35" s="346"/>
      <c r="K35" s="383">
        <f t="shared" si="11"/>
        <v>1</v>
      </c>
      <c r="L35" s="384"/>
      <c r="M35" s="352"/>
      <c r="P35" s="357" t="s">
        <v>130</v>
      </c>
      <c r="Q35" s="361"/>
      <c r="R35" s="361"/>
      <c r="S35" s="361"/>
      <c r="T35" s="361"/>
      <c r="U35" s="361"/>
      <c r="V35" s="361"/>
      <c r="W35" s="362"/>
      <c r="Y35" s="302" t="str">
        <f>$P$27</f>
        <v>BRAILE</v>
      </c>
      <c r="Z35" s="363">
        <v>33</v>
      </c>
      <c r="AA35" s="309">
        <f>-AC27</f>
        <v>-24.25</v>
      </c>
      <c r="AB35" s="309">
        <f>SUM(Z35:AA35)</f>
        <v>8.75</v>
      </c>
      <c r="AC35" s="330">
        <f>AB35/Z35</f>
        <v>0.26515151515151514</v>
      </c>
    </row>
    <row r="36" spans="1:29" ht="17.100000000000001" customHeight="1" thickBot="1">
      <c r="A36">
        <f t="shared" si="16"/>
        <v>10</v>
      </c>
      <c r="B36" s="377" t="s">
        <v>45</v>
      </c>
      <c r="C36" s="378"/>
      <c r="D36" s="379"/>
      <c r="E36" s="378"/>
      <c r="F36" s="379">
        <v>1</v>
      </c>
      <c r="G36" s="378"/>
      <c r="H36" s="379"/>
      <c r="I36" s="378"/>
      <c r="J36" s="380"/>
      <c r="K36" s="383">
        <f t="shared" si="11"/>
        <v>1</v>
      </c>
      <c r="L36" s="384"/>
      <c r="M36" s="381"/>
      <c r="P36" s="274" t="s">
        <v>131</v>
      </c>
      <c r="Q36" s="325"/>
      <c r="R36" s="325"/>
      <c r="S36" s="325"/>
      <c r="T36" s="325"/>
      <c r="U36" s="325"/>
      <c r="V36" s="325"/>
      <c r="W36" s="326">
        <f>SUM(W34:W35)</f>
        <v>0</v>
      </c>
      <c r="Y36" s="302" t="str">
        <f>$P$28</f>
        <v>GRAFITTI</v>
      </c>
      <c r="Z36" s="363">
        <v>33</v>
      </c>
      <c r="AA36" s="309">
        <f>-AC28</f>
        <v>-20.619999999999997</v>
      </c>
      <c r="AB36" s="309">
        <f t="shared" ref="AB36:AB38" si="17">SUM(Z36:AA36)</f>
        <v>12.380000000000003</v>
      </c>
      <c r="AC36" s="330">
        <f t="shared" ref="AC36:AC38" si="18">AB36/Z36</f>
        <v>0.37515151515151524</v>
      </c>
    </row>
    <row r="37" spans="1:29" ht="17.100000000000001" customHeight="1" thickBot="1">
      <c r="A37">
        <f t="shared" si="16"/>
        <v>11</v>
      </c>
      <c r="B37" s="343" t="s">
        <v>12</v>
      </c>
      <c r="C37" s="344"/>
      <c r="D37" s="345">
        <v>1</v>
      </c>
      <c r="E37" s="344"/>
      <c r="F37" s="345"/>
      <c r="G37" s="344"/>
      <c r="H37" s="345"/>
      <c r="I37" s="344"/>
      <c r="J37" s="346"/>
      <c r="K37" s="383">
        <f t="shared" si="11"/>
        <v>1</v>
      </c>
      <c r="L37" s="384"/>
      <c r="M37" s="352"/>
      <c r="P37" s="305" t="s">
        <v>132</v>
      </c>
      <c r="Q37" s="306"/>
      <c r="R37" s="306"/>
      <c r="S37" s="306"/>
      <c r="T37" s="306"/>
      <c r="U37" s="306"/>
      <c r="V37" s="306"/>
      <c r="W37" s="307">
        <f>W33</f>
        <v>713.57999999999993</v>
      </c>
      <c r="Y37" s="302">
        <f>$P$29</f>
        <v>0</v>
      </c>
      <c r="Z37" s="363"/>
      <c r="AA37" s="309">
        <f>-AC29</f>
        <v>0</v>
      </c>
      <c r="AB37" s="309">
        <f t="shared" si="17"/>
        <v>0</v>
      </c>
      <c r="AC37" s="330" t="e">
        <f t="shared" si="18"/>
        <v>#DIV/0!</v>
      </c>
    </row>
    <row r="38" spans="1:29" ht="17.100000000000001" customHeight="1" thickBot="1">
      <c r="A38">
        <f t="shared" si="16"/>
        <v>12</v>
      </c>
      <c r="B38" s="377" t="s">
        <v>44</v>
      </c>
      <c r="C38" s="378"/>
      <c r="D38" s="379">
        <v>1</v>
      </c>
      <c r="E38" s="378"/>
      <c r="F38" s="379"/>
      <c r="G38" s="378"/>
      <c r="H38" s="379"/>
      <c r="I38" s="378"/>
      <c r="J38" s="380"/>
      <c r="K38" s="383">
        <f t="shared" si="11"/>
        <v>1</v>
      </c>
      <c r="L38" s="384"/>
      <c r="M38" s="381"/>
      <c r="W38" s="276">
        <f>Q27*T27+Q28*T28+Q29*T29+Q30*T30+Q31*T31+Q32*T32+W36-W37</f>
        <v>0</v>
      </c>
      <c r="Y38" s="302">
        <f>$P$30</f>
        <v>0</v>
      </c>
      <c r="Z38" s="363"/>
      <c r="AA38" s="320">
        <f>-AC30</f>
        <v>0</v>
      </c>
      <c r="AB38" s="320">
        <f t="shared" si="17"/>
        <v>0</v>
      </c>
      <c r="AC38" s="330" t="e">
        <f t="shared" si="18"/>
        <v>#DIV/0!</v>
      </c>
    </row>
    <row r="39" spans="1:29" ht="17.100000000000001" customHeight="1" thickBot="1">
      <c r="A39">
        <f t="shared" si="16"/>
        <v>13</v>
      </c>
      <c r="B39" s="343" t="s">
        <v>53</v>
      </c>
      <c r="C39" s="344"/>
      <c r="D39" s="345"/>
      <c r="E39" s="344"/>
      <c r="F39" s="345">
        <v>1</v>
      </c>
      <c r="G39" s="344"/>
      <c r="H39" s="345"/>
      <c r="I39" s="344"/>
      <c r="J39" s="346"/>
      <c r="K39" s="383">
        <f t="shared" si="11"/>
        <v>1</v>
      </c>
      <c r="L39" s="384"/>
      <c r="M39" s="352"/>
      <c r="P39" s="315" t="s">
        <v>134</v>
      </c>
      <c r="Q39" s="202" t="s">
        <v>117</v>
      </c>
      <c r="R39" s="213" t="s">
        <v>16</v>
      </c>
      <c r="S39" s="213" t="s">
        <v>13</v>
      </c>
      <c r="T39" s="213" t="s">
        <v>4</v>
      </c>
      <c r="U39" s="202" t="s">
        <v>119</v>
      </c>
      <c r="V39" s="202" t="s">
        <v>103</v>
      </c>
      <c r="W39" s="203" t="s">
        <v>113</v>
      </c>
      <c r="Y39" s="278"/>
      <c r="Z39" s="359"/>
      <c r="AA39" s="317"/>
      <c r="AB39" s="317"/>
      <c r="AC39" s="204"/>
    </row>
    <row r="40" spans="1:29" ht="17.100000000000001" customHeight="1" thickBot="1">
      <c r="A40">
        <f t="shared" si="16"/>
        <v>14</v>
      </c>
      <c r="B40" s="377" t="s">
        <v>33</v>
      </c>
      <c r="C40" s="378"/>
      <c r="D40" s="379">
        <v>1</v>
      </c>
      <c r="E40" s="378"/>
      <c r="F40" s="379">
        <v>1</v>
      </c>
      <c r="G40" s="378"/>
      <c r="H40" s="379"/>
      <c r="I40" s="378"/>
      <c r="J40" s="380"/>
      <c r="K40" s="383">
        <f t="shared" si="11"/>
        <v>2</v>
      </c>
      <c r="L40" s="384"/>
      <c r="M40" s="381"/>
      <c r="P40" s="357"/>
      <c r="Q40" s="358"/>
      <c r="R40" s="356"/>
      <c r="S40" s="356"/>
      <c r="T40" s="311">
        <f>SUM(R40:S40)</f>
        <v>0</v>
      </c>
      <c r="U40" s="316" t="str">
        <f>IFERROR($W$49/$T$46,"-")</f>
        <v>-</v>
      </c>
      <c r="V40" s="376" t="str">
        <f>IFERROR(Q40+U40,"-")</f>
        <v>-</v>
      </c>
      <c r="W40" s="252" t="str">
        <f>IFERROR(T40*V40,"-")</f>
        <v>-</v>
      </c>
      <c r="Y40" s="279"/>
      <c r="Z40" s="360"/>
      <c r="AA40" s="319"/>
      <c r="AB40" s="319"/>
      <c r="AC40" s="205"/>
    </row>
    <row r="41" spans="1:29" ht="15.95" customHeight="1">
      <c r="A41">
        <f t="shared" si="16"/>
        <v>15</v>
      </c>
      <c r="B41" s="343" t="s">
        <v>52</v>
      </c>
      <c r="C41" s="344">
        <v>1</v>
      </c>
      <c r="D41" s="345"/>
      <c r="E41" s="344"/>
      <c r="F41" s="345"/>
      <c r="G41" s="344"/>
      <c r="H41" s="345"/>
      <c r="I41" s="344"/>
      <c r="J41" s="346"/>
      <c r="K41" s="383">
        <f t="shared" si="11"/>
        <v>1</v>
      </c>
      <c r="L41" s="384"/>
      <c r="M41" s="352"/>
      <c r="P41" s="357"/>
      <c r="Q41" s="358"/>
      <c r="R41" s="359"/>
      <c r="S41" s="359"/>
      <c r="T41" s="310">
        <f t="shared" ref="T41:T45" si="19">SUM(R41:S41)</f>
        <v>0</v>
      </c>
      <c r="U41" s="309" t="str">
        <f>IFERROR($W$49/$T$46,"-")</f>
        <v>-</v>
      </c>
      <c r="V41" s="309" t="str">
        <f>IFERROR(Q41+U41,"-")</f>
        <v>-</v>
      </c>
      <c r="W41" s="252" t="str">
        <f t="shared" ref="W41:W45" si="20">IFERROR(T41*V41,"-")</f>
        <v>-</v>
      </c>
    </row>
    <row r="42" spans="1:29" ht="17.100000000000001" customHeight="1">
      <c r="A42">
        <f t="shared" si="16"/>
        <v>16</v>
      </c>
      <c r="B42" s="377" t="s">
        <v>86</v>
      </c>
      <c r="C42" s="378"/>
      <c r="D42" s="379"/>
      <c r="E42" s="378"/>
      <c r="F42" s="379"/>
      <c r="G42" s="378"/>
      <c r="H42" s="379"/>
      <c r="I42" s="378"/>
      <c r="J42" s="380"/>
      <c r="K42" s="383">
        <f t="shared" si="11"/>
        <v>0</v>
      </c>
      <c r="L42" s="384"/>
      <c r="M42" s="381"/>
      <c r="P42" s="357"/>
      <c r="Q42" s="358"/>
      <c r="R42" s="359"/>
      <c r="S42" s="359"/>
      <c r="T42" s="310">
        <f t="shared" si="19"/>
        <v>0</v>
      </c>
      <c r="U42" s="309" t="str">
        <f>IFERROR($W$49/$T$46,"-")</f>
        <v>-</v>
      </c>
      <c r="V42" s="309" t="str">
        <f>IFERROR(Q42+U42,"-")</f>
        <v>-</v>
      </c>
      <c r="W42" s="252" t="str">
        <f t="shared" si="20"/>
        <v>-</v>
      </c>
    </row>
    <row r="43" spans="1:29" ht="15.95" customHeight="1">
      <c r="A43">
        <f t="shared" si="16"/>
        <v>17</v>
      </c>
      <c r="B43" s="343" t="s">
        <v>82</v>
      </c>
      <c r="C43" s="344"/>
      <c r="D43" s="345"/>
      <c r="E43" s="344">
        <v>1</v>
      </c>
      <c r="F43" s="345"/>
      <c r="G43" s="344"/>
      <c r="H43" s="345"/>
      <c r="I43" s="344"/>
      <c r="J43" s="346"/>
      <c r="K43" s="383">
        <f t="shared" si="11"/>
        <v>1</v>
      </c>
      <c r="L43" s="384"/>
      <c r="M43" s="352"/>
      <c r="P43" s="357"/>
      <c r="Q43" s="358"/>
      <c r="R43" s="359"/>
      <c r="S43" s="359"/>
      <c r="T43" s="310">
        <f t="shared" si="19"/>
        <v>0</v>
      </c>
      <c r="U43" s="309" t="str">
        <f>IFERROR($W$49/$T$46,"-")</f>
        <v>-</v>
      </c>
      <c r="V43" s="309" t="str">
        <f>IFERROR(Q43+U43,"-")</f>
        <v>-</v>
      </c>
      <c r="W43" s="252" t="str">
        <f t="shared" si="20"/>
        <v>-</v>
      </c>
    </row>
    <row r="44" spans="1:29" ht="17.100000000000001" customHeight="1">
      <c r="A44">
        <f t="shared" si="16"/>
        <v>18</v>
      </c>
      <c r="B44" s="377" t="s">
        <v>17</v>
      </c>
      <c r="C44" s="378"/>
      <c r="D44" s="379">
        <v>1</v>
      </c>
      <c r="E44" s="378"/>
      <c r="F44" s="379">
        <v>1</v>
      </c>
      <c r="G44" s="378"/>
      <c r="H44" s="379"/>
      <c r="I44" s="378"/>
      <c r="J44" s="380"/>
      <c r="K44" s="383">
        <f t="shared" si="11"/>
        <v>2</v>
      </c>
      <c r="L44" s="384"/>
      <c r="M44" s="381"/>
      <c r="P44" s="343"/>
      <c r="Q44" s="359"/>
      <c r="R44" s="359"/>
      <c r="S44" s="359"/>
      <c r="T44" s="310">
        <f t="shared" si="19"/>
        <v>0</v>
      </c>
      <c r="U44" s="309"/>
      <c r="V44" s="309">
        <f>IFERROR(Q44+U44,"-")</f>
        <v>0</v>
      </c>
      <c r="W44" s="252">
        <f t="shared" si="20"/>
        <v>0</v>
      </c>
    </row>
    <row r="45" spans="1:29" ht="17.100000000000001" customHeight="1" thickBot="1">
      <c r="A45">
        <f t="shared" si="16"/>
        <v>19</v>
      </c>
      <c r="B45" s="343" t="s">
        <v>14</v>
      </c>
      <c r="C45" s="344"/>
      <c r="D45" s="345"/>
      <c r="E45" s="344">
        <v>1</v>
      </c>
      <c r="F45" s="345"/>
      <c r="G45" s="344"/>
      <c r="H45" s="345"/>
      <c r="I45" s="344"/>
      <c r="J45" s="346"/>
      <c r="K45" s="383">
        <f t="shared" si="11"/>
        <v>1</v>
      </c>
      <c r="L45" s="384"/>
      <c r="M45" s="352"/>
      <c r="P45" s="347"/>
      <c r="Q45" s="360"/>
      <c r="R45" s="360"/>
      <c r="S45" s="360"/>
      <c r="T45" s="312">
        <f t="shared" si="19"/>
        <v>0</v>
      </c>
      <c r="U45" s="328"/>
      <c r="V45" s="328">
        <f>IFERROR(Q45+U45,"-")</f>
        <v>0</v>
      </c>
      <c r="W45" s="253">
        <f t="shared" si="20"/>
        <v>0</v>
      </c>
    </row>
    <row r="46" spans="1:29" ht="17.100000000000001" customHeight="1">
      <c r="A46">
        <f t="shared" si="16"/>
        <v>20</v>
      </c>
      <c r="B46" s="377" t="s">
        <v>95</v>
      </c>
      <c r="C46" s="378"/>
      <c r="D46" s="379"/>
      <c r="E46" s="378"/>
      <c r="F46" s="379">
        <v>1</v>
      </c>
      <c r="G46" s="378"/>
      <c r="H46" s="379"/>
      <c r="I46" s="378"/>
      <c r="J46" s="380"/>
      <c r="K46" s="383">
        <f t="shared" si="11"/>
        <v>1</v>
      </c>
      <c r="L46" s="384"/>
      <c r="M46" s="381"/>
      <c r="P46" s="313" t="s">
        <v>113</v>
      </c>
      <c r="Q46" s="308"/>
      <c r="R46" s="308"/>
      <c r="S46" s="308"/>
      <c r="T46" s="308">
        <f>SUM(T40:T45)</f>
        <v>0</v>
      </c>
      <c r="U46" s="329"/>
      <c r="V46" s="308"/>
      <c r="W46" s="314">
        <f>SUM(W40:W45)</f>
        <v>0</v>
      </c>
    </row>
    <row r="47" spans="1:29" ht="15.95" customHeight="1">
      <c r="A47">
        <f t="shared" si="16"/>
        <v>21</v>
      </c>
      <c r="B47" s="343" t="s">
        <v>76</v>
      </c>
      <c r="C47" s="344"/>
      <c r="D47" s="345"/>
      <c r="E47" s="344"/>
      <c r="F47" s="345"/>
      <c r="G47" s="344"/>
      <c r="H47" s="345"/>
      <c r="I47" s="344"/>
      <c r="J47" s="346"/>
      <c r="K47" s="383">
        <f t="shared" si="11"/>
        <v>0</v>
      </c>
      <c r="L47" s="384"/>
      <c r="M47" s="352"/>
      <c r="P47" s="357" t="s">
        <v>129</v>
      </c>
      <c r="Q47" s="361"/>
      <c r="R47" s="361"/>
      <c r="S47" s="361"/>
      <c r="T47" s="361"/>
      <c r="U47" s="361"/>
      <c r="V47" s="361"/>
      <c r="W47" s="362"/>
    </row>
    <row r="48" spans="1:29" ht="17.100000000000001" customHeight="1">
      <c r="A48">
        <f t="shared" si="16"/>
        <v>22</v>
      </c>
      <c r="B48" s="377" t="s">
        <v>50</v>
      </c>
      <c r="C48" s="378"/>
      <c r="D48" s="379"/>
      <c r="E48" s="378"/>
      <c r="F48" s="379">
        <v>1</v>
      </c>
      <c r="G48" s="378"/>
      <c r="H48" s="379"/>
      <c r="I48" s="378"/>
      <c r="J48" s="380"/>
      <c r="K48" s="383">
        <f t="shared" si="11"/>
        <v>1</v>
      </c>
      <c r="L48" s="384"/>
      <c r="M48" s="381"/>
      <c r="P48" s="357" t="s">
        <v>130</v>
      </c>
      <c r="Q48" s="361"/>
      <c r="R48" s="361"/>
      <c r="S48" s="361"/>
      <c r="T48" s="361"/>
      <c r="U48" s="361"/>
      <c r="V48" s="361"/>
      <c r="W48" s="362"/>
    </row>
    <row r="49" spans="1:23" ht="17.100000000000001" customHeight="1" thickBot="1">
      <c r="A49">
        <f t="shared" si="16"/>
        <v>23</v>
      </c>
      <c r="B49" s="343" t="s">
        <v>55</v>
      </c>
      <c r="C49" s="344"/>
      <c r="D49" s="345"/>
      <c r="E49" s="344"/>
      <c r="F49" s="345">
        <v>1</v>
      </c>
      <c r="G49" s="344"/>
      <c r="H49" s="345"/>
      <c r="I49" s="344"/>
      <c r="J49" s="346"/>
      <c r="K49" s="383">
        <f t="shared" si="11"/>
        <v>1</v>
      </c>
      <c r="L49" s="384"/>
      <c r="M49" s="352"/>
      <c r="P49" s="274" t="s">
        <v>131</v>
      </c>
      <c r="Q49" s="325"/>
      <c r="R49" s="325"/>
      <c r="S49" s="325"/>
      <c r="T49" s="325"/>
      <c r="U49" s="325"/>
      <c r="V49" s="325"/>
      <c r="W49" s="326">
        <f>SUM(W47:W48)</f>
        <v>0</v>
      </c>
    </row>
    <row r="50" spans="1:23" ht="17.100000000000001" customHeight="1" thickBot="1">
      <c r="A50">
        <f t="shared" si="16"/>
        <v>24</v>
      </c>
      <c r="B50" s="377"/>
      <c r="C50" s="378"/>
      <c r="D50" s="379"/>
      <c r="E50" s="378">
        <v>1</v>
      </c>
      <c r="F50" s="379"/>
      <c r="G50" s="378"/>
      <c r="H50" s="379"/>
      <c r="I50" s="378"/>
      <c r="J50" s="380"/>
      <c r="K50" s="383">
        <f t="shared" si="11"/>
        <v>1</v>
      </c>
      <c r="L50" s="384"/>
      <c r="M50" s="381"/>
      <c r="P50" s="305" t="s">
        <v>132</v>
      </c>
      <c r="Q50" s="306"/>
      <c r="R50" s="306"/>
      <c r="S50" s="306"/>
      <c r="T50" s="306"/>
      <c r="U50" s="306"/>
      <c r="V50" s="306"/>
      <c r="W50" s="307">
        <f>-W46</f>
        <v>0</v>
      </c>
    </row>
    <row r="51" spans="1:23" ht="17.100000000000001" customHeight="1" thickBot="1">
      <c r="A51">
        <f t="shared" si="16"/>
        <v>25</v>
      </c>
      <c r="B51" s="343"/>
      <c r="C51" s="344"/>
      <c r="D51" s="345"/>
      <c r="E51" s="344"/>
      <c r="F51" s="345"/>
      <c r="G51" s="344"/>
      <c r="H51" s="345"/>
      <c r="I51" s="344"/>
      <c r="J51" s="346"/>
      <c r="K51" s="383">
        <f t="shared" si="11"/>
        <v>0</v>
      </c>
      <c r="L51" s="384"/>
      <c r="M51" s="352"/>
      <c r="W51" s="276">
        <f>Q40*T40+Q41*T41+Q42*T42+Q43*T43+Q44*T44+Q45*T45+W49+W50</f>
        <v>0</v>
      </c>
    </row>
    <row r="52" spans="1:23" ht="17.100000000000001" customHeight="1" thickBot="1">
      <c r="A52">
        <f t="shared" si="16"/>
        <v>26</v>
      </c>
      <c r="B52" s="377"/>
      <c r="C52" s="378"/>
      <c r="D52" s="379"/>
      <c r="E52" s="378"/>
      <c r="F52" s="379"/>
      <c r="G52" s="378"/>
      <c r="H52" s="379"/>
      <c r="I52" s="378"/>
      <c r="J52" s="380"/>
      <c r="K52" s="383">
        <f t="shared" si="11"/>
        <v>0</v>
      </c>
      <c r="L52" s="384">
        <f t="shared" si="12"/>
        <v>0</v>
      </c>
      <c r="M52" s="381"/>
      <c r="P52" s="303" t="s">
        <v>140</v>
      </c>
      <c r="Q52" s="250"/>
      <c r="R52" s="250"/>
      <c r="S52" s="250"/>
      <c r="T52" s="250"/>
      <c r="U52" s="250"/>
      <c r="V52" s="250"/>
      <c r="W52" s="304">
        <f>W37+W50</f>
        <v>713.57999999999993</v>
      </c>
    </row>
    <row r="53" spans="1:23" ht="17.100000000000001" customHeight="1" thickBot="1">
      <c r="A53">
        <f t="shared" si="16"/>
        <v>27</v>
      </c>
      <c r="B53" s="343"/>
      <c r="C53" s="344"/>
      <c r="D53" s="345"/>
      <c r="E53" s="344"/>
      <c r="F53" s="345"/>
      <c r="G53" s="344"/>
      <c r="H53" s="345"/>
      <c r="I53" s="344"/>
      <c r="J53" s="346"/>
      <c r="K53" s="383">
        <f t="shared" si="11"/>
        <v>0</v>
      </c>
      <c r="L53" s="384">
        <f t="shared" si="12"/>
        <v>0</v>
      </c>
      <c r="M53" s="352"/>
    </row>
    <row r="54" spans="1:23" ht="17.100000000000001" customHeight="1" thickBot="1">
      <c r="A54">
        <f t="shared" si="16"/>
        <v>28</v>
      </c>
      <c r="B54" s="377"/>
      <c r="C54" s="378"/>
      <c r="D54" s="379"/>
      <c r="E54" s="378"/>
      <c r="F54" s="379"/>
      <c r="G54" s="378"/>
      <c r="H54" s="379"/>
      <c r="I54" s="378"/>
      <c r="J54" s="380"/>
      <c r="K54" s="383">
        <f t="shared" si="11"/>
        <v>0</v>
      </c>
      <c r="L54" s="384">
        <f t="shared" si="12"/>
        <v>0</v>
      </c>
      <c r="M54" s="381"/>
      <c r="P54" s="315" t="s">
        <v>141</v>
      </c>
      <c r="Q54" s="202" t="s">
        <v>101</v>
      </c>
      <c r="R54" s="202" t="s">
        <v>4</v>
      </c>
      <c r="S54" s="202" t="s">
        <v>102</v>
      </c>
      <c r="T54" s="202" t="s">
        <v>103</v>
      </c>
      <c r="U54" s="203" t="s">
        <v>113</v>
      </c>
    </row>
    <row r="55" spans="1:23" ht="15.95" customHeight="1">
      <c r="A55">
        <f t="shared" si="16"/>
        <v>29</v>
      </c>
      <c r="B55" s="343"/>
      <c r="C55" s="344"/>
      <c r="D55" s="345"/>
      <c r="E55" s="344"/>
      <c r="F55" s="345"/>
      <c r="G55" s="344"/>
      <c r="H55" s="345"/>
      <c r="I55" s="344"/>
      <c r="J55" s="346"/>
      <c r="K55" s="383">
        <f t="shared" si="11"/>
        <v>0</v>
      </c>
      <c r="L55" s="384">
        <f t="shared" si="12"/>
        <v>0</v>
      </c>
      <c r="M55" s="352"/>
      <c r="P55" s="302" t="str">
        <f>$P$27</f>
        <v>BRAILE</v>
      </c>
      <c r="Q55" s="358">
        <v>6</v>
      </c>
      <c r="R55" s="310">
        <f>T27</f>
        <v>21</v>
      </c>
      <c r="S55" s="309">
        <f>IFERROR(((Q55*R55)*0.21)/R55,"-")</f>
        <v>1.2599999999999998</v>
      </c>
      <c r="T55" s="309">
        <f>IFERROR(Q55+S55,"-")</f>
        <v>7.26</v>
      </c>
      <c r="U55" s="252">
        <f>IFERROR(R55*T55,"-")</f>
        <v>152.46</v>
      </c>
    </row>
    <row r="56" spans="1:23" ht="17.100000000000001" customHeight="1">
      <c r="A56">
        <f t="shared" si="16"/>
        <v>30</v>
      </c>
      <c r="B56" s="377"/>
      <c r="C56" s="378"/>
      <c r="D56" s="379"/>
      <c r="E56" s="378"/>
      <c r="F56" s="379"/>
      <c r="G56" s="378"/>
      <c r="H56" s="379"/>
      <c r="I56" s="378"/>
      <c r="J56" s="380"/>
      <c r="K56" s="383">
        <f t="shared" si="11"/>
        <v>0</v>
      </c>
      <c r="L56" s="384">
        <f t="shared" si="12"/>
        <v>0</v>
      </c>
      <c r="M56" s="381"/>
      <c r="P56" s="302" t="str">
        <f>$P$28</f>
        <v>GRAFITTI</v>
      </c>
      <c r="Q56" s="358">
        <v>3</v>
      </c>
      <c r="R56" s="310">
        <f>T28</f>
        <v>21</v>
      </c>
      <c r="S56" s="309">
        <f>IFERROR(((Q56*R56)*0.21)/R56,"-")</f>
        <v>0.62999999999999989</v>
      </c>
      <c r="T56" s="309">
        <f>IFERROR(Q56+S56,"-")</f>
        <v>3.63</v>
      </c>
      <c r="U56" s="252">
        <f>IFERROR(R56*T56,"-")</f>
        <v>76.23</v>
      </c>
    </row>
    <row r="57" spans="1:23" ht="15.95" customHeight="1">
      <c r="A57">
        <f t="shared" si="16"/>
        <v>31</v>
      </c>
      <c r="B57" s="343"/>
      <c r="C57" s="344"/>
      <c r="D57" s="345"/>
      <c r="E57" s="344"/>
      <c r="F57" s="345"/>
      <c r="G57" s="344"/>
      <c r="H57" s="345"/>
      <c r="I57" s="344"/>
      <c r="J57" s="346"/>
      <c r="K57" s="383">
        <f t="shared" si="11"/>
        <v>0</v>
      </c>
      <c r="L57" s="384">
        <f t="shared" si="12"/>
        <v>0</v>
      </c>
      <c r="M57" s="352"/>
      <c r="P57" s="302">
        <f>$P$29</f>
        <v>0</v>
      </c>
      <c r="Q57" s="358"/>
      <c r="R57" s="310">
        <f>T29</f>
        <v>0</v>
      </c>
      <c r="S57" s="309" t="str">
        <f>IFERROR(((Q57*R57)*0.21)/R57,"-")</f>
        <v>-</v>
      </c>
      <c r="T57" s="309" t="str">
        <f>IFERROR(Q57+S57,"-")</f>
        <v>-</v>
      </c>
      <c r="U57" s="252" t="str">
        <f>IFERROR(R57*T57,"-")</f>
        <v>-</v>
      </c>
    </row>
    <row r="58" spans="1:23" ht="17.100000000000001" customHeight="1">
      <c r="A58">
        <f t="shared" si="16"/>
        <v>32</v>
      </c>
      <c r="B58" s="377"/>
      <c r="C58" s="378"/>
      <c r="D58" s="379"/>
      <c r="E58" s="378"/>
      <c r="F58" s="379"/>
      <c r="G58" s="378"/>
      <c r="H58" s="379"/>
      <c r="I58" s="378"/>
      <c r="J58" s="380"/>
      <c r="K58" s="383">
        <f t="shared" si="11"/>
        <v>0</v>
      </c>
      <c r="L58" s="384">
        <f t="shared" si="12"/>
        <v>0</v>
      </c>
      <c r="M58" s="381"/>
      <c r="P58" s="302">
        <f>$P$30</f>
        <v>0</v>
      </c>
      <c r="Q58" s="358"/>
      <c r="R58" s="310">
        <f>T30</f>
        <v>0</v>
      </c>
      <c r="S58" s="320" t="str">
        <f>IFERROR(((Q58*R58)*0.21)/R58,"-")</f>
        <v>-</v>
      </c>
      <c r="T58" s="309" t="str">
        <f>IFERROR(Q58+S58,"-")</f>
        <v>-</v>
      </c>
      <c r="U58" s="252" t="str">
        <f>IFERROR(R58*T58,"-")</f>
        <v>-</v>
      </c>
    </row>
    <row r="59" spans="1:23" ht="15.95" customHeight="1">
      <c r="A59">
        <f t="shared" si="16"/>
        <v>33</v>
      </c>
      <c r="B59" s="343"/>
      <c r="C59" s="344"/>
      <c r="D59" s="345"/>
      <c r="E59" s="344"/>
      <c r="F59" s="345"/>
      <c r="G59" s="344"/>
      <c r="H59" s="345"/>
      <c r="I59" s="344"/>
      <c r="J59" s="346"/>
      <c r="K59" s="383">
        <f t="shared" si="11"/>
        <v>0</v>
      </c>
      <c r="L59" s="384">
        <f t="shared" si="12"/>
        <v>0</v>
      </c>
      <c r="M59" s="352"/>
      <c r="P59" s="278"/>
      <c r="Q59" s="359"/>
      <c r="R59" s="310"/>
      <c r="S59" s="317" t="str">
        <f>IFERROR(((Q59*R59)*0.21)/R59,"-")</f>
        <v>-</v>
      </c>
      <c r="T59" s="317" t="str">
        <f>IFERROR(Q59+S59,"-")</f>
        <v>-</v>
      </c>
      <c r="U59" s="318" t="str">
        <f>IFERROR(R59*T59,"-")</f>
        <v>-</v>
      </c>
    </row>
    <row r="60" spans="1:23" ht="17.100000000000001" customHeight="1" thickBot="1">
      <c r="A60">
        <f t="shared" si="16"/>
        <v>34</v>
      </c>
      <c r="B60" s="377"/>
      <c r="C60" s="378"/>
      <c r="D60" s="379"/>
      <c r="E60" s="378"/>
      <c r="F60" s="379"/>
      <c r="G60" s="378"/>
      <c r="H60" s="379"/>
      <c r="I60" s="378"/>
      <c r="J60" s="380"/>
      <c r="K60" s="383">
        <f t="shared" si="11"/>
        <v>0</v>
      </c>
      <c r="L60" s="384">
        <f t="shared" si="12"/>
        <v>0</v>
      </c>
      <c r="M60" s="381"/>
      <c r="P60" s="279"/>
      <c r="Q60" s="360"/>
      <c r="R60" s="312"/>
      <c r="S60" s="319" t="str">
        <f>IFERROR(((Q60*R60)*0.21)/R60,"-")</f>
        <v>-</v>
      </c>
      <c r="T60" s="319" t="str">
        <f>IFERROR(Q60+S60,"-")</f>
        <v>-</v>
      </c>
      <c r="U60" s="296" t="str">
        <f>IFERROR(R60*T60,"-")</f>
        <v>-</v>
      </c>
    </row>
    <row r="61" spans="1:23" ht="17.100000000000001" customHeight="1" thickBot="1">
      <c r="A61">
        <f t="shared" si="16"/>
        <v>35</v>
      </c>
      <c r="B61" s="347"/>
      <c r="C61" s="348"/>
      <c r="D61" s="349"/>
      <c r="E61" s="348"/>
      <c r="F61" s="349"/>
      <c r="G61" s="348"/>
      <c r="H61" s="349"/>
      <c r="I61" s="348"/>
      <c r="J61" s="350"/>
      <c r="K61" s="385">
        <f t="shared" si="11"/>
        <v>0</v>
      </c>
      <c r="L61" s="386">
        <f t="shared" si="12"/>
        <v>0</v>
      </c>
      <c r="M61" s="353"/>
      <c r="P61" s="305" t="s">
        <v>112</v>
      </c>
      <c r="Q61" s="306"/>
      <c r="R61" s="306">
        <f>SUM(R55:R60)</f>
        <v>42</v>
      </c>
      <c r="S61" s="321"/>
      <c r="T61" s="321"/>
      <c r="U61" s="307">
        <f>SUM(U55:U60)</f>
        <v>228.69</v>
      </c>
    </row>
    <row r="64" spans="1:23" ht="17.100000000000001" customHeight="1"/>
    <row r="65" spans="1:7" ht="15.95" customHeight="1">
      <c r="A65" s="364">
        <v>1</v>
      </c>
      <c r="B65" s="364" t="str">
        <f>B27</f>
        <v>DOMINGUEZ</v>
      </c>
      <c r="C65" s="364" t="str">
        <f>_xlfn.TEXTJOIN(", ",TRUE,
IF(OR(C27&gt;0,E27&gt;0,G27&gt;0,I27&gt;0),"M",""),
IF(OR(D27&gt;0,F27&gt;0,H27&gt;0,J27&gt;0),"L","")
)</f>
        <v>L</v>
      </c>
      <c r="D65" s="364">
        <f>IF(C65="M",1,IF(C65="L",2,IF(C65="M, L",3)))</f>
        <v>2</v>
      </c>
      <c r="E65" s="365">
        <f>K27</f>
        <v>1</v>
      </c>
      <c r="F65" s="366">
        <f>L27</f>
        <v>33</v>
      </c>
      <c r="G65" s="364" t="str">
        <f>$B$2</f>
        <v>DROP 5</v>
      </c>
    </row>
    <row r="66" spans="1:7" ht="17.100000000000001" customHeight="1">
      <c r="A66" s="364">
        <v>2</v>
      </c>
      <c r="B66" s="364" t="str">
        <f>B28</f>
        <v>BARALLOBRE</v>
      </c>
      <c r="C66" s="364" t="str">
        <f>_xlfn.TEXTJOIN(", ",TRUE,
IF(OR(C28&gt;0,E28&gt;0,G28&gt;0,I28&gt;0),"M",""),
IF(OR(D28&gt;0,F28&gt;0,H28&gt;0,J28&gt;0),"L","")
)</f>
        <v>L</v>
      </c>
      <c r="D66" s="364">
        <f>IF(C66="M",1,IF(C66="L",2,IF(C66="M, L",3)))</f>
        <v>2</v>
      </c>
      <c r="E66" s="365">
        <f>K28</f>
        <v>1</v>
      </c>
      <c r="F66" s="366">
        <f>L28</f>
        <v>33</v>
      </c>
      <c r="G66" s="364" t="str">
        <f t="shared" ref="G66:G99" si="21">$B$2</f>
        <v>DROP 5</v>
      </c>
    </row>
    <row r="67" spans="1:7" ht="15.95" customHeight="1">
      <c r="A67" s="364">
        <v>3</v>
      </c>
      <c r="B67" s="364" t="str">
        <f>B29</f>
        <v>TOMAS ACHA</v>
      </c>
      <c r="C67" s="364" t="str">
        <f>_xlfn.TEXTJOIN(", ",TRUE,
IF(OR(C29&gt;0,E29&gt;0,G29&gt;0,I29&gt;0),"M",""),
IF(OR(D29&gt;0,F29&gt;0,H29&gt;0,J29&gt;0),"L","")
)</f>
        <v>L</v>
      </c>
      <c r="D67" s="364">
        <f>IF(C67="M",1,IF(C67="L",2,IF(C67="M, L",3)))</f>
        <v>2</v>
      </c>
      <c r="E67" s="365">
        <f>K29</f>
        <v>1</v>
      </c>
      <c r="F67" s="366">
        <f>L29</f>
        <v>33</v>
      </c>
      <c r="G67" s="364" t="str">
        <f t="shared" si="21"/>
        <v>DROP 5</v>
      </c>
    </row>
    <row r="68" spans="1:7" ht="17.100000000000001" customHeight="1">
      <c r="A68" s="364">
        <f>A67+1</f>
        <v>4</v>
      </c>
      <c r="B68" s="364" t="str">
        <f>B30</f>
        <v>FORMARIZ</v>
      </c>
      <c r="C68" s="364" t="str">
        <f>_xlfn.TEXTJOIN(", ",TRUE,
IF(OR(C30&gt;0,E30&gt;0,G30&gt;0,I30&gt;0),"M",""),
IF(OR(D30&gt;0,F30&gt;0,H30&gt;0,J30&gt;0),"L","")
)</f>
        <v>M</v>
      </c>
      <c r="D68" s="364">
        <f>IF(C68="M",1,IF(C68="L",2,IF(C68="M, L",3)))</f>
        <v>1</v>
      </c>
      <c r="E68" s="365">
        <f>K30</f>
        <v>1</v>
      </c>
      <c r="F68" s="366">
        <f>L30</f>
        <v>33</v>
      </c>
      <c r="G68" s="364" t="str">
        <f t="shared" si="21"/>
        <v>DROP 5</v>
      </c>
    </row>
    <row r="69" spans="1:7" ht="15.95" customHeight="1">
      <c r="A69" s="364">
        <f t="shared" ref="A69:A99" si="22">A68+1</f>
        <v>5</v>
      </c>
      <c r="B69" s="364" t="str">
        <f>B31</f>
        <v>CASAPE</v>
      </c>
      <c r="C69" s="364" t="str">
        <f>_xlfn.TEXTJOIN(", ",TRUE,
IF(OR(C31&gt;0,E31&gt;0,G31&gt;0,I31&gt;0),"M",""),
IF(OR(D31&gt;0,F31&gt;0,H31&gt;0,J31&gt;0),"L","")
)</f>
        <v>L</v>
      </c>
      <c r="D69" s="364">
        <f>IF(C69="M",1,IF(C69="L",2,IF(C69="M, L",3)))</f>
        <v>2</v>
      </c>
      <c r="E69" s="365">
        <f>K31</f>
        <v>2</v>
      </c>
      <c r="F69" s="366">
        <f>L31</f>
        <v>66</v>
      </c>
      <c r="G69" s="364" t="str">
        <f t="shared" si="21"/>
        <v>DROP 5</v>
      </c>
    </row>
    <row r="70" spans="1:7" ht="17.100000000000001" customHeight="1">
      <c r="A70" s="364">
        <f t="shared" si="22"/>
        <v>6</v>
      </c>
      <c r="B70" s="364" t="str">
        <f>B32</f>
        <v>JUANTO</v>
      </c>
      <c r="C70" s="364" t="str">
        <f>_xlfn.TEXTJOIN(", ",TRUE,
IF(OR(C32&gt;0,E32&gt;0,G32&gt;0,I32&gt;0),"M",""),
IF(OR(D32&gt;0,F32&gt;0,H32&gt;0,J32&gt;0),"L","")
)</f>
        <v>M</v>
      </c>
      <c r="D70" s="364">
        <f>IF(C70="M",1,IF(C70="L",2,IF(C70="M, L",3)))</f>
        <v>1</v>
      </c>
      <c r="E70" s="365">
        <f>K32</f>
        <v>2</v>
      </c>
      <c r="F70" s="366">
        <f>L32</f>
        <v>66</v>
      </c>
      <c r="G70" s="364" t="str">
        <f t="shared" si="21"/>
        <v>DROP 5</v>
      </c>
    </row>
    <row r="71" spans="1:7" ht="15.95" customHeight="1">
      <c r="A71" s="364">
        <f t="shared" si="22"/>
        <v>7</v>
      </c>
      <c r="B71" s="364" t="str">
        <f>B33</f>
        <v>VINTED</v>
      </c>
      <c r="C71" s="364" t="str">
        <f>_xlfn.TEXTJOIN(", ",TRUE,
IF(OR(C33&gt;0,E33&gt;0,G33&gt;0,I33&gt;0),"M",""),
IF(OR(D33&gt;0,F33&gt;0,H33&gt;0,J33&gt;0),"L","")
)</f>
        <v>M</v>
      </c>
      <c r="D71" s="364">
        <f>IF(C71="M",1,IF(C71="L",2,IF(C71="M, L",3)))</f>
        <v>1</v>
      </c>
      <c r="E71" s="365">
        <f>K33</f>
        <v>1</v>
      </c>
      <c r="F71" s="366">
        <f>L33</f>
        <v>33</v>
      </c>
      <c r="G71" s="364" t="str">
        <f t="shared" si="21"/>
        <v>DROP 5</v>
      </c>
    </row>
    <row r="72" spans="1:7" ht="17.100000000000001" customHeight="1">
      <c r="A72" s="364">
        <f t="shared" si="22"/>
        <v>8</v>
      </c>
      <c r="B72" s="364" t="str">
        <f>B34</f>
        <v>NICO RUIZ</v>
      </c>
      <c r="C72" s="364" t="str">
        <f>_xlfn.TEXTJOIN(", ",TRUE,
IF(OR(C34&gt;0,E34&gt;0,G34&gt;0,I34&gt;0),"M",""),
IF(OR(D34&gt;0,F34&gt;0,H34&gt;0,J34&gt;0),"L","")
)</f>
        <v>L</v>
      </c>
      <c r="D72" s="364">
        <f>IF(C72="M",1,IF(C72="L",2,IF(C72="M, L",3)))</f>
        <v>2</v>
      </c>
      <c r="E72" s="365">
        <f>K34</f>
        <v>2</v>
      </c>
      <c r="F72" s="366">
        <f>L34</f>
        <v>66</v>
      </c>
      <c r="G72" s="364" t="str">
        <f t="shared" si="21"/>
        <v>DROP 5</v>
      </c>
    </row>
    <row r="73" spans="1:7" ht="15.95" customHeight="1">
      <c r="A73" s="364">
        <f t="shared" si="22"/>
        <v>9</v>
      </c>
      <c r="B73" s="364" t="str">
        <f>B35</f>
        <v>CAMACHO</v>
      </c>
      <c r="C73" s="364" t="str">
        <f>_xlfn.TEXTJOIN(", ",TRUE,
IF(OR(C35&gt;0,E35&gt;0,G35&gt;0,I35&gt;0),"M",""),
IF(OR(D35&gt;0,F35&gt;0,H35&gt;0,J35&gt;0),"L","")
)</f>
        <v>L</v>
      </c>
      <c r="D73" s="364">
        <f>IF(C73="M",1,IF(C73="L",2,IF(C73="M, L",3)))</f>
        <v>2</v>
      </c>
      <c r="E73" s="365">
        <f>K35</f>
        <v>1</v>
      </c>
      <c r="F73" s="366">
        <f>L35</f>
        <v>0</v>
      </c>
      <c r="G73" s="364" t="str">
        <f t="shared" si="21"/>
        <v>DROP 5</v>
      </c>
    </row>
    <row r="74" spans="1:7" ht="17.100000000000001" customHeight="1">
      <c r="A74" s="364">
        <f t="shared" si="22"/>
        <v>10</v>
      </c>
      <c r="B74" s="364" t="str">
        <f>B36</f>
        <v>CANTERO</v>
      </c>
      <c r="C74" s="364" t="str">
        <f>_xlfn.TEXTJOIN(", ",TRUE,
IF(OR(C36&gt;0,E36&gt;0,G36&gt;0,I36&gt;0),"M",""),
IF(OR(D36&gt;0,F36&gt;0,H36&gt;0,J36&gt;0),"L","")
)</f>
        <v>L</v>
      </c>
      <c r="D74" s="364">
        <f>IF(C74="M",1,IF(C74="L",2,IF(C74="M, L",3)))</f>
        <v>2</v>
      </c>
      <c r="E74" s="365">
        <f>K36</f>
        <v>1</v>
      </c>
      <c r="F74" s="366">
        <f>L36</f>
        <v>0</v>
      </c>
      <c r="G74" s="364" t="str">
        <f t="shared" si="21"/>
        <v>DROP 5</v>
      </c>
    </row>
    <row r="75" spans="1:7" ht="15.95" customHeight="1">
      <c r="A75" s="364">
        <f t="shared" si="22"/>
        <v>11</v>
      </c>
      <c r="B75" s="364" t="str">
        <f>B37</f>
        <v>PETER</v>
      </c>
      <c r="C75" s="364" t="str">
        <f>_xlfn.TEXTJOIN(", ",TRUE,
IF(OR(C37&gt;0,E37&gt;0,G37&gt;0,I37&gt;0),"M",""),
IF(OR(D37&gt;0,F37&gt;0,H37&gt;0,J37&gt;0),"L","")
)</f>
        <v>L</v>
      </c>
      <c r="D75" s="364">
        <f>IF(C75="M",1,IF(C75="L",2,IF(C75="M, L",3)))</f>
        <v>2</v>
      </c>
      <c r="E75" s="365">
        <f>K37</f>
        <v>1</v>
      </c>
      <c r="F75" s="366">
        <f>L37</f>
        <v>0</v>
      </c>
      <c r="G75" s="364" t="str">
        <f t="shared" si="21"/>
        <v>DROP 5</v>
      </c>
    </row>
    <row r="76" spans="1:7" ht="17.100000000000001" customHeight="1">
      <c r="A76" s="364">
        <f t="shared" si="22"/>
        <v>12</v>
      </c>
      <c r="B76" s="364" t="str">
        <f>B38</f>
        <v>NACHO PEREZ</v>
      </c>
      <c r="C76" s="364" t="str">
        <f>_xlfn.TEXTJOIN(", ",TRUE,
IF(OR(C38&gt;0,E38&gt;0,G38&gt;0,I38&gt;0),"M",""),
IF(OR(D38&gt;0,F38&gt;0,H38&gt;0,J38&gt;0),"L","")
)</f>
        <v>L</v>
      </c>
      <c r="D76" s="364">
        <f>IF(C76="M",1,IF(C76="L",2,IF(C76="M, L",3)))</f>
        <v>2</v>
      </c>
      <c r="E76" s="365">
        <f>K38</f>
        <v>1</v>
      </c>
      <c r="F76" s="366">
        <f>L38</f>
        <v>0</v>
      </c>
      <c r="G76" s="364" t="str">
        <f t="shared" si="21"/>
        <v>DROP 5</v>
      </c>
    </row>
    <row r="77" spans="1:7" ht="15.95" customHeight="1">
      <c r="A77" s="364">
        <f t="shared" si="22"/>
        <v>13</v>
      </c>
      <c r="B77" s="364" t="str">
        <f>B39</f>
        <v>JUANMA</v>
      </c>
      <c r="C77" s="364" t="str">
        <f>_xlfn.TEXTJOIN(", ",TRUE,
IF(OR(C39&gt;0,E39&gt;0,G39&gt;0,I39&gt;0),"M",""),
IF(OR(D39&gt;0,F39&gt;0,H39&gt;0,J39&gt;0),"L","")
)</f>
        <v>L</v>
      </c>
      <c r="D77" s="364">
        <f>IF(C77="M",1,IF(C77="L",2,IF(C77="M, L",3)))</f>
        <v>2</v>
      </c>
      <c r="E77" s="365">
        <f>K39</f>
        <v>1</v>
      </c>
      <c r="F77" s="366">
        <f>L39</f>
        <v>0</v>
      </c>
      <c r="G77" s="364" t="str">
        <f t="shared" si="21"/>
        <v>DROP 5</v>
      </c>
    </row>
    <row r="78" spans="1:7" ht="17.100000000000001" customHeight="1">
      <c r="A78" s="364">
        <f t="shared" si="22"/>
        <v>14</v>
      </c>
      <c r="B78" s="364" t="str">
        <f>B40</f>
        <v>MUÑOZ</v>
      </c>
      <c r="C78" s="364" t="str">
        <f>_xlfn.TEXTJOIN(", ",TRUE,
IF(OR(C40&gt;0,E40&gt;0,G40&gt;0,I40&gt;0),"M",""),
IF(OR(D40&gt;0,F40&gt;0,H40&gt;0,J40&gt;0),"L","")
)</f>
        <v>L</v>
      </c>
      <c r="D78" s="364">
        <f>IF(C78="M",1,IF(C78="L",2,IF(C78="M, L",3)))</f>
        <v>2</v>
      </c>
      <c r="E78" s="365">
        <f>K40</f>
        <v>2</v>
      </c>
      <c r="F78" s="366">
        <f>L40</f>
        <v>0</v>
      </c>
      <c r="G78" s="364" t="str">
        <f t="shared" si="21"/>
        <v>DROP 5</v>
      </c>
    </row>
    <row r="79" spans="1:7" ht="15.95" customHeight="1">
      <c r="A79" s="364">
        <f t="shared" si="22"/>
        <v>15</v>
      </c>
      <c r="B79" s="364" t="str">
        <f>B41</f>
        <v>PUIG AMIGO JACO</v>
      </c>
      <c r="C79" s="364" t="str">
        <f>_xlfn.TEXTJOIN(", ",TRUE,
IF(OR(C41&gt;0,E41&gt;0,G41&gt;0,I41&gt;0),"M",""),
IF(OR(D41&gt;0,F41&gt;0,H41&gt;0,J41&gt;0),"L","")
)</f>
        <v>M</v>
      </c>
      <c r="D79" s="364">
        <f>IF(C79="M",1,IF(C79="L",2,IF(C79="M, L",3)))</f>
        <v>1</v>
      </c>
      <c r="E79" s="365">
        <f>K41</f>
        <v>1</v>
      </c>
      <c r="F79" s="366">
        <f>L41</f>
        <v>0</v>
      </c>
      <c r="G79" s="364" t="str">
        <f t="shared" si="21"/>
        <v>DROP 5</v>
      </c>
    </row>
    <row r="80" spans="1:7" ht="17.100000000000001" customHeight="1">
      <c r="A80" s="364">
        <f t="shared" si="22"/>
        <v>16</v>
      </c>
      <c r="B80" s="364" t="str">
        <f>B42</f>
        <v>MMEDRANO</v>
      </c>
      <c r="C80" s="364" t="str">
        <f>_xlfn.TEXTJOIN(", ",TRUE,
IF(OR(C42&gt;0,E42&gt;0,G42&gt;0,I42&gt;0),"M",""),
IF(OR(D42&gt;0,F42&gt;0,H42&gt;0,J42&gt;0),"L","")
)</f>
        <v/>
      </c>
      <c r="D80" s="364" t="b">
        <f>IF(C80="M",1,IF(C80="L",2,IF(C80="M, L",3)))</f>
        <v>0</v>
      </c>
      <c r="E80" s="365">
        <f>K42</f>
        <v>0</v>
      </c>
      <c r="F80" s="366">
        <f>L42</f>
        <v>0</v>
      </c>
      <c r="G80" s="364" t="str">
        <f t="shared" si="21"/>
        <v>DROP 5</v>
      </c>
    </row>
    <row r="81" spans="1:7" ht="15.95" customHeight="1">
      <c r="A81" s="364">
        <f t="shared" si="22"/>
        <v>17</v>
      </c>
      <c r="B81" s="364" t="str">
        <f t="shared" ref="B81:B99" si="23">B43</f>
        <v>LUCAS MARTINEZ</v>
      </c>
      <c r="C81" s="364" t="str">
        <f t="shared" ref="C81:C99" si="24">_xlfn.TEXTJOIN(", ",TRUE,
IF(OR(C43&gt;0,E43&gt;0,G43&gt;0,I43&gt;0),"M",""),
IF(OR(D43&gt;0,F43&gt;0,H43&gt;0,J43&gt;0),"L","")
)</f>
        <v>M</v>
      </c>
      <c r="D81" s="364">
        <f>IF(C81="M",1,IF(C81="L",2,IF(C81="M, L",3)))</f>
        <v>1</v>
      </c>
      <c r="E81" s="365">
        <f>K43</f>
        <v>1</v>
      </c>
      <c r="F81" s="366">
        <f>L43</f>
        <v>0</v>
      </c>
      <c r="G81" s="364" t="str">
        <f t="shared" si="21"/>
        <v>DROP 5</v>
      </c>
    </row>
    <row r="82" spans="1:7" ht="17.100000000000001" customHeight="1">
      <c r="A82" s="364">
        <f t="shared" si="22"/>
        <v>18</v>
      </c>
      <c r="B82" s="364" t="str">
        <f t="shared" si="23"/>
        <v>ALVARO GOMEZ</v>
      </c>
      <c r="C82" s="364" t="str">
        <f t="shared" si="24"/>
        <v>L</v>
      </c>
      <c r="D82" s="364">
        <f>IF(C82="M",1,IF(C82="L",2,IF(C82="M, L",3)))</f>
        <v>2</v>
      </c>
      <c r="E82" s="365">
        <f>K44</f>
        <v>2</v>
      </c>
      <c r="F82" s="366">
        <f>L44</f>
        <v>0</v>
      </c>
      <c r="G82" s="364" t="str">
        <f t="shared" si="21"/>
        <v>DROP 5</v>
      </c>
    </row>
    <row r="83" spans="1:7" ht="15.95" customHeight="1">
      <c r="A83" s="364">
        <f t="shared" si="22"/>
        <v>19</v>
      </c>
      <c r="B83" s="364" t="str">
        <f t="shared" si="23"/>
        <v>ALEX GARCIA</v>
      </c>
      <c r="C83" s="364" t="str">
        <f t="shared" si="24"/>
        <v>M</v>
      </c>
      <c r="D83" s="364">
        <f>IF(C83="M",1,IF(C83="L",2,IF(C83="M, L",3)))</f>
        <v>1</v>
      </c>
      <c r="E83" s="365">
        <f>K45</f>
        <v>1</v>
      </c>
      <c r="F83" s="366">
        <f>L45</f>
        <v>0</v>
      </c>
      <c r="G83" s="364" t="str">
        <f t="shared" si="21"/>
        <v>DROP 5</v>
      </c>
    </row>
    <row r="84" spans="1:7" ht="17.100000000000001" customHeight="1">
      <c r="A84" s="364">
        <f t="shared" si="22"/>
        <v>20</v>
      </c>
      <c r="B84" s="364" t="str">
        <f t="shared" si="23"/>
        <v>SUAREZ</v>
      </c>
      <c r="C84" s="364" t="str">
        <f t="shared" si="24"/>
        <v>L</v>
      </c>
      <c r="D84" s="364">
        <f>IF(C84="M",1,IF(C84="L",2,IF(C84="M, L",3)))</f>
        <v>2</v>
      </c>
      <c r="E84" s="365">
        <f>K46</f>
        <v>1</v>
      </c>
      <c r="F84" s="366">
        <f>L46</f>
        <v>0</v>
      </c>
      <c r="G84" s="364" t="str">
        <f t="shared" si="21"/>
        <v>DROP 5</v>
      </c>
    </row>
    <row r="85" spans="1:7" ht="15.95" customHeight="1">
      <c r="A85" s="364">
        <f t="shared" si="22"/>
        <v>21</v>
      </c>
      <c r="B85" s="364" t="str">
        <f t="shared" si="23"/>
        <v>JORGE CALVO</v>
      </c>
      <c r="C85" s="364" t="str">
        <f t="shared" si="24"/>
        <v/>
      </c>
      <c r="D85" s="364" t="b">
        <f>IF(C85="M",1,IF(C85="L",2,IF(C85="M, L",3)))</f>
        <v>0</v>
      </c>
      <c r="E85" s="365">
        <f>K47</f>
        <v>0</v>
      </c>
      <c r="F85" s="366">
        <f>L47</f>
        <v>0</v>
      </c>
      <c r="G85" s="364" t="str">
        <f t="shared" si="21"/>
        <v>DROP 5</v>
      </c>
    </row>
    <row r="86" spans="1:7" ht="17.100000000000001" customHeight="1">
      <c r="A86" s="364">
        <f t="shared" si="22"/>
        <v>22</v>
      </c>
      <c r="B86" s="364" t="str">
        <f t="shared" si="23"/>
        <v>QUINTANA</v>
      </c>
      <c r="C86" s="364" t="str">
        <f t="shared" si="24"/>
        <v>L</v>
      </c>
      <c r="D86" s="364">
        <f>IF(C86="M",1,IF(C86="L",2,IF(C86="M, L",3)))</f>
        <v>2</v>
      </c>
      <c r="E86" s="365">
        <f>K48</f>
        <v>1</v>
      </c>
      <c r="F86" s="366">
        <f>L48</f>
        <v>0</v>
      </c>
      <c r="G86" s="364" t="str">
        <f t="shared" si="21"/>
        <v>DROP 5</v>
      </c>
    </row>
    <row r="87" spans="1:7" ht="15.95" customHeight="1">
      <c r="A87" s="364">
        <f t="shared" si="22"/>
        <v>23</v>
      </c>
      <c r="B87" s="364" t="str">
        <f t="shared" si="23"/>
        <v>JORGE PUIG</v>
      </c>
      <c r="C87" s="364" t="str">
        <f t="shared" si="24"/>
        <v>L</v>
      </c>
      <c r="D87" s="364">
        <f>IF(C87="M",1,IF(C87="L",2,IF(C87="M, L",3)))</f>
        <v>2</v>
      </c>
      <c r="E87" s="365">
        <f>K49</f>
        <v>1</v>
      </c>
      <c r="F87" s="366">
        <f>L49</f>
        <v>0</v>
      </c>
      <c r="G87" s="364" t="str">
        <f t="shared" si="21"/>
        <v>DROP 5</v>
      </c>
    </row>
    <row r="88" spans="1:7" ht="17.100000000000001" customHeight="1">
      <c r="A88" s="364">
        <f t="shared" si="22"/>
        <v>24</v>
      </c>
      <c r="B88" s="364">
        <f t="shared" si="23"/>
        <v>0</v>
      </c>
      <c r="C88" s="364" t="str">
        <f t="shared" si="24"/>
        <v>M</v>
      </c>
      <c r="D88" s="364">
        <f>IF(C88="M",1,IF(C88="L",2,IF(C88="M, L",3)))</f>
        <v>1</v>
      </c>
      <c r="E88" s="365">
        <f>K50</f>
        <v>1</v>
      </c>
      <c r="F88" s="366">
        <f>L50</f>
        <v>0</v>
      </c>
      <c r="G88" s="364" t="str">
        <f t="shared" si="21"/>
        <v>DROP 5</v>
      </c>
    </row>
    <row r="89" spans="1:7" ht="15.95" customHeight="1">
      <c r="A89" s="364">
        <f t="shared" si="22"/>
        <v>25</v>
      </c>
      <c r="B89" s="364">
        <f t="shared" si="23"/>
        <v>0</v>
      </c>
      <c r="C89" s="364" t="str">
        <f t="shared" si="24"/>
        <v/>
      </c>
      <c r="D89" s="364" t="b">
        <f>IF(C89="M",1,IF(C89="L",2,IF(C89="M, L",3)))</f>
        <v>0</v>
      </c>
      <c r="E89" s="365">
        <f>K51</f>
        <v>0</v>
      </c>
      <c r="F89" s="366">
        <f>L51</f>
        <v>0</v>
      </c>
      <c r="G89" s="364" t="str">
        <f t="shared" si="21"/>
        <v>DROP 5</v>
      </c>
    </row>
    <row r="90" spans="1:7" ht="17.100000000000001" customHeight="1">
      <c r="A90" s="364">
        <f t="shared" si="22"/>
        <v>26</v>
      </c>
      <c r="B90" s="364">
        <f t="shared" si="23"/>
        <v>0</v>
      </c>
      <c r="C90" s="364" t="str">
        <f t="shared" si="24"/>
        <v/>
      </c>
      <c r="D90" s="364" t="b">
        <f>IF(C90="M",1,IF(C90="L",2,IF(C90="M, L",3)))</f>
        <v>0</v>
      </c>
      <c r="E90" s="365">
        <f>K52</f>
        <v>0</v>
      </c>
      <c r="F90" s="366">
        <f>L52</f>
        <v>0</v>
      </c>
      <c r="G90" s="364" t="str">
        <f t="shared" si="21"/>
        <v>DROP 5</v>
      </c>
    </row>
    <row r="91" spans="1:7" ht="15.95" customHeight="1">
      <c r="A91" s="364">
        <f t="shared" si="22"/>
        <v>27</v>
      </c>
      <c r="B91" s="364">
        <f t="shared" si="23"/>
        <v>0</v>
      </c>
      <c r="C91" s="364" t="str">
        <f t="shared" si="24"/>
        <v/>
      </c>
      <c r="D91" s="364" t="b">
        <f>IF(C91="M",1,IF(C91="L",2,IF(C91="M, L",3)))</f>
        <v>0</v>
      </c>
      <c r="E91" s="365">
        <f>K53</f>
        <v>0</v>
      </c>
      <c r="F91" s="366">
        <f>L53</f>
        <v>0</v>
      </c>
      <c r="G91" s="364" t="str">
        <f t="shared" si="21"/>
        <v>DROP 5</v>
      </c>
    </row>
    <row r="92" spans="1:7" ht="17.100000000000001" customHeight="1">
      <c r="A92" s="364">
        <f t="shared" si="22"/>
        <v>28</v>
      </c>
      <c r="B92" s="364">
        <f t="shared" si="23"/>
        <v>0</v>
      </c>
      <c r="C92" s="364" t="str">
        <f t="shared" si="24"/>
        <v/>
      </c>
      <c r="D92" s="364" t="b">
        <f>IF(C92="M",1,IF(C92="L",2,IF(C92="M, L",3)))</f>
        <v>0</v>
      </c>
      <c r="E92" s="365">
        <f>K54</f>
        <v>0</v>
      </c>
      <c r="F92" s="366">
        <f>L54</f>
        <v>0</v>
      </c>
      <c r="G92" s="364" t="str">
        <f t="shared" si="21"/>
        <v>DROP 5</v>
      </c>
    </row>
    <row r="93" spans="1:7" ht="15.95" customHeight="1">
      <c r="A93" s="364">
        <f t="shared" si="22"/>
        <v>29</v>
      </c>
      <c r="B93" s="364">
        <f t="shared" si="23"/>
        <v>0</v>
      </c>
      <c r="C93" s="364" t="str">
        <f t="shared" si="24"/>
        <v/>
      </c>
      <c r="D93" s="364" t="b">
        <f>IF(C93="M",1,IF(C93="L",2,IF(C93="M, L",3)))</f>
        <v>0</v>
      </c>
      <c r="E93" s="365">
        <f>K55</f>
        <v>0</v>
      </c>
      <c r="F93" s="366">
        <f>L55</f>
        <v>0</v>
      </c>
      <c r="G93" s="364" t="str">
        <f t="shared" si="21"/>
        <v>DROP 5</v>
      </c>
    </row>
    <row r="94" spans="1:7" ht="17.100000000000001" customHeight="1">
      <c r="A94" s="364">
        <f t="shared" si="22"/>
        <v>30</v>
      </c>
      <c r="B94" s="364">
        <f t="shared" si="23"/>
        <v>0</v>
      </c>
      <c r="C94" s="364" t="str">
        <f t="shared" si="24"/>
        <v/>
      </c>
      <c r="D94" s="364" t="b">
        <f>IF(C94="M",1,IF(C94="L",2,IF(C94="M, L",3)))</f>
        <v>0</v>
      </c>
      <c r="E94" s="365">
        <f>K56</f>
        <v>0</v>
      </c>
      <c r="F94" s="366">
        <f>L56</f>
        <v>0</v>
      </c>
      <c r="G94" s="364" t="str">
        <f t="shared" si="21"/>
        <v>DROP 5</v>
      </c>
    </row>
    <row r="95" spans="1:7" ht="15.95" customHeight="1">
      <c r="A95" s="364">
        <f t="shared" si="22"/>
        <v>31</v>
      </c>
      <c r="B95" s="364">
        <f t="shared" si="23"/>
        <v>0</v>
      </c>
      <c r="C95" s="364" t="str">
        <f t="shared" si="24"/>
        <v/>
      </c>
      <c r="D95" s="364" t="b">
        <f>IF(C95="M",1,IF(C95="L",2,IF(C95="M, L",3)))</f>
        <v>0</v>
      </c>
      <c r="E95" s="365">
        <f>K57</f>
        <v>0</v>
      </c>
      <c r="F95" s="366">
        <f>L57</f>
        <v>0</v>
      </c>
      <c r="G95" s="364" t="str">
        <f t="shared" si="21"/>
        <v>DROP 5</v>
      </c>
    </row>
    <row r="96" spans="1:7" ht="17.100000000000001" customHeight="1">
      <c r="A96" s="364">
        <f t="shared" si="22"/>
        <v>32</v>
      </c>
      <c r="B96" s="364">
        <f t="shared" si="23"/>
        <v>0</v>
      </c>
      <c r="C96" s="364" t="str">
        <f t="shared" si="24"/>
        <v/>
      </c>
      <c r="D96" s="364" t="b">
        <f>IF(C96="M",1,IF(C96="L",2,IF(C96="M, L",3)))</f>
        <v>0</v>
      </c>
      <c r="E96" s="365">
        <f>K58</f>
        <v>0</v>
      </c>
      <c r="F96" s="366">
        <f>L58</f>
        <v>0</v>
      </c>
      <c r="G96" s="364" t="str">
        <f t="shared" si="21"/>
        <v>DROP 5</v>
      </c>
    </row>
    <row r="97" spans="1:7" ht="15.95" customHeight="1">
      <c r="A97" s="364">
        <f t="shared" si="22"/>
        <v>33</v>
      </c>
      <c r="B97" s="364">
        <f t="shared" si="23"/>
        <v>0</v>
      </c>
      <c r="C97" s="364" t="str">
        <f t="shared" si="24"/>
        <v/>
      </c>
      <c r="D97" s="364" t="b">
        <f>IF(C97="M",1,IF(C97="L",2,IF(C97="M, L",3)))</f>
        <v>0</v>
      </c>
      <c r="E97" s="365">
        <f>K59</f>
        <v>0</v>
      </c>
      <c r="F97" s="366">
        <f>L59</f>
        <v>0</v>
      </c>
      <c r="G97" s="364" t="str">
        <f t="shared" si="21"/>
        <v>DROP 5</v>
      </c>
    </row>
    <row r="98" spans="1:7" ht="17.100000000000001" customHeight="1">
      <c r="A98" s="364">
        <f t="shared" si="22"/>
        <v>34</v>
      </c>
      <c r="B98" s="364">
        <f t="shared" si="23"/>
        <v>0</v>
      </c>
      <c r="C98" s="364" t="str">
        <f t="shared" si="24"/>
        <v/>
      </c>
      <c r="D98" s="364" t="b">
        <f>IF(C98="M",1,IF(C98="L",2,IF(C98="M, L",3)))</f>
        <v>0</v>
      </c>
      <c r="E98" s="365">
        <f>K60</f>
        <v>0</v>
      </c>
      <c r="F98" s="366">
        <f>L60</f>
        <v>0</v>
      </c>
      <c r="G98" s="364" t="str">
        <f t="shared" si="21"/>
        <v>DROP 5</v>
      </c>
    </row>
    <row r="99" spans="1:7" ht="15.95" customHeight="1">
      <c r="A99" s="364">
        <f t="shared" si="22"/>
        <v>35</v>
      </c>
      <c r="B99" s="364">
        <f t="shared" si="23"/>
        <v>0</v>
      </c>
      <c r="C99" s="364" t="str">
        <f t="shared" si="24"/>
        <v/>
      </c>
      <c r="D99" s="364" t="b">
        <f>IF(C99="M",1,IF(C99="L",2,IF(C99="M, L",3)))</f>
        <v>0</v>
      </c>
      <c r="E99" s="365">
        <f>K61</f>
        <v>0</v>
      </c>
      <c r="F99" s="366">
        <f>L61</f>
        <v>0</v>
      </c>
      <c r="G99" s="364" t="str">
        <f t="shared" si="21"/>
        <v>DROP 5</v>
      </c>
    </row>
    <row r="100" spans="1:7" ht="17.100000000000001" customHeight="1"/>
    <row r="101" spans="1:7" ht="15.95" customHeight="1"/>
    <row r="102" spans="1:7" ht="17.100000000000001" customHeight="1"/>
    <row r="103" spans="1:7" ht="15.95" customHeight="1"/>
    <row r="104" spans="1:7" ht="17.100000000000001" customHeight="1"/>
    <row r="105" spans="1:7" ht="15.95" customHeight="1"/>
    <row r="106" spans="1:7" ht="17.100000000000001" customHeight="1"/>
    <row r="107" spans="1:7" ht="15.95" customHeight="1"/>
    <row r="108" spans="1:7" ht="17.100000000000001" customHeight="1"/>
    <row r="109" spans="1:7" ht="15.95" customHeight="1"/>
    <row r="110" spans="1:7" ht="17.100000000000001" customHeight="1"/>
    <row r="111" spans="1:7" ht="15.95" customHeight="1"/>
    <row r="112" spans="1:7" ht="17.100000000000001" customHeight="1"/>
    <row r="113" ht="15.95" customHeight="1"/>
    <row r="114" ht="17.100000000000001" customHeight="1"/>
    <row r="115" ht="15.95" customHeight="1"/>
    <row r="116" ht="17.100000000000001" customHeight="1"/>
  </sheetData>
  <mergeCells count="5">
    <mergeCell ref="B2:D3"/>
    <mergeCell ref="C22:D22"/>
    <mergeCell ref="E22:F22"/>
    <mergeCell ref="G22:H22"/>
    <mergeCell ref="I22:J2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3ECE16-9216-D84B-A8F3-8ECE7A4B84D1}">
          <x14:formula1>
            <xm:f>CLIENTES!$A$2:$A$1048576</xm:f>
          </x14:formula1>
          <xm:sqref>B27:B61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A09C-EB97-A04B-9213-6C5D6431FD67}">
  <sheetPr>
    <tabColor theme="0"/>
  </sheetPr>
  <dimension ref="A1:AI100"/>
  <sheetViews>
    <sheetView showGridLines="0" tabSelected="1" zoomScale="92" zoomScaleNormal="154" workbookViewId="0">
      <selection activeCell="S65" sqref="S65"/>
    </sheetView>
  </sheetViews>
  <sheetFormatPr defaultColWidth="10.875" defaultRowHeight="15"/>
  <cols>
    <col min="2" max="2" width="29.5" customWidth="1"/>
    <col min="3" max="4" width="10.875" customWidth="1"/>
    <col min="6" max="6" width="12" bestFit="1" customWidth="1"/>
    <col min="16" max="16" width="21.875" customWidth="1"/>
    <col min="22" max="22" width="11.375" bestFit="1" customWidth="1"/>
    <col min="25" max="25" width="11.375" bestFit="1" customWidth="1"/>
    <col min="29" max="29" width="24.75" bestFit="1" customWidth="1"/>
    <col min="35" max="35" width="11" bestFit="1" customWidth="1"/>
  </cols>
  <sheetData>
    <row r="1" spans="2:35" ht="15.75" thickBot="1"/>
    <row r="2" spans="2:35" ht="15.75" thickBot="1">
      <c r="B2" s="402" t="s">
        <v>18</v>
      </c>
      <c r="C2" s="403"/>
      <c r="D2" s="403"/>
      <c r="S2" s="331" t="s">
        <v>116</v>
      </c>
      <c r="T2" s="213" t="s">
        <v>117</v>
      </c>
      <c r="U2" s="213" t="s">
        <v>16</v>
      </c>
      <c r="V2" s="213" t="s">
        <v>13</v>
      </c>
      <c r="W2" s="213" t="s">
        <v>118</v>
      </c>
      <c r="X2" s="213" t="s">
        <v>4</v>
      </c>
      <c r="Y2" s="213" t="s">
        <v>119</v>
      </c>
      <c r="Z2" s="213" t="s">
        <v>103</v>
      </c>
      <c r="AA2" s="214" t="s">
        <v>113</v>
      </c>
      <c r="AC2" s="315" t="s">
        <v>120</v>
      </c>
      <c r="AD2" s="202" t="s">
        <v>121</v>
      </c>
      <c r="AE2" s="202" t="s">
        <v>16</v>
      </c>
      <c r="AF2" s="202" t="s">
        <v>13</v>
      </c>
      <c r="AG2" s="202" t="s">
        <v>118</v>
      </c>
      <c r="AH2" s="202" t="s">
        <v>4</v>
      </c>
      <c r="AI2" s="203" t="s">
        <v>113</v>
      </c>
    </row>
    <row r="3" spans="2:35" ht="15.75" thickBot="1">
      <c r="B3" s="404"/>
      <c r="C3" s="405"/>
      <c r="D3" s="405"/>
      <c r="S3" s="354" t="s">
        <v>380</v>
      </c>
      <c r="T3" s="355">
        <v>16.989999999999998</v>
      </c>
      <c r="U3" s="356">
        <v>7</v>
      </c>
      <c r="V3" s="356">
        <v>9</v>
      </c>
      <c r="W3" s="356">
        <v>2</v>
      </c>
      <c r="X3" s="311">
        <f>SUM(U3:W3)</f>
        <v>18</v>
      </c>
      <c r="Y3" s="332">
        <f>IFERROR($AA$12/$X$9,"-")</f>
        <v>0</v>
      </c>
      <c r="Z3" s="375">
        <f>IFERROR(T3+Y3,"-")</f>
        <v>16.989999999999998</v>
      </c>
      <c r="AA3" s="251">
        <f>IFERROR(X3*Z3,"-")</f>
        <v>305.82</v>
      </c>
      <c r="AC3" s="302" t="str">
        <f>$S$3</f>
        <v>Blanco</v>
      </c>
      <c r="AD3" s="309">
        <f>T40</f>
        <v>35</v>
      </c>
      <c r="AE3" s="310">
        <f>U40-U49</f>
        <v>6</v>
      </c>
      <c r="AF3" s="310">
        <f>V40-V49</f>
        <v>8</v>
      </c>
      <c r="AG3" s="310">
        <f>W40-W49</f>
        <v>2</v>
      </c>
      <c r="AH3" s="310">
        <f>SUM(AE3:AG3)</f>
        <v>16</v>
      </c>
      <c r="AI3" s="252">
        <f>IFERROR(AD3*AH3,"-")</f>
        <v>560</v>
      </c>
    </row>
    <row r="4" spans="2:35" ht="15.75" thickBot="1">
      <c r="B4" s="63"/>
      <c r="C4" s="63"/>
      <c r="D4" s="63"/>
      <c r="S4" s="357" t="s">
        <v>381</v>
      </c>
      <c r="T4" s="358">
        <v>17.989999999999998</v>
      </c>
      <c r="U4" s="359">
        <v>6</v>
      </c>
      <c r="V4" s="359">
        <v>8</v>
      </c>
      <c r="W4" s="359">
        <v>1</v>
      </c>
      <c r="X4" s="310">
        <f>SUM(U4:W4)</f>
        <v>15</v>
      </c>
      <c r="Y4" s="309">
        <f>IFERROR($AA$12/$X$9,"-")</f>
        <v>0</v>
      </c>
      <c r="Z4" s="309">
        <f>IFERROR(T4+Y4,"-")</f>
        <v>17.989999999999998</v>
      </c>
      <c r="AA4" s="252">
        <f t="shared" ref="AA4:AA8" si="0">IFERROR(X4*Z4,"-")</f>
        <v>269.84999999999997</v>
      </c>
      <c r="AC4" s="302" t="str">
        <f>$S$4</f>
        <v>Negro</v>
      </c>
      <c r="AD4" s="309">
        <f>T41</f>
        <v>35</v>
      </c>
      <c r="AE4" s="310">
        <f>U41-U50</f>
        <v>5</v>
      </c>
      <c r="AF4" s="310">
        <f>V41-V50</f>
        <v>7</v>
      </c>
      <c r="AG4" s="310">
        <f>W41-W50</f>
        <v>1</v>
      </c>
      <c r="AH4" s="310">
        <f>SUM(AE4:AG4)</f>
        <v>13</v>
      </c>
      <c r="AI4" s="252">
        <f>IFERROR(AD4*AH4,"-")</f>
        <v>455</v>
      </c>
    </row>
    <row r="5" spans="2:35" ht="15.75" thickBot="1">
      <c r="B5" s="63"/>
      <c r="C5" s="300" t="s">
        <v>122</v>
      </c>
      <c r="D5" s="301" t="s">
        <v>123</v>
      </c>
      <c r="S5" s="357"/>
      <c r="T5" s="358"/>
      <c r="U5" s="359"/>
      <c r="V5" s="359"/>
      <c r="W5" s="359"/>
      <c r="X5" s="310">
        <f t="shared" ref="X5:X7" si="1">SUM(U5:W5)</f>
        <v>0</v>
      </c>
      <c r="Y5" s="309">
        <f>IFERROR($AA$12/$X$9,"-")</f>
        <v>0</v>
      </c>
      <c r="Z5" s="309">
        <f>IFERROR(T5+Y5,"-")</f>
        <v>0</v>
      </c>
      <c r="AA5" s="252">
        <f t="shared" si="0"/>
        <v>0</v>
      </c>
      <c r="AC5" s="302">
        <f>$S$5</f>
        <v>0</v>
      </c>
      <c r="AD5" s="309">
        <f>T42</f>
        <v>0</v>
      </c>
      <c r="AE5" s="310">
        <f>U42-U51</f>
        <v>0</v>
      </c>
      <c r="AF5" s="310">
        <f>V42-V51</f>
        <v>0</v>
      </c>
      <c r="AG5" s="310">
        <f>W42-W51</f>
        <v>0</v>
      </c>
      <c r="AH5" s="310">
        <f>SUM(AE5:AG5)</f>
        <v>0</v>
      </c>
      <c r="AI5" s="252">
        <f>IFERROR(AD5*AH5,"-")</f>
        <v>0</v>
      </c>
    </row>
    <row r="6" spans="2:35">
      <c r="B6" s="270" t="s">
        <v>98</v>
      </c>
      <c r="C6" s="266">
        <f>AI9</f>
        <v>1015</v>
      </c>
      <c r="D6" s="267">
        <f>SUM(P30:$P$64)</f>
        <v>0</v>
      </c>
      <c r="S6" s="357"/>
      <c r="T6" s="358"/>
      <c r="U6" s="359"/>
      <c r="V6" s="359"/>
      <c r="W6" s="359"/>
      <c r="X6" s="310">
        <f t="shared" si="1"/>
        <v>0</v>
      </c>
      <c r="Y6" s="309">
        <f>IFERROR($AA$12/$X$9,"-")</f>
        <v>0</v>
      </c>
      <c r="Z6" s="309">
        <f>IFERROR(T6+Y6,"-")</f>
        <v>0</v>
      </c>
      <c r="AA6" s="252">
        <f t="shared" si="0"/>
        <v>0</v>
      </c>
      <c r="AC6" s="302">
        <f>$S$6</f>
        <v>0</v>
      </c>
      <c r="AD6" s="309">
        <f>T43</f>
        <v>0</v>
      </c>
      <c r="AE6" s="310">
        <f>U43-U52</f>
        <v>0</v>
      </c>
      <c r="AF6" s="310">
        <f>V43-V52</f>
        <v>0</v>
      </c>
      <c r="AG6" s="310">
        <f>W43-W52</f>
        <v>0</v>
      </c>
      <c r="AH6" s="310">
        <f>SUM(AE6:AG6)</f>
        <v>0</v>
      </c>
      <c r="AI6" s="252">
        <f>IFERROR(AD6*AH6,"-")</f>
        <v>0</v>
      </c>
    </row>
    <row r="7" spans="2:35">
      <c r="B7" s="271" t="s">
        <v>124</v>
      </c>
      <c r="C7" s="268">
        <v>0</v>
      </c>
      <c r="D7" s="269"/>
      <c r="S7" s="343"/>
      <c r="T7" s="359"/>
      <c r="U7" s="359"/>
      <c r="V7" s="359"/>
      <c r="W7" s="359"/>
      <c r="X7" s="310">
        <f t="shared" si="1"/>
        <v>0</v>
      </c>
      <c r="Y7" s="309">
        <f>IFERROR($AA$12/$X$9,"-")</f>
        <v>0</v>
      </c>
      <c r="Z7" s="309">
        <f>IFERROR(T7+Y7,"-")</f>
        <v>0</v>
      </c>
      <c r="AA7" s="252">
        <f t="shared" si="0"/>
        <v>0</v>
      </c>
      <c r="AC7" s="278"/>
      <c r="AD7" s="310"/>
      <c r="AE7" s="310">
        <f>U44-U53</f>
        <v>0</v>
      </c>
      <c r="AF7" s="310">
        <f>V44-V53</f>
        <v>0</v>
      </c>
      <c r="AG7" s="310">
        <f>W44-W53</f>
        <v>0</v>
      </c>
      <c r="AH7" s="310">
        <f>SUM(AE7:AG7)</f>
        <v>0</v>
      </c>
      <c r="AI7" s="323">
        <f>IFERROR(AD7*AH7,"-")</f>
        <v>0</v>
      </c>
    </row>
    <row r="8" spans="2:35" ht="15.75" thickBot="1">
      <c r="B8" s="273" t="s">
        <v>125</v>
      </c>
      <c r="C8" s="257">
        <f>SUM(C6:C7)</f>
        <v>1015</v>
      </c>
      <c r="D8" s="258">
        <f>SUM(D6:D7)</f>
        <v>0</v>
      </c>
      <c r="S8" s="347"/>
      <c r="T8" s="360"/>
      <c r="U8" s="360"/>
      <c r="V8" s="360"/>
      <c r="W8" s="360"/>
      <c r="X8" s="312">
        <f>SUM(U8:W8)</f>
        <v>0</v>
      </c>
      <c r="Y8" s="328">
        <f>IFERROR($AA$12/$X$9,"-")</f>
        <v>0</v>
      </c>
      <c r="Z8" s="328">
        <f>IFERROR(T8+Y8,"-")</f>
        <v>0</v>
      </c>
      <c r="AA8" s="253">
        <f t="shared" si="0"/>
        <v>0</v>
      </c>
      <c r="AC8" s="279"/>
      <c r="AD8" s="312"/>
      <c r="AE8" s="312">
        <f>U45-U54</f>
        <v>0</v>
      </c>
      <c r="AF8" s="312">
        <f>V45-V54</f>
        <v>0</v>
      </c>
      <c r="AG8" s="312">
        <f>W45-W54</f>
        <v>0</v>
      </c>
      <c r="AH8" s="312">
        <f>SUM(AE8:AG8)</f>
        <v>0</v>
      </c>
      <c r="AI8" s="324">
        <f>IFERROR(AD8*AH8,"-")</f>
        <v>0</v>
      </c>
    </row>
    <row r="9" spans="2:35" ht="15.75" thickBot="1">
      <c r="B9" s="272" t="s">
        <v>126</v>
      </c>
      <c r="C9" s="259">
        <f>-$Z$28</f>
        <v>-575.66999999999996</v>
      </c>
      <c r="D9" s="260">
        <f>C9</f>
        <v>-575.66999999999996</v>
      </c>
      <c r="S9" s="313" t="s">
        <v>113</v>
      </c>
      <c r="T9" s="308"/>
      <c r="U9" s="308"/>
      <c r="V9" s="308"/>
      <c r="W9" s="308"/>
      <c r="X9" s="308">
        <f>SUM(X3:X8)</f>
        <v>33</v>
      </c>
      <c r="Y9" s="329"/>
      <c r="Z9" s="308"/>
      <c r="AA9" s="314">
        <f>SUM(AA3:AA8)</f>
        <v>575.66999999999996</v>
      </c>
      <c r="AC9" s="305" t="s">
        <v>127</v>
      </c>
      <c r="AD9" s="306"/>
      <c r="AE9" s="306"/>
      <c r="AF9" s="306"/>
      <c r="AG9" s="321"/>
      <c r="AH9" s="333">
        <f>SUM(AH3:AH8)</f>
        <v>29</v>
      </c>
      <c r="AI9" s="307">
        <f>SUM(AI3:AI8)</f>
        <v>1015</v>
      </c>
    </row>
    <row r="10" spans="2:35">
      <c r="B10" s="272" t="s">
        <v>128</v>
      </c>
      <c r="C10" s="259">
        <f>-$X$37</f>
        <v>-174.24</v>
      </c>
      <c r="D10" s="260">
        <f>C10</f>
        <v>-174.24</v>
      </c>
      <c r="S10" s="357" t="s">
        <v>129</v>
      </c>
      <c r="T10" s="361"/>
      <c r="U10" s="361"/>
      <c r="V10" s="361"/>
      <c r="W10" s="361"/>
      <c r="X10" s="361"/>
      <c r="Y10" s="361"/>
      <c r="Z10" s="361"/>
      <c r="AA10" s="362"/>
    </row>
    <row r="11" spans="2:35">
      <c r="B11" s="272" t="s">
        <v>130</v>
      </c>
      <c r="C11" s="259">
        <f>-('A33 (NEW)'!AE3*'D1'!AH9)-('A33 (NEW)'!AE4*'D1'!X9)</f>
        <v>-74.2547</v>
      </c>
      <c r="D11" s="260">
        <f>-('A33 (NEW)'!AE3*'D1'!O27)-('A33 (NEW)'!AE4*'D1'!X9)</f>
        <v>-31.152000000000001</v>
      </c>
      <c r="S11" s="357" t="s">
        <v>130</v>
      </c>
      <c r="T11" s="361"/>
      <c r="U11" s="361"/>
      <c r="V11" s="361"/>
      <c r="W11" s="361"/>
      <c r="X11" s="361"/>
      <c r="Y11" s="361"/>
      <c r="Z11" s="361"/>
      <c r="AA11" s="362"/>
    </row>
    <row r="12" spans="2:35" ht="15.75" thickBot="1">
      <c r="B12" s="272"/>
      <c r="C12" s="259"/>
      <c r="D12" s="260"/>
      <c r="S12" s="274" t="s">
        <v>131</v>
      </c>
      <c r="T12" s="325"/>
      <c r="U12" s="325"/>
      <c r="V12" s="325"/>
      <c r="W12" s="325"/>
      <c r="X12" s="325"/>
      <c r="Y12" s="325"/>
      <c r="Z12" s="325"/>
      <c r="AA12" s="326">
        <f>SUM(AA10:AA11)</f>
        <v>0</v>
      </c>
    </row>
    <row r="13" spans="2:35" ht="15.75" thickBot="1">
      <c r="B13" s="271"/>
      <c r="C13" s="255"/>
      <c r="D13" s="256"/>
      <c r="S13" s="305" t="s">
        <v>132</v>
      </c>
      <c r="T13" s="306"/>
      <c r="U13" s="306"/>
      <c r="V13" s="306"/>
      <c r="W13" s="306"/>
      <c r="X13" s="306"/>
      <c r="Y13" s="306"/>
      <c r="Z13" s="306"/>
      <c r="AA13" s="307">
        <f>AA9</f>
        <v>575.66999999999996</v>
      </c>
    </row>
    <row r="14" spans="2:35" ht="15.75" thickBot="1">
      <c r="B14" s="273" t="s">
        <v>133</v>
      </c>
      <c r="C14" s="257">
        <f>SUM(C9:C13)</f>
        <v>-824.16469999999993</v>
      </c>
      <c r="D14" s="258">
        <f>SUM(D9:D13)</f>
        <v>-781.06200000000001</v>
      </c>
      <c r="AA14" s="276">
        <f>T3*X3+T4*X4+T5*X5+T6*X6+T7*X7+T8*X8+AA12-AA13</f>
        <v>0</v>
      </c>
    </row>
    <row r="15" spans="2:35" ht="15.75" thickBot="1">
      <c r="B15" s="274"/>
      <c r="C15" s="261"/>
      <c r="D15" s="262"/>
      <c r="S15" s="315" t="s">
        <v>134</v>
      </c>
      <c r="T15" s="202" t="s">
        <v>117</v>
      </c>
      <c r="U15" s="213" t="s">
        <v>16</v>
      </c>
      <c r="V15" s="213" t="s">
        <v>13</v>
      </c>
      <c r="W15" s="213" t="s">
        <v>118</v>
      </c>
      <c r="X15" s="213" t="s">
        <v>4</v>
      </c>
      <c r="Y15" s="202" t="s">
        <v>119</v>
      </c>
      <c r="Z15" s="202" t="s">
        <v>103</v>
      </c>
      <c r="AA15" s="203" t="s">
        <v>113</v>
      </c>
    </row>
    <row r="16" spans="2:35" ht="15.75" thickBot="1">
      <c r="C16" s="200"/>
      <c r="D16" s="200"/>
      <c r="S16" s="357"/>
      <c r="T16" s="358"/>
      <c r="U16" s="356"/>
      <c r="V16" s="356"/>
      <c r="W16" s="356"/>
      <c r="X16" s="311">
        <f>SUM(U16:W16)</f>
        <v>0</v>
      </c>
      <c r="Y16" s="332">
        <f>IFERROR($AA$12/$X$9,"-")</f>
        <v>0</v>
      </c>
      <c r="Z16" s="376">
        <f>IFERROR(T16+Y16,"-")</f>
        <v>0</v>
      </c>
      <c r="AA16" s="252">
        <f>IFERROR(X16*Z16,"-")</f>
        <v>0</v>
      </c>
    </row>
    <row r="17" spans="1:27" ht="15.75" thickBot="1">
      <c r="B17" s="275" t="s">
        <v>110</v>
      </c>
      <c r="C17" s="263">
        <f>C8+C14</f>
        <v>190.83530000000007</v>
      </c>
      <c r="D17" s="264">
        <f>D8+D14</f>
        <v>-781.06200000000001</v>
      </c>
      <c r="S17" s="357"/>
      <c r="T17" s="358"/>
      <c r="U17" s="359"/>
      <c r="V17" s="359"/>
      <c r="W17" s="359"/>
      <c r="X17" s="310">
        <f>SUM(U17:W17)</f>
        <v>0</v>
      </c>
      <c r="Y17" s="309">
        <f>IFERROR($AA$12/$X$9,"-")</f>
        <v>0</v>
      </c>
      <c r="Z17" s="309">
        <f>IFERROR(T17+Y17,"-")</f>
        <v>0</v>
      </c>
      <c r="AA17" s="252">
        <f t="shared" ref="AA17:AA21" si="2">IFERROR(X17*Z17,"-")</f>
        <v>0</v>
      </c>
    </row>
    <row r="18" spans="1:27">
      <c r="S18" s="357"/>
      <c r="T18" s="358"/>
      <c r="U18" s="359"/>
      <c r="V18" s="359"/>
      <c r="W18" s="359"/>
      <c r="X18" s="310">
        <f>SUM(U18:W18)</f>
        <v>0</v>
      </c>
      <c r="Y18" s="309">
        <f>IFERROR($AA$12/$X$9,"-")</f>
        <v>0</v>
      </c>
      <c r="Z18" s="309">
        <f>IFERROR(T18+Y18,"-")</f>
        <v>0</v>
      </c>
      <c r="AA18" s="252">
        <f t="shared" si="2"/>
        <v>0</v>
      </c>
    </row>
    <row r="19" spans="1:27">
      <c r="B19" t="s">
        <v>135</v>
      </c>
      <c r="C19" s="198">
        <f>IFERROR(ABS($C$9/$C$8),"-")</f>
        <v>0.56716256157635458</v>
      </c>
      <c r="D19" s="198" t="str">
        <f>IFERROR(ABS($D$10/$D$8),"-")</f>
        <v>-</v>
      </c>
      <c r="S19" s="357"/>
      <c r="T19" s="358"/>
      <c r="U19" s="359"/>
      <c r="V19" s="359"/>
      <c r="W19" s="359"/>
      <c r="X19" s="310">
        <f>SUM(U19:W19)</f>
        <v>0</v>
      </c>
      <c r="Y19" s="309">
        <f>IFERROR($AA$12/$X$9,"-")</f>
        <v>0</v>
      </c>
      <c r="Z19" s="309">
        <f>IFERROR(T19+Y19,"-")</f>
        <v>0</v>
      </c>
      <c r="AA19" s="252">
        <f t="shared" si="2"/>
        <v>0</v>
      </c>
    </row>
    <row r="20" spans="1:27">
      <c r="B20" t="s">
        <v>382</v>
      </c>
      <c r="C20" s="198">
        <f>IFERROR(ABS($C$10/$C$8),"-")</f>
        <v>0.17166502463054187</v>
      </c>
      <c r="D20" s="198" t="str">
        <f>IFERROR(ABS($D$10/$D$8),"-")</f>
        <v>-</v>
      </c>
      <c r="S20" s="343"/>
      <c r="T20" s="359"/>
      <c r="U20" s="359"/>
      <c r="V20" s="359"/>
      <c r="W20" s="359"/>
      <c r="X20" s="310">
        <f>SUM(U20:W20)</f>
        <v>0</v>
      </c>
      <c r="Y20" s="309">
        <f>IFERROR($AA$12/$X$9,"-")</f>
        <v>0</v>
      </c>
      <c r="Z20" s="309">
        <f>IFERROR(T20+Y20,"-")</f>
        <v>0</v>
      </c>
      <c r="AA20" s="252">
        <f t="shared" si="2"/>
        <v>0</v>
      </c>
    </row>
    <row r="21" spans="1:27" ht="15.75" thickBot="1">
      <c r="B21" t="s">
        <v>383</v>
      </c>
      <c r="C21" s="198">
        <f>IFERROR(ABS($C$11/$C$8),"-")</f>
        <v>7.3157339901477839E-2</v>
      </c>
      <c r="D21" s="198" t="str">
        <f>IFERROR(ABS($D$11/$D$8),"-")</f>
        <v>-</v>
      </c>
      <c r="S21" s="347"/>
      <c r="T21" s="360"/>
      <c r="U21" s="360"/>
      <c r="V21" s="360"/>
      <c r="W21" s="360"/>
      <c r="X21" s="312">
        <f>SUM(U21:W21)</f>
        <v>0</v>
      </c>
      <c r="Y21" s="328">
        <f>IFERROR($AA$12/$X$9,"-")</f>
        <v>0</v>
      </c>
      <c r="Z21" s="328">
        <f>IFERROR(T21+Y21,"-")</f>
        <v>0</v>
      </c>
      <c r="AA21" s="253">
        <f t="shared" si="2"/>
        <v>0</v>
      </c>
    </row>
    <row r="22" spans="1:27">
      <c r="B22" t="s">
        <v>114</v>
      </c>
      <c r="C22" s="198">
        <f>IFERROR(ABS($C$14/$C$8),"-")</f>
        <v>0.81198492610837436</v>
      </c>
      <c r="D22" s="198" t="str">
        <f>IFERROR(ABS($D$14/$D$8),"-")</f>
        <v>-</v>
      </c>
      <c r="S22" s="313" t="s">
        <v>113</v>
      </c>
      <c r="T22" s="308"/>
      <c r="U22" s="308"/>
      <c r="V22" s="308"/>
      <c r="W22" s="308"/>
      <c r="X22" s="308">
        <f>SUM(X16:X21)</f>
        <v>0</v>
      </c>
      <c r="Y22" s="329"/>
      <c r="Z22" s="308"/>
      <c r="AA22" s="314">
        <f>SUM(AA16:AA21)</f>
        <v>0</v>
      </c>
    </row>
    <row r="23" spans="1:27" ht="17.100000000000001" customHeight="1">
      <c r="C23" s="396">
        <f>C22-SUM(C19:C21)</f>
        <v>0</v>
      </c>
      <c r="D23" s="397" t="e">
        <f>D22-SUM(D19:D21)</f>
        <v>#VALUE!</v>
      </c>
      <c r="S23" s="357" t="s">
        <v>129</v>
      </c>
      <c r="T23" s="361"/>
      <c r="U23" s="361"/>
      <c r="V23" s="361"/>
      <c r="W23" s="361"/>
      <c r="X23" s="361"/>
      <c r="Y23" s="361"/>
      <c r="Z23" s="361"/>
      <c r="AA23" s="362"/>
    </row>
    <row r="24" spans="1:27" ht="15.95" customHeight="1" thickBot="1">
      <c r="S24" s="357" t="s">
        <v>130</v>
      </c>
      <c r="T24" s="361"/>
      <c r="U24" s="361"/>
      <c r="V24" s="361"/>
      <c r="W24" s="361"/>
      <c r="X24" s="361"/>
      <c r="Y24" s="361"/>
      <c r="Z24" s="361"/>
      <c r="AA24" s="362"/>
    </row>
    <row r="25" spans="1:27" ht="15.75" thickBot="1">
      <c r="C25" s="406" t="str">
        <f>$S$3</f>
        <v>Blanco</v>
      </c>
      <c r="D25" s="407"/>
      <c r="E25" s="408"/>
      <c r="F25" s="407" t="str">
        <f>$S$4</f>
        <v>Negro</v>
      </c>
      <c r="G25" s="407"/>
      <c r="H25" s="407"/>
      <c r="I25" s="406">
        <f>$S$5</f>
        <v>0</v>
      </c>
      <c r="J25" s="407"/>
      <c r="K25" s="408"/>
      <c r="L25" s="406">
        <f>$S$6</f>
        <v>0</v>
      </c>
      <c r="M25" s="407"/>
      <c r="N25" s="408"/>
      <c r="S25" s="274" t="s">
        <v>131</v>
      </c>
      <c r="T25" s="325"/>
      <c r="U25" s="325"/>
      <c r="V25" s="325"/>
      <c r="W25" s="325"/>
      <c r="X25" s="325"/>
      <c r="Y25" s="325"/>
      <c r="Z25" s="325"/>
      <c r="AA25" s="326">
        <f>SUM(AA23:AA24)</f>
        <v>0</v>
      </c>
    </row>
    <row r="26" spans="1:27" ht="15.75" thickBot="1">
      <c r="C26" s="391" t="s">
        <v>16</v>
      </c>
      <c r="D26" s="46" t="s">
        <v>13</v>
      </c>
      <c r="E26" s="318" t="s">
        <v>118</v>
      </c>
      <c r="F26" s="46" t="s">
        <v>16</v>
      </c>
      <c r="G26" s="46" t="s">
        <v>13</v>
      </c>
      <c r="H26" s="46" t="s">
        <v>118</v>
      </c>
      <c r="I26" s="391" t="s">
        <v>16</v>
      </c>
      <c r="J26" s="46" t="s">
        <v>13</v>
      </c>
      <c r="K26" s="318" t="s">
        <v>118</v>
      </c>
      <c r="L26" s="391" t="s">
        <v>16</v>
      </c>
      <c r="M26" s="46" t="s">
        <v>13</v>
      </c>
      <c r="N26" s="318" t="s">
        <v>118</v>
      </c>
      <c r="O26" s="46" t="s">
        <v>113</v>
      </c>
      <c r="S26" s="305" t="s">
        <v>132</v>
      </c>
      <c r="T26" s="306"/>
      <c r="U26" s="306"/>
      <c r="V26" s="306"/>
      <c r="W26" s="306"/>
      <c r="X26" s="306"/>
      <c r="Y26" s="306"/>
      <c r="Z26" s="306"/>
      <c r="AA26" s="307">
        <f>-AA22</f>
        <v>0</v>
      </c>
    </row>
    <row r="27" spans="1:27" ht="15.75" thickBot="1">
      <c r="B27" s="277" t="s">
        <v>136</v>
      </c>
      <c r="C27" s="392">
        <f>SUM(C30:C64)</f>
        <v>0</v>
      </c>
      <c r="D27" s="294">
        <f>SUM(D30:D64)</f>
        <v>0</v>
      </c>
      <c r="E27" s="322">
        <f>SUM(E30:E64)</f>
        <v>0</v>
      </c>
      <c r="F27" s="294">
        <f>SUM(F30:F64)</f>
        <v>0</v>
      </c>
      <c r="G27" s="294">
        <f>SUM(G30:G64)</f>
        <v>0</v>
      </c>
      <c r="H27" s="294">
        <f>SUM(H30:H64)</f>
        <v>0</v>
      </c>
      <c r="I27" s="392">
        <f>SUM(I30:I64)</f>
        <v>0</v>
      </c>
      <c r="J27" s="294">
        <f>SUM(J30:J64)</f>
        <v>0</v>
      </c>
      <c r="K27" s="294">
        <f>SUM(K30:K64)</f>
        <v>0</v>
      </c>
      <c r="L27" s="392">
        <f>SUM(L30:L64)</f>
        <v>0</v>
      </c>
      <c r="M27" s="294">
        <f>SUM(M30:M64)</f>
        <v>0</v>
      </c>
      <c r="N27" s="322">
        <f>SUM(N30:N64)</f>
        <v>0</v>
      </c>
      <c r="O27" s="322">
        <f>SUM(C27:N27)</f>
        <v>0</v>
      </c>
      <c r="P27" s="276">
        <f>O27-SUM(O30:O64)</f>
        <v>0</v>
      </c>
      <c r="Z27" s="276">
        <f>T16*X16+T17*X17+T18*X18+T19*X19+T20*X20+T21*X21+AA25+AA26</f>
        <v>0</v>
      </c>
    </row>
    <row r="28" spans="1:27" ht="15.75" thickBot="1">
      <c r="B28" s="279" t="s">
        <v>137</v>
      </c>
      <c r="C28" s="373">
        <f>AE3-C27</f>
        <v>6</v>
      </c>
      <c r="D28" s="374">
        <f>AF3-D27</f>
        <v>8</v>
      </c>
      <c r="E28" s="292">
        <f>AG3-E27</f>
        <v>2</v>
      </c>
      <c r="F28" s="374">
        <f>AE4-F27</f>
        <v>5</v>
      </c>
      <c r="G28" s="374">
        <f>AF4-G27</f>
        <v>7</v>
      </c>
      <c r="H28" s="374">
        <f>AG4-H27</f>
        <v>1</v>
      </c>
      <c r="I28" s="373">
        <f>AE5-I27</f>
        <v>0</v>
      </c>
      <c r="J28" s="374">
        <f>AF5-J27</f>
        <v>0</v>
      </c>
      <c r="K28" s="374">
        <f>AG5-K27</f>
        <v>0</v>
      </c>
      <c r="L28" s="373">
        <f>AE6-L27</f>
        <v>0</v>
      </c>
      <c r="M28" s="374">
        <f>AF6-M27</f>
        <v>0</v>
      </c>
      <c r="N28" s="292">
        <f>AG6-N27</f>
        <v>0</v>
      </c>
      <c r="O28" s="369">
        <f>SUM(C28:N28)</f>
        <v>29</v>
      </c>
      <c r="P28" s="276"/>
      <c r="S28" s="303" t="s">
        <v>140</v>
      </c>
      <c r="T28" s="250"/>
      <c r="U28" s="250"/>
      <c r="V28" s="250"/>
      <c r="W28" s="250"/>
      <c r="X28" s="250"/>
      <c r="Y28" s="250"/>
      <c r="Z28" s="304">
        <f>AA13+AA26</f>
        <v>575.66999999999996</v>
      </c>
    </row>
    <row r="29" spans="1:27" ht="15.75" thickBot="1">
      <c r="B29" s="285" t="s">
        <v>138</v>
      </c>
      <c r="C29" s="327"/>
      <c r="D29" s="327"/>
      <c r="E29" s="327"/>
      <c r="F29" s="327"/>
      <c r="G29" s="327"/>
      <c r="H29" s="327"/>
      <c r="I29" s="393"/>
      <c r="J29" s="394"/>
      <c r="K29" s="395"/>
      <c r="L29" s="327"/>
      <c r="M29" s="327"/>
      <c r="N29" s="327"/>
      <c r="O29" s="280" t="s">
        <v>4</v>
      </c>
      <c r="P29" s="281" t="s">
        <v>5</v>
      </c>
      <c r="Q29" s="282" t="s">
        <v>139</v>
      </c>
    </row>
    <row r="30" spans="1:27" ht="15.75" thickBot="1">
      <c r="A30">
        <v>1</v>
      </c>
      <c r="B30" s="339"/>
      <c r="C30" s="340"/>
      <c r="D30" s="387"/>
      <c r="E30" s="341"/>
      <c r="F30" s="340"/>
      <c r="G30" s="387"/>
      <c r="H30" s="341"/>
      <c r="I30" s="340"/>
      <c r="J30" s="387"/>
      <c r="K30" s="341"/>
      <c r="L30" s="340"/>
      <c r="M30" s="387"/>
      <c r="N30" s="342"/>
      <c r="O30" s="382">
        <f>SUM(C30:N30)</f>
        <v>0</v>
      </c>
      <c r="P30" s="265">
        <f>IFERROR(((C30+D30+E30)*$AD$3)+((F30+G30+H30)*$AD$4)+((I30+J30+K30)*$AD$5)+((L30+M30+N30)*$AD$6),"-")</f>
        <v>0</v>
      </c>
      <c r="Q30" s="351"/>
      <c r="S30" s="315" t="s">
        <v>141</v>
      </c>
      <c r="T30" s="202" t="s">
        <v>101</v>
      </c>
      <c r="U30" s="202" t="s">
        <v>4</v>
      </c>
      <c r="V30" s="202" t="s">
        <v>102</v>
      </c>
      <c r="W30" s="202" t="s">
        <v>103</v>
      </c>
      <c r="X30" s="203" t="s">
        <v>113</v>
      </c>
    </row>
    <row r="31" spans="1:27">
      <c r="A31">
        <v>2</v>
      </c>
      <c r="B31" s="377"/>
      <c r="C31" s="378"/>
      <c r="D31" s="388"/>
      <c r="E31" s="379"/>
      <c r="F31" s="378"/>
      <c r="G31" s="388"/>
      <c r="H31" s="379"/>
      <c r="I31" s="378"/>
      <c r="J31" s="388"/>
      <c r="K31" s="379"/>
      <c r="L31" s="378"/>
      <c r="M31" s="388"/>
      <c r="N31" s="380"/>
      <c r="O31" s="383">
        <f>SUM(C31:N31)</f>
        <v>0</v>
      </c>
      <c r="P31" s="384">
        <f>IFERROR(((C31+D31+E31)*$AD$3)+((F31+G31+H31)*$AD$4)+((I31+J31+K31)*$AD$5)+((L31+M31+N31)*$AD$6),"-")</f>
        <v>0</v>
      </c>
      <c r="Q31" s="381"/>
      <c r="S31" s="302" t="str">
        <f>$S$3</f>
        <v>Blanco</v>
      </c>
      <c r="T31" s="358">
        <v>3</v>
      </c>
      <c r="U31" s="310">
        <f>X3</f>
        <v>18</v>
      </c>
      <c r="V31" s="309">
        <f>IFERROR(((T31*U31)*0.21)/U31,"-")</f>
        <v>0.63</v>
      </c>
      <c r="W31" s="309">
        <f>IFERROR(T31+V31,"-")</f>
        <v>3.63</v>
      </c>
      <c r="X31" s="252">
        <f>IFERROR(U31*W31,"-")</f>
        <v>65.34</v>
      </c>
    </row>
    <row r="32" spans="1:27">
      <c r="A32">
        <v>3</v>
      </c>
      <c r="B32" s="343"/>
      <c r="C32" s="344"/>
      <c r="D32" s="389"/>
      <c r="E32" s="345"/>
      <c r="F32" s="344"/>
      <c r="G32" s="389"/>
      <c r="H32" s="345"/>
      <c r="I32" s="344"/>
      <c r="J32" s="389"/>
      <c r="K32" s="345"/>
      <c r="L32" s="344"/>
      <c r="M32" s="389"/>
      <c r="N32" s="346"/>
      <c r="O32" s="383">
        <f>SUM(C32:N32)</f>
        <v>0</v>
      </c>
      <c r="P32" s="384">
        <f>IFERROR(((C32+D32+E32)*$AD$3)+((F32+G32+H32)*$AD$4)+((I32+J32+K32)*$AD$5)+((L32+M32+N32)*$AD$6),"-")</f>
        <v>0</v>
      </c>
      <c r="Q32" s="352"/>
      <c r="S32" s="302" t="str">
        <f>$S$4</f>
        <v>Negro</v>
      </c>
      <c r="T32" s="358">
        <v>6</v>
      </c>
      <c r="U32" s="310">
        <f>X4</f>
        <v>15</v>
      </c>
      <c r="V32" s="309">
        <f>IFERROR(((T32*U32)*0.21)/U32,"-")</f>
        <v>1.26</v>
      </c>
      <c r="W32" s="309">
        <f>IFERROR(T32+V32,"-")</f>
        <v>7.26</v>
      </c>
      <c r="X32" s="252">
        <f>IFERROR(U32*W32,"-")</f>
        <v>108.89999999999999</v>
      </c>
    </row>
    <row r="33" spans="1:25">
      <c r="A33">
        <f>A32+1</f>
        <v>4</v>
      </c>
      <c r="B33" s="377"/>
      <c r="C33" s="378"/>
      <c r="D33" s="388"/>
      <c r="E33" s="379"/>
      <c r="F33" s="378"/>
      <c r="G33" s="388"/>
      <c r="H33" s="379"/>
      <c r="I33" s="378"/>
      <c r="J33" s="388"/>
      <c r="K33" s="379"/>
      <c r="L33" s="378"/>
      <c r="M33" s="388"/>
      <c r="N33" s="380"/>
      <c r="O33" s="383">
        <f>SUM(C33:N33)</f>
        <v>0</v>
      </c>
      <c r="P33" s="384">
        <f>IFERROR(((C33+D33+E33)*$AD$3)+((F33+G33+H33)*$AD$4)+((I33+J33+K33)*$AD$5)+((L33+M33+N33)*$AD$6),"-")</f>
        <v>0</v>
      </c>
      <c r="Q33" s="381"/>
      <c r="S33" s="302">
        <f>$S$5</f>
        <v>0</v>
      </c>
      <c r="T33" s="358"/>
      <c r="U33" s="310">
        <f>X5</f>
        <v>0</v>
      </c>
      <c r="V33" s="309" t="str">
        <f>IFERROR(((T33*U33)*0.21)/U33,"-")</f>
        <v>-</v>
      </c>
      <c r="W33" s="309" t="str">
        <f>IFERROR(T33+V33,"-")</f>
        <v>-</v>
      </c>
      <c r="X33" s="252" t="str">
        <f>IFERROR(U33*W33,"-")</f>
        <v>-</v>
      </c>
    </row>
    <row r="34" spans="1:25">
      <c r="A34">
        <f>A33+1</f>
        <v>5</v>
      </c>
      <c r="B34" s="343"/>
      <c r="C34" s="344"/>
      <c r="D34" s="389"/>
      <c r="E34" s="345"/>
      <c r="F34" s="344"/>
      <c r="G34" s="389"/>
      <c r="H34" s="345"/>
      <c r="I34" s="344"/>
      <c r="J34" s="389"/>
      <c r="K34" s="345"/>
      <c r="L34" s="344"/>
      <c r="M34" s="389"/>
      <c r="N34" s="346"/>
      <c r="O34" s="383">
        <f>SUM(C34:N34)</f>
        <v>0</v>
      </c>
      <c r="P34" s="384">
        <f>IFERROR(((C34+D34+E34)*$AD$3)+((F34+G34+H34)*$AD$4)+((I34+J34+K34)*$AD$5)+((L34+M34+N34)*$AD$6),"-")</f>
        <v>0</v>
      </c>
      <c r="Q34" s="352"/>
      <c r="S34" s="302">
        <f>$S$6</f>
        <v>0</v>
      </c>
      <c r="T34" s="358"/>
      <c r="U34" s="310">
        <f>X6</f>
        <v>0</v>
      </c>
      <c r="V34" s="320" t="str">
        <f>IFERROR(((T34*U34)*0.21)/U34,"-")</f>
        <v>-</v>
      </c>
      <c r="W34" s="309" t="str">
        <f>IFERROR(T34+V34,"-")</f>
        <v>-</v>
      </c>
      <c r="X34" s="252" t="str">
        <f>IFERROR(U34*W34,"-")</f>
        <v>-</v>
      </c>
    </row>
    <row r="35" spans="1:25">
      <c r="A35">
        <f>A34+1</f>
        <v>6</v>
      </c>
      <c r="B35" s="377"/>
      <c r="C35" s="378"/>
      <c r="D35" s="388"/>
      <c r="E35" s="379"/>
      <c r="F35" s="378"/>
      <c r="G35" s="388"/>
      <c r="H35" s="379"/>
      <c r="I35" s="378"/>
      <c r="J35" s="388"/>
      <c r="K35" s="379"/>
      <c r="L35" s="378"/>
      <c r="M35" s="388"/>
      <c r="N35" s="380"/>
      <c r="O35" s="383">
        <f>SUM(C35:N35)</f>
        <v>0</v>
      </c>
      <c r="P35" s="384">
        <f>IFERROR(((C35+D35+E35)*$AD$3)+((F35+G35+H35)*$AD$4)+((I35+J35+K35)*$AD$5)+((L35+M35+N35)*$AD$6),"-")</f>
        <v>0</v>
      </c>
      <c r="Q35" s="381"/>
      <c r="S35" s="278"/>
      <c r="T35" s="359"/>
      <c r="U35" s="310"/>
      <c r="V35" s="317" t="str">
        <f>IFERROR(((T35*U35)*0.21)/U35,"-")</f>
        <v>-</v>
      </c>
      <c r="W35" s="317" t="str">
        <f>IFERROR(T35+V35,"-")</f>
        <v>-</v>
      </c>
      <c r="X35" s="318" t="str">
        <f>IFERROR(U35*W35,"-")</f>
        <v>-</v>
      </c>
    </row>
    <row r="36" spans="1:25" ht="15.75" thickBot="1">
      <c r="A36">
        <f>A35+1</f>
        <v>7</v>
      </c>
      <c r="B36" s="343"/>
      <c r="C36" s="344"/>
      <c r="D36" s="389"/>
      <c r="E36" s="345"/>
      <c r="F36" s="344"/>
      <c r="G36" s="389"/>
      <c r="H36" s="345"/>
      <c r="I36" s="344"/>
      <c r="J36" s="389"/>
      <c r="K36" s="345"/>
      <c r="L36" s="344"/>
      <c r="M36" s="389"/>
      <c r="N36" s="346"/>
      <c r="O36" s="383">
        <f>SUM(C36:N36)</f>
        <v>0</v>
      </c>
      <c r="P36" s="384">
        <f>IFERROR(((C36+D36+E36)*$AD$3)+((F36+G36+H36)*$AD$4)+((I36+J36+K36)*$AD$5)+((L36+M36+N36)*$AD$6),"-")</f>
        <v>0</v>
      </c>
      <c r="Q36" s="352"/>
      <c r="S36" s="279"/>
      <c r="T36" s="360"/>
      <c r="U36" s="312"/>
      <c r="V36" s="319" t="str">
        <f>IFERROR(((T36*U36)*0.21)/U36,"-")</f>
        <v>-</v>
      </c>
      <c r="W36" s="319" t="str">
        <f>IFERROR(T36+V36,"-")</f>
        <v>-</v>
      </c>
      <c r="X36" s="296" t="str">
        <f>IFERROR(U36*W36,"-")</f>
        <v>-</v>
      </c>
    </row>
    <row r="37" spans="1:25" ht="15.75" thickBot="1">
      <c r="A37">
        <f>A36+1</f>
        <v>8</v>
      </c>
      <c r="B37" s="377"/>
      <c r="C37" s="378"/>
      <c r="D37" s="388"/>
      <c r="E37" s="379"/>
      <c r="F37" s="378"/>
      <c r="G37" s="388"/>
      <c r="H37" s="379"/>
      <c r="I37" s="378"/>
      <c r="J37" s="388"/>
      <c r="K37" s="379"/>
      <c r="L37" s="378"/>
      <c r="M37" s="388"/>
      <c r="N37" s="380"/>
      <c r="O37" s="383">
        <f>SUM(C37:N37)</f>
        <v>0</v>
      </c>
      <c r="P37" s="384">
        <f>IFERROR(((C37+D37+E37)*$AD$3)+((F37+G37+H37)*$AD$4)+((I37+J37+K37)*$AD$5)+((L37+M37+N37)*$AD$6),"-")</f>
        <v>0</v>
      </c>
      <c r="Q37" s="381"/>
      <c r="S37" s="305" t="s">
        <v>112</v>
      </c>
      <c r="T37" s="306"/>
      <c r="U37" s="306">
        <f>SUM(U31:U36)</f>
        <v>33</v>
      </c>
      <c r="V37" s="321"/>
      <c r="W37" s="321"/>
      <c r="X37" s="307">
        <f>SUM(X31:X36)</f>
        <v>174.24</v>
      </c>
    </row>
    <row r="38" spans="1:25" ht="15.75" thickBot="1">
      <c r="A38">
        <f>A37+1</f>
        <v>9</v>
      </c>
      <c r="B38" s="343"/>
      <c r="C38" s="344"/>
      <c r="D38" s="389"/>
      <c r="E38" s="345"/>
      <c r="F38" s="344"/>
      <c r="G38" s="389"/>
      <c r="H38" s="345"/>
      <c r="I38" s="344"/>
      <c r="J38" s="389"/>
      <c r="K38" s="345"/>
      <c r="L38" s="344"/>
      <c r="M38" s="389"/>
      <c r="N38" s="346"/>
      <c r="O38" s="383">
        <f>SUM(C38:N38)</f>
        <v>0</v>
      </c>
      <c r="P38" s="384">
        <f>IFERROR(((C38+D38+E38)*$AD$3)+((F38+G38+H38)*$AD$4)+((I38+J38+K38)*$AD$5)+((L38+M38+N38)*$AD$6),"-")</f>
        <v>0</v>
      </c>
      <c r="Q38" s="352"/>
    </row>
    <row r="39" spans="1:25" ht="15.75" thickBot="1">
      <c r="A39">
        <f>A38+1</f>
        <v>10</v>
      </c>
      <c r="B39" s="377"/>
      <c r="C39" s="378"/>
      <c r="D39" s="388"/>
      <c r="E39" s="379"/>
      <c r="F39" s="378"/>
      <c r="G39" s="388"/>
      <c r="H39" s="379"/>
      <c r="I39" s="378"/>
      <c r="J39" s="388"/>
      <c r="K39" s="379"/>
      <c r="L39" s="378"/>
      <c r="M39" s="388"/>
      <c r="N39" s="380"/>
      <c r="O39" s="383">
        <f>SUM(C39:N39)</f>
        <v>0</v>
      </c>
      <c r="P39" s="384">
        <f>IFERROR(((C39+D39+E39)*$AD$3)+((F39+G39+H39)*$AD$4)+((I39+J39+K39)*$AD$5)+((L39+M39+N39)*$AD$6),"-")</f>
        <v>0</v>
      </c>
      <c r="Q39" s="381"/>
      <c r="S39" s="315" t="s">
        <v>98</v>
      </c>
      <c r="T39" s="202" t="s">
        <v>121</v>
      </c>
      <c r="U39" s="202" t="s">
        <v>16</v>
      </c>
      <c r="V39" s="337" t="s">
        <v>13</v>
      </c>
      <c r="W39" s="337" t="s">
        <v>118</v>
      </c>
      <c r="X39" s="202" t="s">
        <v>4</v>
      </c>
      <c r="Y39" s="338" t="s">
        <v>113</v>
      </c>
    </row>
    <row r="40" spans="1:25">
      <c r="A40">
        <f>A39+1</f>
        <v>11</v>
      </c>
      <c r="B40" s="343"/>
      <c r="C40" s="344"/>
      <c r="D40" s="389"/>
      <c r="E40" s="345"/>
      <c r="F40" s="344"/>
      <c r="G40" s="389"/>
      <c r="H40" s="345"/>
      <c r="I40" s="344"/>
      <c r="J40" s="389"/>
      <c r="K40" s="345"/>
      <c r="L40" s="344"/>
      <c r="M40" s="389"/>
      <c r="N40" s="346"/>
      <c r="O40" s="383">
        <f>SUM(C40:N40)</f>
        <v>0</v>
      </c>
      <c r="P40" s="384">
        <f>IFERROR(((C40+D40+E40)*$AD$3)+((F40+G40+H40)*$AD$4)+((I40+J40+K40)*$AD$5)+((L40+M40+N40)*$AD$6),"-")</f>
        <v>0</v>
      </c>
      <c r="Q40" s="352"/>
      <c r="S40" s="302" t="str">
        <f>$S$3</f>
        <v>Blanco</v>
      </c>
      <c r="T40" s="309">
        <v>35</v>
      </c>
      <c r="U40" s="310">
        <f>U3</f>
        <v>7</v>
      </c>
      <c r="V40" s="310">
        <f>V3</f>
        <v>9</v>
      </c>
      <c r="W40" s="310">
        <f>W3</f>
        <v>2</v>
      </c>
      <c r="X40" s="310">
        <f>SUM(U40:W40)</f>
        <v>18</v>
      </c>
      <c r="Y40" s="252">
        <f>IFERROR(T40*X40,"-")</f>
        <v>630</v>
      </c>
    </row>
    <row r="41" spans="1:25">
      <c r="A41">
        <f>A40+1</f>
        <v>12</v>
      </c>
      <c r="B41" s="377"/>
      <c r="C41" s="378"/>
      <c r="D41" s="388"/>
      <c r="E41" s="379"/>
      <c r="F41" s="378"/>
      <c r="G41" s="388"/>
      <c r="H41" s="379"/>
      <c r="I41" s="378"/>
      <c r="J41" s="388"/>
      <c r="K41" s="379"/>
      <c r="L41" s="378"/>
      <c r="M41" s="388"/>
      <c r="N41" s="380"/>
      <c r="O41" s="383">
        <f>SUM(C41:N41)</f>
        <v>0</v>
      </c>
      <c r="P41" s="384">
        <f>IFERROR(((C41+D41+E41)*$AD$3)+((F41+G41+H41)*$AD$4)+((I41+J41+K41)*$AD$5)+((L41+M41+N41)*$AD$6),"-")</f>
        <v>0</v>
      </c>
      <c r="Q41" s="381"/>
      <c r="S41" s="302" t="str">
        <f>$S$4</f>
        <v>Negro</v>
      </c>
      <c r="T41" s="309">
        <v>35</v>
      </c>
      <c r="U41" s="310">
        <f>U4</f>
        <v>6</v>
      </c>
      <c r="V41" s="310">
        <f>V4</f>
        <v>8</v>
      </c>
      <c r="W41" s="310">
        <f>W4</f>
        <v>1</v>
      </c>
      <c r="X41" s="310">
        <f>SUM(U41:W41)</f>
        <v>15</v>
      </c>
      <c r="Y41" s="252">
        <f>IFERROR(T41*X41,"-")</f>
        <v>525</v>
      </c>
    </row>
    <row r="42" spans="1:25">
      <c r="A42">
        <f>A41+1</f>
        <v>13</v>
      </c>
      <c r="B42" s="343"/>
      <c r="C42" s="344"/>
      <c r="D42" s="389"/>
      <c r="E42" s="345"/>
      <c r="F42" s="344"/>
      <c r="G42" s="389"/>
      <c r="H42" s="345"/>
      <c r="I42" s="344"/>
      <c r="J42" s="389"/>
      <c r="K42" s="345"/>
      <c r="L42" s="344"/>
      <c r="M42" s="389"/>
      <c r="N42" s="346"/>
      <c r="O42" s="383">
        <f>SUM(C42:N42)</f>
        <v>0</v>
      </c>
      <c r="P42" s="384">
        <f>IFERROR(((C42+D42+E42)*$AD$3)+((F42+G42+H42)*$AD$4)+((I42+J42+K42)*$AD$5)+((L42+M42+N42)*$AD$6),"-")</f>
        <v>0</v>
      </c>
      <c r="Q42" s="352"/>
      <c r="S42" s="302">
        <f>$S$5</f>
        <v>0</v>
      </c>
      <c r="T42" s="309">
        <f>T68</f>
        <v>0</v>
      </c>
      <c r="U42" s="310">
        <f>U5</f>
        <v>0</v>
      </c>
      <c r="V42" s="310">
        <f>V5</f>
        <v>0</v>
      </c>
      <c r="W42" s="310">
        <f>W5</f>
        <v>0</v>
      </c>
      <c r="X42" s="310">
        <f>SUM(U42:W42)</f>
        <v>0</v>
      </c>
      <c r="Y42" s="252">
        <f>IFERROR(T42*X42,"-")</f>
        <v>0</v>
      </c>
    </row>
    <row r="43" spans="1:25">
      <c r="A43">
        <f>A42+1</f>
        <v>14</v>
      </c>
      <c r="B43" s="377"/>
      <c r="C43" s="378"/>
      <c r="D43" s="388"/>
      <c r="E43" s="379"/>
      <c r="F43" s="378"/>
      <c r="G43" s="388"/>
      <c r="H43" s="379"/>
      <c r="I43" s="378"/>
      <c r="J43" s="388"/>
      <c r="K43" s="379"/>
      <c r="L43" s="378"/>
      <c r="M43" s="388"/>
      <c r="N43" s="380"/>
      <c r="O43" s="383">
        <f>SUM(C43:N43)</f>
        <v>0</v>
      </c>
      <c r="P43" s="384">
        <f>IFERROR(((C43+D43+E43)*$AD$3)+((F43+G43+H43)*$AD$4)+((I43+J43+K43)*$AD$5)+((L43+M43+N43)*$AD$6),"-")</f>
        <v>0</v>
      </c>
      <c r="Q43" s="381"/>
      <c r="S43" s="302">
        <f>$S$6</f>
        <v>0</v>
      </c>
      <c r="T43" s="309">
        <f>T69</f>
        <v>0</v>
      </c>
      <c r="U43" s="310">
        <f>U6</f>
        <v>0</v>
      </c>
      <c r="V43" s="310">
        <f>V6</f>
        <v>0</v>
      </c>
      <c r="W43" s="310">
        <f>W6</f>
        <v>0</v>
      </c>
      <c r="X43" s="310">
        <f>SUM(U43:W43)</f>
        <v>0</v>
      </c>
      <c r="Y43" s="252">
        <f>IFERROR(T43*X43,"-")</f>
        <v>0</v>
      </c>
    </row>
    <row r="44" spans="1:25">
      <c r="A44">
        <f>A43+1</f>
        <v>15</v>
      </c>
      <c r="B44" s="343"/>
      <c r="C44" s="344"/>
      <c r="D44" s="389"/>
      <c r="E44" s="345"/>
      <c r="F44" s="344"/>
      <c r="G44" s="389"/>
      <c r="H44" s="345"/>
      <c r="I44" s="344"/>
      <c r="J44" s="389"/>
      <c r="K44" s="345"/>
      <c r="L44" s="344"/>
      <c r="M44" s="389"/>
      <c r="N44" s="346"/>
      <c r="O44" s="383">
        <f>SUM(C44:N44)</f>
        <v>0</v>
      </c>
      <c r="P44" s="384">
        <f>IFERROR(((C44+D44+E44)*$AD$3)+((F44+G44+H44)*$AD$4)+((I44+J44+K44)*$AD$5)+((L44+M44+N44)*$AD$6),"-")</f>
        <v>0</v>
      </c>
      <c r="Q44" s="352"/>
      <c r="S44" s="278"/>
      <c r="T44" s="310"/>
      <c r="U44" s="310">
        <f>U7</f>
        <v>0</v>
      </c>
      <c r="V44" s="310">
        <f>V7</f>
        <v>0</v>
      </c>
      <c r="W44" s="310">
        <f>W7</f>
        <v>0</v>
      </c>
      <c r="X44" s="310">
        <f>SUM(U44:W44)</f>
        <v>0</v>
      </c>
      <c r="Y44" s="323">
        <f>IFERROR(T44*X44,"-")</f>
        <v>0</v>
      </c>
    </row>
    <row r="45" spans="1:25" ht="15.75" thickBot="1">
      <c r="A45">
        <f>A44+1</f>
        <v>16</v>
      </c>
      <c r="B45" s="377"/>
      <c r="C45" s="378"/>
      <c r="D45" s="388"/>
      <c r="E45" s="379"/>
      <c r="F45" s="378"/>
      <c r="G45" s="388"/>
      <c r="H45" s="379"/>
      <c r="I45" s="378"/>
      <c r="J45" s="388"/>
      <c r="K45" s="379"/>
      <c r="L45" s="378"/>
      <c r="M45" s="388"/>
      <c r="N45" s="380"/>
      <c r="O45" s="383">
        <f>SUM(C45:N45)</f>
        <v>0</v>
      </c>
      <c r="P45" s="384">
        <f>IFERROR(((C45+D45+E45)*$AD$3)+((F45+G45+H45)*$AD$4)+((I45+J45+K45)*$AD$5)+((L45+M45+N45)*$AD$6),"-")</f>
        <v>0</v>
      </c>
      <c r="Q45" s="381"/>
      <c r="S45" s="279"/>
      <c r="T45" s="312"/>
      <c r="U45" s="312">
        <f>U8</f>
        <v>0</v>
      </c>
      <c r="V45" s="312">
        <f>V8</f>
        <v>0</v>
      </c>
      <c r="W45" s="312">
        <f>W8</f>
        <v>0</v>
      </c>
      <c r="X45" s="312">
        <f>SUM(U45:W45)</f>
        <v>0</v>
      </c>
      <c r="Y45" s="324">
        <f>IFERROR(T45*X45,"-")</f>
        <v>0</v>
      </c>
    </row>
    <row r="46" spans="1:25" ht="15.75" thickBot="1">
      <c r="A46">
        <f>A45+1</f>
        <v>17</v>
      </c>
      <c r="B46" s="343"/>
      <c r="C46" s="344"/>
      <c r="D46" s="389"/>
      <c r="E46" s="345"/>
      <c r="F46" s="344"/>
      <c r="G46" s="389"/>
      <c r="H46" s="345"/>
      <c r="I46" s="344"/>
      <c r="J46" s="389"/>
      <c r="K46" s="345"/>
      <c r="L46" s="344"/>
      <c r="M46" s="389"/>
      <c r="N46" s="346"/>
      <c r="O46" s="383">
        <f>SUM(C46:N46)</f>
        <v>0</v>
      </c>
      <c r="P46" s="384">
        <f>IFERROR(((C46+D46+E46)*$AD$3)+((F46+G46+H46)*$AD$4)+((I46+J46+K46)*$AD$5)+((L46+M46+N46)*$AD$6),"-")</f>
        <v>0</v>
      </c>
      <c r="Q46" s="352"/>
      <c r="S46" s="305" t="s">
        <v>142</v>
      </c>
      <c r="T46" s="306"/>
      <c r="U46" s="306"/>
      <c r="V46" s="306"/>
      <c r="W46" s="321"/>
      <c r="X46" s="333">
        <f>SUM(X40:X45)</f>
        <v>33</v>
      </c>
      <c r="Y46" s="307">
        <f>SUM(Y40:Y45)</f>
        <v>1155</v>
      </c>
    </row>
    <row r="47" spans="1:25" ht="15.75" thickBot="1">
      <c r="A47">
        <f>A46+1</f>
        <v>18</v>
      </c>
      <c r="B47" s="377"/>
      <c r="C47" s="378"/>
      <c r="D47" s="388"/>
      <c r="E47" s="379"/>
      <c r="F47" s="378"/>
      <c r="G47" s="388"/>
      <c r="H47" s="379"/>
      <c r="I47" s="378"/>
      <c r="J47" s="388"/>
      <c r="K47" s="379"/>
      <c r="L47" s="378"/>
      <c r="M47" s="388"/>
      <c r="N47" s="380"/>
      <c r="O47" s="383">
        <f>SUM(C47:N47)</f>
        <v>0</v>
      </c>
      <c r="P47" s="384">
        <f>IFERROR(((C47+D47+E47)*$AD$3)+((F47+G47+H47)*$AD$4)+((I47+J47+K47)*$AD$5)+((L47+M47+N47)*$AD$6),"-")</f>
        <v>0</v>
      </c>
      <c r="Q47" s="381"/>
    </row>
    <row r="48" spans="1:25" ht="15.75" thickBot="1">
      <c r="A48">
        <f>A47+1</f>
        <v>19</v>
      </c>
      <c r="B48" s="343"/>
      <c r="C48" s="344"/>
      <c r="D48" s="389"/>
      <c r="E48" s="345"/>
      <c r="F48" s="344"/>
      <c r="G48" s="389"/>
      <c r="H48" s="345"/>
      <c r="I48" s="344"/>
      <c r="J48" s="389"/>
      <c r="K48" s="345"/>
      <c r="L48" s="344"/>
      <c r="M48" s="389"/>
      <c r="N48" s="346"/>
      <c r="O48" s="383">
        <f>SUM(C48:N48)</f>
        <v>0</v>
      </c>
      <c r="P48" s="384">
        <f>IFERROR(((C48+D48+E48)*$AD$3)+((F48+G48+H48)*$AD$4)+((I48+J48+K48)*$AD$5)+((L48+M48+N48)*$AD$6),"-")</f>
        <v>0</v>
      </c>
      <c r="Q48" s="352"/>
      <c r="S48" s="315" t="s">
        <v>143</v>
      </c>
      <c r="T48" s="202" t="s">
        <v>144</v>
      </c>
      <c r="U48" s="202" t="s">
        <v>16</v>
      </c>
      <c r="V48" s="202" t="s">
        <v>13</v>
      </c>
      <c r="W48" s="202" t="s">
        <v>118</v>
      </c>
      <c r="X48" s="202" t="s">
        <v>4</v>
      </c>
      <c r="Y48" s="203" t="s">
        <v>113</v>
      </c>
    </row>
    <row r="49" spans="1:25">
      <c r="A49">
        <f>A48+1</f>
        <v>20</v>
      </c>
      <c r="B49" s="377"/>
      <c r="C49" s="378"/>
      <c r="D49" s="388"/>
      <c r="E49" s="379"/>
      <c r="F49" s="378"/>
      <c r="G49" s="388"/>
      <c r="H49" s="379"/>
      <c r="I49" s="378"/>
      <c r="J49" s="388"/>
      <c r="K49" s="379"/>
      <c r="L49" s="378"/>
      <c r="M49" s="388"/>
      <c r="N49" s="380"/>
      <c r="O49" s="383">
        <f>SUM(C49:N49)</f>
        <v>0</v>
      </c>
      <c r="P49" s="384">
        <f>IFERROR(((C49+D49+E49)*$AD$3)+((F49+G49+H49)*$AD$4)+((I49+J49+K49)*$AD$5)+((L49+M49+N49)*$AD$6),"-")</f>
        <v>0</v>
      </c>
      <c r="Q49" s="381"/>
      <c r="S49" s="302" t="str">
        <f>$S$3</f>
        <v>Blanco</v>
      </c>
      <c r="T49" s="309">
        <f>U66+'A33 (NEW)'!AE3</f>
        <v>-21.563999999999997</v>
      </c>
      <c r="U49" s="359">
        <v>1</v>
      </c>
      <c r="V49" s="359">
        <v>1</v>
      </c>
      <c r="W49" s="359"/>
      <c r="X49" s="310">
        <f>SUM(U49:W49)</f>
        <v>2</v>
      </c>
      <c r="Y49" s="252">
        <f>IFERROR(T49*X49,"-")</f>
        <v>-43.127999999999993</v>
      </c>
    </row>
    <row r="50" spans="1:25">
      <c r="A50">
        <f>A49+1</f>
        <v>21</v>
      </c>
      <c r="B50" s="343"/>
      <c r="C50" s="344"/>
      <c r="D50" s="389"/>
      <c r="E50" s="345"/>
      <c r="F50" s="344"/>
      <c r="G50" s="389"/>
      <c r="H50" s="345"/>
      <c r="I50" s="344"/>
      <c r="J50" s="389"/>
      <c r="K50" s="345"/>
      <c r="L50" s="344"/>
      <c r="M50" s="389"/>
      <c r="N50" s="346"/>
      <c r="O50" s="383">
        <f>SUM(C50:N50)</f>
        <v>0</v>
      </c>
      <c r="P50" s="384">
        <f>IFERROR(((C50+D50+E50)*$AD$3)+((F50+G50+H50)*$AD$4)+((I50+J50+K50)*$AD$5)+((L50+M50+N50)*$AD$6),"-")</f>
        <v>0</v>
      </c>
      <c r="Q50" s="352"/>
      <c r="S50" s="302" t="str">
        <f>$S$4</f>
        <v>Negro</v>
      </c>
      <c r="T50" s="309">
        <f>U67+'A33 (NEW)'!AE3</f>
        <v>-26.193999999999999</v>
      </c>
      <c r="U50" s="359">
        <v>1</v>
      </c>
      <c r="V50" s="359">
        <v>1</v>
      </c>
      <c r="W50" s="359"/>
      <c r="X50" s="310">
        <f>SUM(U50:W50)</f>
        <v>2</v>
      </c>
      <c r="Y50" s="252">
        <f>IFERROR(T50*X50,"-")</f>
        <v>-52.387999999999998</v>
      </c>
    </row>
    <row r="51" spans="1:25">
      <c r="A51">
        <f>A50+1</f>
        <v>22</v>
      </c>
      <c r="B51" s="377"/>
      <c r="C51" s="378"/>
      <c r="D51" s="388"/>
      <c r="E51" s="379"/>
      <c r="F51" s="378"/>
      <c r="G51" s="388"/>
      <c r="H51" s="379"/>
      <c r="I51" s="378"/>
      <c r="J51" s="388"/>
      <c r="K51" s="379"/>
      <c r="L51" s="378"/>
      <c r="M51" s="388"/>
      <c r="N51" s="380"/>
      <c r="O51" s="383">
        <f>SUM(C51:N51)</f>
        <v>0</v>
      </c>
      <c r="P51" s="384">
        <f>IFERROR(((C51+D51+E51)*$AD$3)+((F51+G51+H51)*$AD$4)+((I51+J51+K51)*$AD$5)+((L51+M51+N51)*$AD$6),"-")</f>
        <v>0</v>
      </c>
      <c r="Q51" s="381"/>
      <c r="S51" s="302">
        <f>$S$5</f>
        <v>0</v>
      </c>
      <c r="T51" s="309">
        <f>U68</f>
        <v>0</v>
      </c>
      <c r="U51" s="359"/>
      <c r="V51" s="359"/>
      <c r="W51" s="359"/>
      <c r="X51" s="310">
        <f>SUM(U51:W51)</f>
        <v>0</v>
      </c>
      <c r="Y51" s="252">
        <f>IFERROR(T51*X51,"-")</f>
        <v>0</v>
      </c>
    </row>
    <row r="52" spans="1:25">
      <c r="A52">
        <f>A51+1</f>
        <v>23</v>
      </c>
      <c r="B52" s="343"/>
      <c r="C52" s="344"/>
      <c r="D52" s="389"/>
      <c r="E52" s="345"/>
      <c r="F52" s="344"/>
      <c r="G52" s="389"/>
      <c r="H52" s="345"/>
      <c r="I52" s="344"/>
      <c r="J52" s="389"/>
      <c r="K52" s="345"/>
      <c r="L52" s="344"/>
      <c r="M52" s="389"/>
      <c r="N52" s="346"/>
      <c r="O52" s="383">
        <f>SUM(C52:N52)</f>
        <v>0</v>
      </c>
      <c r="P52" s="384">
        <f>IFERROR(((C52+D52+E52)*$AD$3)+((F52+G52+H52)*$AD$4)+((I52+J52+K52)*$AD$5)+((L52+M52+N52)*$AD$6),"-")</f>
        <v>0</v>
      </c>
      <c r="Q52" s="352"/>
      <c r="S52" s="302">
        <f>$S$6</f>
        <v>0</v>
      </c>
      <c r="T52" s="309">
        <f>U69</f>
        <v>0</v>
      </c>
      <c r="U52" s="359"/>
      <c r="V52" s="359"/>
      <c r="W52" s="359"/>
      <c r="X52" s="310">
        <f>SUM(U52:W52)</f>
        <v>0</v>
      </c>
      <c r="Y52" s="252">
        <f>IFERROR(T52*X52,"-")</f>
        <v>0</v>
      </c>
    </row>
    <row r="53" spans="1:25">
      <c r="A53">
        <f>A52+1</f>
        <v>24</v>
      </c>
      <c r="B53" s="377"/>
      <c r="C53" s="378"/>
      <c r="D53" s="388"/>
      <c r="E53" s="379"/>
      <c r="F53" s="378"/>
      <c r="G53" s="388"/>
      <c r="H53" s="379"/>
      <c r="I53" s="378"/>
      <c r="J53" s="388"/>
      <c r="K53" s="379"/>
      <c r="L53" s="378"/>
      <c r="M53" s="388"/>
      <c r="N53" s="380"/>
      <c r="O53" s="383">
        <f>SUM(C53:N53)</f>
        <v>0</v>
      </c>
      <c r="P53" s="384">
        <f>IFERROR(((C53+D53+E53)*$AD$3)+((F53+G53+H53)*$AD$4)+((I53+J53+K53)*$AD$5)+((L53+M53+N53)*$AD$6),"-")</f>
        <v>0</v>
      </c>
      <c r="Q53" s="381"/>
      <c r="S53" s="278"/>
      <c r="T53" s="310"/>
      <c r="U53" s="359"/>
      <c r="V53" s="359"/>
      <c r="W53" s="359"/>
      <c r="X53" s="310">
        <f>SUM(U53:W53)</f>
        <v>0</v>
      </c>
      <c r="Y53" s="323">
        <f>IFERROR(T53*X53,"-")</f>
        <v>0</v>
      </c>
    </row>
    <row r="54" spans="1:25" ht="15.75" thickBot="1">
      <c r="A54">
        <f>A53+1</f>
        <v>25</v>
      </c>
      <c r="B54" s="343"/>
      <c r="C54" s="344"/>
      <c r="D54" s="389"/>
      <c r="E54" s="345"/>
      <c r="F54" s="344"/>
      <c r="G54" s="389"/>
      <c r="H54" s="345"/>
      <c r="I54" s="344"/>
      <c r="J54" s="389"/>
      <c r="K54" s="345"/>
      <c r="L54" s="344"/>
      <c r="M54" s="389"/>
      <c r="N54" s="346"/>
      <c r="O54" s="383">
        <f>SUM(C54:N54)</f>
        <v>0</v>
      </c>
      <c r="P54" s="384">
        <f>IFERROR(((C54+D54+E54)*$AD$3)+((F54+G54+H54)*$AD$4)+((I54+J54+K54)*$AD$5)+((L54+M54+N54)*$AD$6),"-")</f>
        <v>0</v>
      </c>
      <c r="Q54" s="352"/>
      <c r="S54" s="279"/>
      <c r="T54" s="312"/>
      <c r="U54" s="360"/>
      <c r="V54" s="360"/>
      <c r="W54" s="360"/>
      <c r="X54" s="312">
        <f>SUM(U54:W54)</f>
        <v>0</v>
      </c>
      <c r="Y54" s="324">
        <f>IFERROR(T54*X54,"-")</f>
        <v>0</v>
      </c>
    </row>
    <row r="55" spans="1:25" ht="15.75" thickBot="1">
      <c r="A55">
        <f>A54+1</f>
        <v>26</v>
      </c>
      <c r="B55" s="377"/>
      <c r="C55" s="378"/>
      <c r="D55" s="388"/>
      <c r="E55" s="379"/>
      <c r="F55" s="378"/>
      <c r="G55" s="388"/>
      <c r="H55" s="379"/>
      <c r="I55" s="378"/>
      <c r="J55" s="388"/>
      <c r="K55" s="379"/>
      <c r="L55" s="378"/>
      <c r="M55" s="388"/>
      <c r="N55" s="380"/>
      <c r="O55" s="383">
        <f>SUM(C55:N55)</f>
        <v>0</v>
      </c>
      <c r="P55" s="384">
        <f>IFERROR(((C55+D55+E55)*$AD$3)+((F55+G55+H55)*$AD$4)+((I55+J55+K55)*$AD$5)+((L55+M55+N55)*$AD$6),"-")</f>
        <v>0</v>
      </c>
      <c r="Q55" s="381"/>
      <c r="S55" s="305" t="s">
        <v>145</v>
      </c>
      <c r="T55" s="306"/>
      <c r="U55" s="306"/>
      <c r="V55" s="306"/>
      <c r="W55" s="321"/>
      <c r="X55" s="333">
        <f>SUM(X49:X54)</f>
        <v>4</v>
      </c>
      <c r="Y55" s="307">
        <f>SUM(Y49:Y54)</f>
        <v>-95.515999999999991</v>
      </c>
    </row>
    <row r="56" spans="1:25" ht="15.75" thickBot="1">
      <c r="A56">
        <f>A55+1</f>
        <v>27</v>
      </c>
      <c r="B56" s="343"/>
      <c r="C56" s="344"/>
      <c r="D56" s="389"/>
      <c r="E56" s="345"/>
      <c r="F56" s="344"/>
      <c r="G56" s="389"/>
      <c r="H56" s="345"/>
      <c r="I56" s="344"/>
      <c r="J56" s="389"/>
      <c r="K56" s="345"/>
      <c r="L56" s="344"/>
      <c r="M56" s="389"/>
      <c r="N56" s="346"/>
      <c r="O56" s="383">
        <f>SUM(C56:N56)</f>
        <v>0</v>
      </c>
      <c r="P56" s="384">
        <f>IFERROR(((C56+D56+E56)*$AD$3)+((F56+G56+H56)*$AD$4)+((I56+J56+K56)*$AD$5)+((L56+M56+N56)*$AD$6),"-")</f>
        <v>0</v>
      </c>
      <c r="Q56" s="352"/>
    </row>
    <row r="57" spans="1:25" ht="15.75" thickBot="1">
      <c r="A57">
        <f>A56+1</f>
        <v>28</v>
      </c>
      <c r="B57" s="377"/>
      <c r="C57" s="378"/>
      <c r="D57" s="388"/>
      <c r="E57" s="379"/>
      <c r="F57" s="378"/>
      <c r="G57" s="388"/>
      <c r="H57" s="379"/>
      <c r="I57" s="378"/>
      <c r="J57" s="388"/>
      <c r="K57" s="379"/>
      <c r="L57" s="378"/>
      <c r="M57" s="388"/>
      <c r="N57" s="380"/>
      <c r="O57" s="383">
        <f>SUM(C57:N57)</f>
        <v>0</v>
      </c>
      <c r="P57" s="384">
        <f>IFERROR(((C57+D57+E57)*$AD$3)+((F57+G57+H57)*$AD$4)+((I57+J57+K57)*$AD$5)+((L57+M57+N57)*$AD$6),"-")</f>
        <v>0</v>
      </c>
      <c r="Q57" s="381"/>
      <c r="S57" s="315" t="s">
        <v>146</v>
      </c>
      <c r="T57" s="202" t="s">
        <v>147</v>
      </c>
      <c r="U57" s="202" t="s">
        <v>141</v>
      </c>
      <c r="V57" s="202" t="s">
        <v>119</v>
      </c>
      <c r="W57" s="203" t="s">
        <v>113</v>
      </c>
    </row>
    <row r="58" spans="1:25">
      <c r="A58">
        <f>A57+1</f>
        <v>29</v>
      </c>
      <c r="B58" s="343"/>
      <c r="C58" s="344"/>
      <c r="D58" s="389"/>
      <c r="E58" s="345"/>
      <c r="F58" s="344"/>
      <c r="G58" s="389"/>
      <c r="H58" s="345"/>
      <c r="I58" s="344"/>
      <c r="J58" s="389"/>
      <c r="K58" s="345"/>
      <c r="L58" s="344"/>
      <c r="M58" s="389"/>
      <c r="N58" s="346"/>
      <c r="O58" s="383">
        <f>SUM(C58:N58)</f>
        <v>0</v>
      </c>
      <c r="P58" s="384">
        <f>IFERROR(((C58+D58+E58)*$AD$3)+((F58+G58+H58)*$AD$4)+((I58+J58+K58)*$AD$5)+((L58+M58+N58)*$AD$6),"-")</f>
        <v>0</v>
      </c>
      <c r="Q58" s="352"/>
      <c r="S58" s="302" t="str">
        <f>$S$3</f>
        <v>Blanco</v>
      </c>
      <c r="T58" s="316">
        <f>Z3</f>
        <v>16.989999999999998</v>
      </c>
      <c r="U58" s="309">
        <f>W31</f>
        <v>3.63</v>
      </c>
      <c r="V58" s="309">
        <f>'A33 (NEW)'!AE3+'A33 (NEW)'!AE4</f>
        <v>2.4302999999999999</v>
      </c>
      <c r="W58" s="252">
        <f>SUM(T58:V58)</f>
        <v>23.050299999999996</v>
      </c>
    </row>
    <row r="59" spans="1:25">
      <c r="A59">
        <f>A58+1</f>
        <v>30</v>
      </c>
      <c r="B59" s="377"/>
      <c r="C59" s="378"/>
      <c r="D59" s="388"/>
      <c r="E59" s="379"/>
      <c r="F59" s="378"/>
      <c r="G59" s="388"/>
      <c r="H59" s="379"/>
      <c r="I59" s="378"/>
      <c r="J59" s="388"/>
      <c r="K59" s="379"/>
      <c r="L59" s="378"/>
      <c r="M59" s="388"/>
      <c r="N59" s="380"/>
      <c r="O59" s="383">
        <f>SUM(C59:N59)</f>
        <v>0</v>
      </c>
      <c r="P59" s="384">
        <f>IFERROR(((C59+D59+E59)*$AD$3)+((F59+G59+H59)*$AD$4)+((I59+J59+K59)*$AD$5)+((L59+M59+N59)*$AD$6),"-")</f>
        <v>0</v>
      </c>
      <c r="Q59" s="381"/>
      <c r="S59" s="302" t="str">
        <f>$S$4</f>
        <v>Negro</v>
      </c>
      <c r="T59" s="316">
        <f>Z4</f>
        <v>17.989999999999998</v>
      </c>
      <c r="U59" s="309">
        <f>W32</f>
        <v>7.26</v>
      </c>
      <c r="V59" s="309">
        <f>'A33 (NEW)'!AE3+'A33 (NEW)'!AE4</f>
        <v>2.4302999999999999</v>
      </c>
      <c r="W59" s="252">
        <f>SUM(T59:V59)</f>
        <v>27.680299999999999</v>
      </c>
    </row>
    <row r="60" spans="1:25">
      <c r="A60">
        <f>A59+1</f>
        <v>31</v>
      </c>
      <c r="B60" s="343"/>
      <c r="C60" s="344"/>
      <c r="D60" s="389"/>
      <c r="E60" s="345"/>
      <c r="F60" s="344"/>
      <c r="G60" s="389"/>
      <c r="H60" s="345"/>
      <c r="I60" s="344"/>
      <c r="J60" s="389"/>
      <c r="K60" s="345"/>
      <c r="L60" s="344"/>
      <c r="M60" s="389"/>
      <c r="N60" s="346"/>
      <c r="O60" s="383">
        <f>SUM(C60:N60)</f>
        <v>0</v>
      </c>
      <c r="P60" s="384">
        <f>IFERROR(((C60+D60+E60)*$AD$3)+((F60+G60+H60)*$AD$4)+((I60+J60+K60)*$AD$5)+((L60+M60+N60)*$AD$6),"-")</f>
        <v>0</v>
      </c>
      <c r="Q60" s="352"/>
      <c r="S60" s="302">
        <f>$S$5</f>
        <v>0</v>
      </c>
      <c r="T60" s="316">
        <f>Z5</f>
        <v>0</v>
      </c>
      <c r="U60" s="309" t="str">
        <f>W33</f>
        <v>-</v>
      </c>
      <c r="V60" s="309"/>
      <c r="W60" s="252">
        <f>SUM(T60:V60)</f>
        <v>0</v>
      </c>
    </row>
    <row r="61" spans="1:25">
      <c r="A61">
        <f>A60+1</f>
        <v>32</v>
      </c>
      <c r="B61" s="377"/>
      <c r="C61" s="378"/>
      <c r="D61" s="388"/>
      <c r="E61" s="379"/>
      <c r="F61" s="378"/>
      <c r="G61" s="388"/>
      <c r="H61" s="379"/>
      <c r="I61" s="378"/>
      <c r="J61" s="388"/>
      <c r="K61" s="379"/>
      <c r="L61" s="378"/>
      <c r="M61" s="388"/>
      <c r="N61" s="380"/>
      <c r="O61" s="383">
        <f>SUM(C61:N61)</f>
        <v>0</v>
      </c>
      <c r="P61" s="384">
        <f>IFERROR(((C61+D61+E61)*$AD$3)+((F61+G61+H61)*$AD$4)+((I61+J61+K61)*$AD$5)+((L61+M61+N61)*$AD$6),"-")</f>
        <v>0</v>
      </c>
      <c r="Q61" s="381"/>
      <c r="S61" s="302">
        <f>$S$6</f>
        <v>0</v>
      </c>
      <c r="T61" s="316">
        <f>Z6</f>
        <v>0</v>
      </c>
      <c r="U61" s="320" t="str">
        <f>W34</f>
        <v>-</v>
      </c>
      <c r="V61" s="320"/>
      <c r="W61" s="252">
        <f>SUM(T61:V61)</f>
        <v>0</v>
      </c>
    </row>
    <row r="62" spans="1:25">
      <c r="A62">
        <f>A61+1</f>
        <v>33</v>
      </c>
      <c r="B62" s="343"/>
      <c r="C62" s="344"/>
      <c r="D62" s="389"/>
      <c r="E62" s="345"/>
      <c r="F62" s="344"/>
      <c r="G62" s="389"/>
      <c r="H62" s="345"/>
      <c r="I62" s="344"/>
      <c r="J62" s="389"/>
      <c r="K62" s="345"/>
      <c r="L62" s="344"/>
      <c r="M62" s="389"/>
      <c r="N62" s="346"/>
      <c r="O62" s="383">
        <f>SUM(C62:N62)</f>
        <v>0</v>
      </c>
      <c r="P62" s="384">
        <f>IFERROR(((C62+D62+E62)*$AD$3)+((F62+G62+H62)*$AD$4)+((I62+J62+K62)*$AD$5)+((L62+M62+N62)*$AD$6),"-")</f>
        <v>0</v>
      </c>
      <c r="Q62" s="352"/>
      <c r="S62" s="278"/>
      <c r="T62" s="310"/>
      <c r="U62" s="317"/>
      <c r="V62" s="317"/>
      <c r="W62" s="323">
        <f t="shared" ref="W62:W63" si="3">SUM(T62:V62)</f>
        <v>0</v>
      </c>
    </row>
    <row r="63" spans="1:25" ht="15.75" thickBot="1">
      <c r="A63">
        <f>A62+1</f>
        <v>34</v>
      </c>
      <c r="B63" s="377"/>
      <c r="C63" s="378"/>
      <c r="D63" s="388"/>
      <c r="E63" s="379"/>
      <c r="F63" s="378"/>
      <c r="G63" s="388"/>
      <c r="H63" s="379"/>
      <c r="I63" s="378"/>
      <c r="J63" s="388"/>
      <c r="K63" s="379"/>
      <c r="L63" s="378"/>
      <c r="M63" s="388"/>
      <c r="N63" s="380"/>
      <c r="O63" s="383">
        <f>SUM(C63:N63)</f>
        <v>0</v>
      </c>
      <c r="P63" s="384">
        <f>IFERROR(((C63+D63+E63)*$AD$3)+((F63+G63+H63)*$AD$4)+((I63+J63+K63)*$AD$5)+((L63+M63+N63)*$AD$6),"-")</f>
        <v>0</v>
      </c>
      <c r="Q63" s="381"/>
      <c r="S63" s="279"/>
      <c r="T63" s="312"/>
      <c r="U63" s="319"/>
      <c r="V63" s="319"/>
      <c r="W63" s="324">
        <f t="shared" si="3"/>
        <v>0</v>
      </c>
    </row>
    <row r="64" spans="1:25" ht="15.75" thickBot="1">
      <c r="A64">
        <f>A63+1</f>
        <v>35</v>
      </c>
      <c r="B64" s="347"/>
      <c r="C64" s="348"/>
      <c r="D64" s="390"/>
      <c r="E64" s="349"/>
      <c r="F64" s="348"/>
      <c r="G64" s="390"/>
      <c r="H64" s="349"/>
      <c r="I64" s="348"/>
      <c r="J64" s="390"/>
      <c r="K64" s="349"/>
      <c r="L64" s="348"/>
      <c r="M64" s="390"/>
      <c r="N64" s="350"/>
      <c r="O64" s="385">
        <f>SUM(C64:N64)</f>
        <v>0</v>
      </c>
      <c r="P64" s="386">
        <f>IFERROR(((C64+D64+E64)*$AD$3)+((F64+G64+H64)*$AD$4)+((I64+J64+K64)*$AD$5)+((L64+M64+N64)*$AD$6),"-")</f>
        <v>0</v>
      </c>
      <c r="Q64" s="353"/>
    </row>
    <row r="65" spans="1:23" ht="15.75" thickBot="1">
      <c r="S65" s="315" t="s">
        <v>148</v>
      </c>
      <c r="T65" s="202" t="s">
        <v>121</v>
      </c>
      <c r="U65" s="202" t="s">
        <v>144</v>
      </c>
      <c r="V65" s="202" t="s">
        <v>110</v>
      </c>
      <c r="W65" s="203" t="s">
        <v>149</v>
      </c>
    </row>
    <row r="66" spans="1:23">
      <c r="A66" s="364">
        <v>1</v>
      </c>
      <c r="B66" s="364">
        <f>B30</f>
        <v>0</v>
      </c>
      <c r="C66" s="364" t="str">
        <f>_xlfn.TEXTJOIN(", ",TRUE,
IF(OR(C30&gt;0,F30&gt;0,I30&gt;0,L30&gt;0),"M",""),
IF(OR(D30&gt;0,G30&gt;0,J30&gt;0,M30&gt;0),"L",""),
IF(OR(E30&gt;0,H30&gt;0,K30&gt;0,N30&gt;0),"XL","")
)</f>
        <v/>
      </c>
      <c r="D66" s="364" t="b">
        <f>IF(C66="M",1,IF(C66="L",2,IF(C66="XL",3)))</f>
        <v>0</v>
      </c>
      <c r="E66" s="365">
        <f>O30</f>
        <v>0</v>
      </c>
      <c r="F66" s="366">
        <f>P30</f>
        <v>0</v>
      </c>
      <c r="G66" s="364" t="str">
        <f>$B$2</f>
        <v>DROP 1</v>
      </c>
      <c r="S66" s="302" t="str">
        <f>$S$3</f>
        <v>Blanco</v>
      </c>
      <c r="T66" s="363">
        <f>T40</f>
        <v>35</v>
      </c>
      <c r="U66" s="309">
        <f>-W58</f>
        <v>-23.050299999999996</v>
      </c>
      <c r="V66" s="309">
        <f>SUM(T66:U66)</f>
        <v>11.949700000000004</v>
      </c>
      <c r="W66" s="330">
        <f>V66/T66</f>
        <v>0.34142000000000011</v>
      </c>
    </row>
    <row r="67" spans="1:23">
      <c r="A67" s="364">
        <v>2</v>
      </c>
      <c r="B67" s="364">
        <f>B31</f>
        <v>0</v>
      </c>
      <c r="C67" s="364" t="str">
        <f>_xlfn.TEXTJOIN(", ",TRUE,
IF(OR(C31&gt;0,F31&gt;0,I31&gt;0,L31&gt;0),"M",""),
IF(OR(D31&gt;0,G31&gt;0,J31&gt;0,M31&gt;0),"L",""),
IF(OR(E31&gt;0,H31&gt;0,K31&gt;0,N31&gt;0),"XL","")
)</f>
        <v/>
      </c>
      <c r="D67" s="364" t="b">
        <f>IF(C67="M",1,IF(C67="L",2,IF(C67="XL",3)))</f>
        <v>0</v>
      </c>
      <c r="E67" s="365">
        <f>O31</f>
        <v>0</v>
      </c>
      <c r="F67" s="366">
        <f>P31</f>
        <v>0</v>
      </c>
      <c r="G67" s="364" t="str">
        <f t="shared" ref="G67:G100" si="4">$B$2</f>
        <v>DROP 1</v>
      </c>
      <c r="S67" s="302" t="str">
        <f>$S$4</f>
        <v>Negro</v>
      </c>
      <c r="T67" s="363">
        <f>T41</f>
        <v>35</v>
      </c>
      <c r="U67" s="309">
        <f>-W59</f>
        <v>-27.680299999999999</v>
      </c>
      <c r="V67" s="309">
        <f t="shared" ref="V67:V69" si="5">SUM(T67:U67)</f>
        <v>7.319700000000001</v>
      </c>
      <c r="W67" s="330">
        <f t="shared" ref="W67:W69" si="6">V67/T67</f>
        <v>0.20913428571428574</v>
      </c>
    </row>
    <row r="68" spans="1:23">
      <c r="A68" s="364">
        <v>3</v>
      </c>
      <c r="B68" s="364">
        <f>B32</f>
        <v>0</v>
      </c>
      <c r="C68" s="364" t="str">
        <f>_xlfn.TEXTJOIN(", ",TRUE,
IF(OR(C32&gt;0,F32&gt;0,I32&gt;0,L32&gt;0),"M",""),
IF(OR(D32&gt;0,G32&gt;0,J32&gt;0,M32&gt;0),"L",""),
IF(OR(E32&gt;0,H32&gt;0,K32&gt;0,N32&gt;0),"XL","")
)</f>
        <v/>
      </c>
      <c r="D68" s="364" t="b">
        <f>IF(C68="M",1,IF(C68="L",2,IF(C68="XL",3)))</f>
        <v>0</v>
      </c>
      <c r="E68" s="365">
        <f>O32</f>
        <v>0</v>
      </c>
      <c r="F68" s="366">
        <f>P32</f>
        <v>0</v>
      </c>
      <c r="G68" s="364" t="str">
        <f t="shared" si="4"/>
        <v>DROP 1</v>
      </c>
      <c r="S68" s="302">
        <f>$S$5</f>
        <v>0</v>
      </c>
      <c r="T68" s="363"/>
      <c r="U68" s="309">
        <f>-W60</f>
        <v>0</v>
      </c>
      <c r="V68" s="309">
        <f t="shared" si="5"/>
        <v>0</v>
      </c>
      <c r="W68" s="330" t="e">
        <f t="shared" si="6"/>
        <v>#DIV/0!</v>
      </c>
    </row>
    <row r="69" spans="1:23">
      <c r="A69" s="364">
        <f>A68+1</f>
        <v>4</v>
      </c>
      <c r="B69" s="364">
        <f>B33</f>
        <v>0</v>
      </c>
      <c r="C69" s="364" t="str">
        <f>_xlfn.TEXTJOIN(", ",TRUE,
IF(OR(C33&gt;0,F33&gt;0,I33&gt;0,L33&gt;0),"M",""),
IF(OR(D33&gt;0,G33&gt;0,J33&gt;0,M33&gt;0),"L",""),
IF(OR(E33&gt;0,H33&gt;0,K33&gt;0,N33&gt;0),"XL","")
)</f>
        <v/>
      </c>
      <c r="D69" s="364" t="b">
        <f>IF(C69="M",1,IF(C69="L",2,IF(C69="XL",3)))</f>
        <v>0</v>
      </c>
      <c r="E69" s="365">
        <f>O33</f>
        <v>0</v>
      </c>
      <c r="F69" s="366">
        <f>P33</f>
        <v>0</v>
      </c>
      <c r="G69" s="364" t="str">
        <f t="shared" si="4"/>
        <v>DROP 1</v>
      </c>
      <c r="S69" s="302">
        <f>$S$6</f>
        <v>0</v>
      </c>
      <c r="T69" s="363"/>
      <c r="U69" s="320">
        <f>-W61</f>
        <v>0</v>
      </c>
      <c r="V69" s="320">
        <f t="shared" si="5"/>
        <v>0</v>
      </c>
      <c r="W69" s="330" t="e">
        <f t="shared" si="6"/>
        <v>#DIV/0!</v>
      </c>
    </row>
    <row r="70" spans="1:23">
      <c r="A70" s="364">
        <f t="shared" ref="A70:A100" si="7">A69+1</f>
        <v>5</v>
      </c>
      <c r="B70" s="364">
        <f>B34</f>
        <v>0</v>
      </c>
      <c r="C70" s="364" t="str">
        <f>_xlfn.TEXTJOIN(", ",TRUE,
IF(OR(C34&gt;0,F34&gt;0,I34&gt;0,L34&gt;0),"M",""),
IF(OR(D34&gt;0,G34&gt;0,J34&gt;0,M34&gt;0),"L",""),
IF(OR(E34&gt;0,H34&gt;0,K34&gt;0,N34&gt;0),"XL","")
)</f>
        <v/>
      </c>
      <c r="D70" s="364" t="b">
        <f>IF(C70="M",1,IF(C70="L",2,IF(C70="XL",3)))</f>
        <v>0</v>
      </c>
      <c r="E70" s="365">
        <f>O34</f>
        <v>0</v>
      </c>
      <c r="F70" s="366">
        <f>P34</f>
        <v>0</v>
      </c>
      <c r="G70" s="364" t="str">
        <f t="shared" si="4"/>
        <v>DROP 1</v>
      </c>
      <c r="S70" s="278"/>
      <c r="T70" s="359"/>
      <c r="U70" s="317"/>
      <c r="V70" s="317"/>
      <c r="W70" s="204"/>
    </row>
    <row r="71" spans="1:23" ht="15.75" thickBot="1">
      <c r="A71" s="364">
        <f t="shared" si="7"/>
        <v>6</v>
      </c>
      <c r="B71" s="364">
        <f>B35</f>
        <v>0</v>
      </c>
      <c r="C71" s="364" t="str">
        <f>_xlfn.TEXTJOIN(", ",TRUE,
IF(OR(C35&gt;0,F35&gt;0,I35&gt;0,L35&gt;0),"M",""),
IF(OR(D35&gt;0,G35&gt;0,J35&gt;0,M35&gt;0),"L",""),
IF(OR(E35&gt;0,H35&gt;0,K35&gt;0,N35&gt;0),"XL","")
)</f>
        <v/>
      </c>
      <c r="D71" s="364" t="b">
        <f>IF(C71="M",1,IF(C71="L",2,IF(C71="XL",3)))</f>
        <v>0</v>
      </c>
      <c r="E71" s="365">
        <f>O35</f>
        <v>0</v>
      </c>
      <c r="F71" s="366">
        <f>P35</f>
        <v>0</v>
      </c>
      <c r="G71" s="364" t="str">
        <f t="shared" si="4"/>
        <v>DROP 1</v>
      </c>
      <c r="S71" s="279"/>
      <c r="T71" s="360"/>
      <c r="U71" s="319"/>
      <c r="V71" s="319"/>
      <c r="W71" s="205"/>
    </row>
    <row r="72" spans="1:23">
      <c r="A72" s="364">
        <f t="shared" si="7"/>
        <v>7</v>
      </c>
      <c r="B72" s="364">
        <f>B36</f>
        <v>0</v>
      </c>
      <c r="C72" s="364" t="str">
        <f>_xlfn.TEXTJOIN(", ",TRUE,
IF(OR(C36&gt;0,F36&gt;0,I36&gt;0,L36&gt;0),"M",""),
IF(OR(D36&gt;0,G36&gt;0,J36&gt;0,M36&gt;0),"L",""),
IF(OR(E36&gt;0,H36&gt;0,K36&gt;0,N36&gt;0),"XL","")
)</f>
        <v/>
      </c>
      <c r="D72" s="364" t="b">
        <f>IF(C72="M",1,IF(C72="L",2,IF(C72="XL",3)))</f>
        <v>0</v>
      </c>
      <c r="E72" s="365">
        <f>O36</f>
        <v>0</v>
      </c>
      <c r="F72" s="366">
        <f>P36</f>
        <v>0</v>
      </c>
      <c r="G72" s="364" t="str">
        <f t="shared" si="4"/>
        <v>DROP 1</v>
      </c>
    </row>
    <row r="73" spans="1:23">
      <c r="A73" s="364">
        <f t="shared" si="7"/>
        <v>8</v>
      </c>
      <c r="B73" s="364">
        <f>B37</f>
        <v>0</v>
      </c>
      <c r="C73" s="364" t="str">
        <f>_xlfn.TEXTJOIN(", ",TRUE,
IF(OR(C37&gt;0,F37&gt;0,I37&gt;0,L37&gt;0),"M",""),
IF(OR(D37&gt;0,G37&gt;0,J37&gt;0,M37&gt;0),"L",""),
IF(OR(E37&gt;0,H37&gt;0,K37&gt;0,N37&gt;0),"XL","")
)</f>
        <v/>
      </c>
      <c r="D73" s="364" t="b">
        <f>IF(C73="M",1,IF(C73="L",2,IF(C73="XL",3)))</f>
        <v>0</v>
      </c>
      <c r="E73" s="365">
        <f>O37</f>
        <v>0</v>
      </c>
      <c r="F73" s="366">
        <f>P37</f>
        <v>0</v>
      </c>
      <c r="G73" s="364" t="str">
        <f t="shared" si="4"/>
        <v>DROP 1</v>
      </c>
    </row>
    <row r="74" spans="1:23">
      <c r="A74" s="364">
        <f t="shared" si="7"/>
        <v>9</v>
      </c>
      <c r="B74" s="364">
        <f>B38</f>
        <v>0</v>
      </c>
      <c r="C74" s="364" t="str">
        <f>_xlfn.TEXTJOIN(", ",TRUE,
IF(OR(C38&gt;0,F38&gt;0,I38&gt;0,L38&gt;0),"M",""),
IF(OR(D38&gt;0,G38&gt;0,J38&gt;0,M38&gt;0),"L",""),
IF(OR(E38&gt;0,H38&gt;0,K38&gt;0,N38&gt;0),"XL","")
)</f>
        <v/>
      </c>
      <c r="D74" s="364" t="b">
        <f>IF(C74="M",1,IF(C74="L",2,IF(C74="XL",3)))</f>
        <v>0</v>
      </c>
      <c r="E74" s="365">
        <f>O38</f>
        <v>0</v>
      </c>
      <c r="F74" s="366">
        <f>P38</f>
        <v>0</v>
      </c>
      <c r="G74" s="364" t="str">
        <f t="shared" si="4"/>
        <v>DROP 1</v>
      </c>
    </row>
    <row r="75" spans="1:23">
      <c r="A75" s="364">
        <f t="shared" si="7"/>
        <v>10</v>
      </c>
      <c r="B75" s="364">
        <f>B39</f>
        <v>0</v>
      </c>
      <c r="C75" s="364" t="str">
        <f>_xlfn.TEXTJOIN(", ",TRUE,
IF(OR(C39&gt;0,F39&gt;0,I39&gt;0,L39&gt;0),"M",""),
IF(OR(D39&gt;0,G39&gt;0,J39&gt;0,M39&gt;0),"L",""),
IF(OR(E39&gt;0,H39&gt;0,K39&gt;0,N39&gt;0),"XL","")
)</f>
        <v/>
      </c>
      <c r="D75" s="364" t="b">
        <f>IF(C75="M",1,IF(C75="L",2,IF(C75="XL",3)))</f>
        <v>0</v>
      </c>
      <c r="E75" s="365">
        <f>O39</f>
        <v>0</v>
      </c>
      <c r="F75" s="366">
        <f>P39</f>
        <v>0</v>
      </c>
      <c r="G75" s="364" t="str">
        <f t="shared" si="4"/>
        <v>DROP 1</v>
      </c>
    </row>
    <row r="76" spans="1:23">
      <c r="A76" s="364">
        <f t="shared" si="7"/>
        <v>11</v>
      </c>
      <c r="B76" s="364">
        <f>B40</f>
        <v>0</v>
      </c>
      <c r="C76" s="364" t="str">
        <f>_xlfn.TEXTJOIN(", ",TRUE,
IF(OR(C40&gt;0,F40&gt;0,I40&gt;0,L40&gt;0),"M",""),
IF(OR(D40&gt;0,G40&gt;0,J40&gt;0,M40&gt;0),"L",""),
IF(OR(E40&gt;0,H40&gt;0,K40&gt;0,N40&gt;0),"XL","")
)</f>
        <v/>
      </c>
      <c r="D76" s="364" t="b">
        <f>IF(C76="M",1,IF(C76="L",2,IF(C76="XL",3)))</f>
        <v>0</v>
      </c>
      <c r="E76" s="365">
        <f>O40</f>
        <v>0</v>
      </c>
      <c r="F76" s="366">
        <f>P40</f>
        <v>0</v>
      </c>
      <c r="G76" s="364" t="str">
        <f t="shared" si="4"/>
        <v>DROP 1</v>
      </c>
    </row>
    <row r="77" spans="1:23">
      <c r="A77" s="364">
        <f t="shared" si="7"/>
        <v>12</v>
      </c>
      <c r="B77" s="364">
        <f>B41</f>
        <v>0</v>
      </c>
      <c r="C77" s="364" t="str">
        <f>_xlfn.TEXTJOIN(", ",TRUE,
IF(OR(C41&gt;0,F41&gt;0,I41&gt;0,L41&gt;0),"M",""),
IF(OR(D41&gt;0,G41&gt;0,J41&gt;0,M41&gt;0),"L",""),
IF(OR(E41&gt;0,H41&gt;0,K41&gt;0,N41&gt;0),"XL","")
)</f>
        <v/>
      </c>
      <c r="D77" s="364" t="b">
        <f>IF(C77="M",1,IF(C77="L",2,IF(C77="XL",3)))</f>
        <v>0</v>
      </c>
      <c r="E77" s="365">
        <f>O41</f>
        <v>0</v>
      </c>
      <c r="F77" s="366">
        <f>P41</f>
        <v>0</v>
      </c>
      <c r="G77" s="364" t="str">
        <f t="shared" si="4"/>
        <v>DROP 1</v>
      </c>
    </row>
    <row r="78" spans="1:23">
      <c r="A78" s="364">
        <f t="shared" si="7"/>
        <v>13</v>
      </c>
      <c r="B78" s="364">
        <f>B42</f>
        <v>0</v>
      </c>
      <c r="C78" s="364" t="str">
        <f>_xlfn.TEXTJOIN(", ",TRUE,
IF(OR(C42&gt;0,F42&gt;0,I42&gt;0,L42&gt;0),"M",""),
IF(OR(D42&gt;0,G42&gt;0,J42&gt;0,M42&gt;0),"L",""),
IF(OR(E42&gt;0,H42&gt;0,K42&gt;0,N42&gt;0),"XL","")
)</f>
        <v/>
      </c>
      <c r="D78" s="364" t="b">
        <f>IF(C78="M",1,IF(C78="L",2,IF(C78="XL",3)))</f>
        <v>0</v>
      </c>
      <c r="E78" s="365">
        <f>O42</f>
        <v>0</v>
      </c>
      <c r="F78" s="366">
        <f>P42</f>
        <v>0</v>
      </c>
      <c r="G78" s="364" t="str">
        <f t="shared" si="4"/>
        <v>DROP 1</v>
      </c>
    </row>
    <row r="79" spans="1:23">
      <c r="A79" s="364">
        <f t="shared" si="7"/>
        <v>14</v>
      </c>
      <c r="B79" s="364">
        <f>B43</f>
        <v>0</v>
      </c>
      <c r="C79" s="364" t="str">
        <f>_xlfn.TEXTJOIN(", ",TRUE,
IF(OR(C43&gt;0,F43&gt;0,I43&gt;0,L43&gt;0),"M",""),
IF(OR(D43&gt;0,G43&gt;0,J43&gt;0,M43&gt;0),"L",""),
IF(OR(E43&gt;0,H43&gt;0,K43&gt;0,N43&gt;0),"XL","")
)</f>
        <v/>
      </c>
      <c r="D79" s="364" t="b">
        <f>IF(C79="M",1,IF(C79="L",2,IF(C79="XL",3)))</f>
        <v>0</v>
      </c>
      <c r="E79" s="365">
        <f>O43</f>
        <v>0</v>
      </c>
      <c r="F79" s="366">
        <f>P43</f>
        <v>0</v>
      </c>
      <c r="G79" s="364" t="str">
        <f t="shared" si="4"/>
        <v>DROP 1</v>
      </c>
    </row>
    <row r="80" spans="1:23">
      <c r="A80" s="364">
        <f t="shared" si="7"/>
        <v>15</v>
      </c>
      <c r="B80" s="364">
        <f>B44</f>
        <v>0</v>
      </c>
      <c r="C80" s="364" t="str">
        <f>_xlfn.TEXTJOIN(", ",TRUE,
IF(OR(C44&gt;0,F44&gt;0,I44&gt;0,L44&gt;0),"M",""),
IF(OR(D44&gt;0,G44&gt;0,J44&gt;0,M44&gt;0),"L",""),
IF(OR(E44&gt;0,H44&gt;0,K44&gt;0,N44&gt;0),"XL","")
)</f>
        <v/>
      </c>
      <c r="D80" s="364" t="b">
        <f>IF(C80="M",1,IF(C80="L",2,IF(C80="XL",3)))</f>
        <v>0</v>
      </c>
      <c r="E80" s="365">
        <f>O44</f>
        <v>0</v>
      </c>
      <c r="F80" s="366">
        <f>P44</f>
        <v>0</v>
      </c>
      <c r="G80" s="364" t="str">
        <f t="shared" si="4"/>
        <v>DROP 1</v>
      </c>
    </row>
    <row r="81" spans="1:7">
      <c r="A81" s="364">
        <f t="shared" si="7"/>
        <v>16</v>
      </c>
      <c r="B81" s="364">
        <f>B45</f>
        <v>0</v>
      </c>
      <c r="C81" s="364" t="str">
        <f>_xlfn.TEXTJOIN(", ",TRUE,
IF(OR(C45&gt;0,F45&gt;0,I45&gt;0,L45&gt;0),"M",""),
IF(OR(D45&gt;0,G45&gt;0,J45&gt;0,M45&gt;0),"L",""),
IF(OR(E45&gt;0,H45&gt;0,K45&gt;0,N45&gt;0),"XL","")
)</f>
        <v/>
      </c>
      <c r="D81" s="364" t="b">
        <f>IF(C81="M",1,IF(C81="L",2,IF(C81="XL",3)))</f>
        <v>0</v>
      </c>
      <c r="E81" s="365">
        <f>O45</f>
        <v>0</v>
      </c>
      <c r="F81" s="366">
        <f>P45</f>
        <v>0</v>
      </c>
      <c r="G81" s="364" t="str">
        <f t="shared" si="4"/>
        <v>DROP 1</v>
      </c>
    </row>
    <row r="82" spans="1:7">
      <c r="A82" s="364">
        <f t="shared" si="7"/>
        <v>17</v>
      </c>
      <c r="B82" s="364">
        <f>B46</f>
        <v>0</v>
      </c>
      <c r="C82" s="364" t="str">
        <f>_xlfn.TEXTJOIN(", ",TRUE,
IF(OR(C46&gt;0,F46&gt;0,I46&gt;0,L46&gt;0),"M",""),
IF(OR(D46&gt;0,G46&gt;0,J46&gt;0,M46&gt;0),"L",""),
IF(OR(E46&gt;0,H46&gt;0,K46&gt;0,N46&gt;0),"XL","")
)</f>
        <v/>
      </c>
      <c r="D82" s="364" t="b">
        <f>IF(C82="M",1,IF(C82="L",2,IF(C82="XL",3)))</f>
        <v>0</v>
      </c>
      <c r="E82" s="365">
        <f>O46</f>
        <v>0</v>
      </c>
      <c r="F82" s="366">
        <f>P46</f>
        <v>0</v>
      </c>
      <c r="G82" s="364" t="str">
        <f t="shared" si="4"/>
        <v>DROP 1</v>
      </c>
    </row>
    <row r="83" spans="1:7">
      <c r="A83" s="364">
        <f t="shared" si="7"/>
        <v>18</v>
      </c>
      <c r="B83" s="364">
        <f>B47</f>
        <v>0</v>
      </c>
      <c r="C83" s="364" t="str">
        <f>_xlfn.TEXTJOIN(", ",TRUE,
IF(OR(C47&gt;0,F47&gt;0,I47&gt;0,L47&gt;0),"M",""),
IF(OR(D47&gt;0,G47&gt;0,J47&gt;0,M47&gt;0),"L",""),
IF(OR(E47&gt;0,H47&gt;0,K47&gt;0,N47&gt;0),"XL","")
)</f>
        <v/>
      </c>
      <c r="D83" s="364" t="b">
        <f>IF(C83="M",1,IF(C83="L",2,IF(C83="XL",3)))</f>
        <v>0</v>
      </c>
      <c r="E83" s="365">
        <f>O47</f>
        <v>0</v>
      </c>
      <c r="F83" s="366">
        <f>P47</f>
        <v>0</v>
      </c>
      <c r="G83" s="364" t="str">
        <f t="shared" si="4"/>
        <v>DROP 1</v>
      </c>
    </row>
    <row r="84" spans="1:7">
      <c r="A84" s="364">
        <f t="shared" si="7"/>
        <v>19</v>
      </c>
      <c r="B84" s="364">
        <f>B48</f>
        <v>0</v>
      </c>
      <c r="C84" s="364" t="str">
        <f>_xlfn.TEXTJOIN(", ",TRUE,
IF(OR(C48&gt;0,F48&gt;0,I48&gt;0,L48&gt;0),"M",""),
IF(OR(D48&gt;0,G48&gt;0,J48&gt;0,M48&gt;0),"L",""),
IF(OR(E48&gt;0,H48&gt;0,K48&gt;0,N48&gt;0),"XL","")
)</f>
        <v/>
      </c>
      <c r="D84" s="364" t="b">
        <f>IF(C84="M",1,IF(C84="L",2,IF(C84="XL",3)))</f>
        <v>0</v>
      </c>
      <c r="E84" s="365">
        <f>O48</f>
        <v>0</v>
      </c>
      <c r="F84" s="366">
        <f>P48</f>
        <v>0</v>
      </c>
      <c r="G84" s="364" t="str">
        <f t="shared" si="4"/>
        <v>DROP 1</v>
      </c>
    </row>
    <row r="85" spans="1:7">
      <c r="A85" s="364">
        <f t="shared" si="7"/>
        <v>20</v>
      </c>
      <c r="B85" s="364">
        <f>B49</f>
        <v>0</v>
      </c>
      <c r="C85" s="364" t="str">
        <f>_xlfn.TEXTJOIN(", ",TRUE,
IF(OR(C49&gt;0,F49&gt;0,I49&gt;0,L49&gt;0),"M",""),
IF(OR(D49&gt;0,G49&gt;0,J49&gt;0,M49&gt;0),"L",""),
IF(OR(E49&gt;0,H49&gt;0,K49&gt;0,N49&gt;0),"XL","")
)</f>
        <v/>
      </c>
      <c r="D85" s="364" t="b">
        <f>IF(C85="M",1,IF(C85="L",2,IF(C85="XL",3)))</f>
        <v>0</v>
      </c>
      <c r="E85" s="365">
        <f>O49</f>
        <v>0</v>
      </c>
      <c r="F85" s="366">
        <f>P49</f>
        <v>0</v>
      </c>
      <c r="G85" s="364" t="str">
        <f t="shared" si="4"/>
        <v>DROP 1</v>
      </c>
    </row>
    <row r="86" spans="1:7">
      <c r="A86" s="364">
        <f t="shared" si="7"/>
        <v>21</v>
      </c>
      <c r="B86" s="364">
        <f>B50</f>
        <v>0</v>
      </c>
      <c r="C86" s="364" t="str">
        <f>_xlfn.TEXTJOIN(", ",TRUE,
IF(OR(C50&gt;0,F50&gt;0,I50&gt;0,L50&gt;0),"M",""),
IF(OR(D50&gt;0,G50&gt;0,J50&gt;0,M50&gt;0),"L",""),
IF(OR(E50&gt;0,H50&gt;0,K50&gt;0,N50&gt;0),"XL","")
)</f>
        <v/>
      </c>
      <c r="D86" s="364" t="b">
        <f>IF(C86="M",1,IF(C86="L",2,IF(C86="XL",3)))</f>
        <v>0</v>
      </c>
      <c r="E86" s="365">
        <f>O50</f>
        <v>0</v>
      </c>
      <c r="F86" s="366">
        <f>P50</f>
        <v>0</v>
      </c>
      <c r="G86" s="364" t="str">
        <f t="shared" si="4"/>
        <v>DROP 1</v>
      </c>
    </row>
    <row r="87" spans="1:7">
      <c r="A87" s="364">
        <f t="shared" si="7"/>
        <v>22</v>
      </c>
      <c r="B87" s="364">
        <f>B51</f>
        <v>0</v>
      </c>
      <c r="C87" s="364" t="str">
        <f>_xlfn.TEXTJOIN(", ",TRUE,
IF(OR(C51&gt;0,F51&gt;0,I51&gt;0,L51&gt;0),"M",""),
IF(OR(D51&gt;0,G51&gt;0,J51&gt;0,M51&gt;0),"L",""),
IF(OR(E51&gt;0,H51&gt;0,K51&gt;0,N51&gt;0),"XL","")
)</f>
        <v/>
      </c>
      <c r="D87" s="364" t="b">
        <f>IF(C87="M",1,IF(C87="L",2,IF(C87="XL",3)))</f>
        <v>0</v>
      </c>
      <c r="E87" s="365">
        <f>O51</f>
        <v>0</v>
      </c>
      <c r="F87" s="366">
        <f>P51</f>
        <v>0</v>
      </c>
      <c r="G87" s="364" t="str">
        <f t="shared" si="4"/>
        <v>DROP 1</v>
      </c>
    </row>
    <row r="88" spans="1:7">
      <c r="A88" s="364">
        <f t="shared" si="7"/>
        <v>23</v>
      </c>
      <c r="B88" s="364">
        <f>B52</f>
        <v>0</v>
      </c>
      <c r="C88" s="364" t="str">
        <f>_xlfn.TEXTJOIN(", ",TRUE,
IF(OR(C52&gt;0,F52&gt;0,I52&gt;0,L52&gt;0),"M",""),
IF(OR(D52&gt;0,G52&gt;0,J52&gt;0,M52&gt;0),"L",""),
IF(OR(E52&gt;0,H52&gt;0,K52&gt;0,N52&gt;0),"XL","")
)</f>
        <v/>
      </c>
      <c r="D88" s="364" t="b">
        <f>IF(C88="M",1,IF(C88="L",2,IF(C88="XL",3)))</f>
        <v>0</v>
      </c>
      <c r="E88" s="365">
        <f>O52</f>
        <v>0</v>
      </c>
      <c r="F88" s="366">
        <f>P52</f>
        <v>0</v>
      </c>
      <c r="G88" s="364" t="str">
        <f t="shared" si="4"/>
        <v>DROP 1</v>
      </c>
    </row>
    <row r="89" spans="1:7">
      <c r="A89" s="364">
        <f t="shared" si="7"/>
        <v>24</v>
      </c>
      <c r="B89" s="364">
        <f>B53</f>
        <v>0</v>
      </c>
      <c r="C89" s="364" t="str">
        <f>_xlfn.TEXTJOIN(", ",TRUE,
IF(OR(C53&gt;0,F53&gt;0,I53&gt;0,L53&gt;0),"M",""),
IF(OR(D53&gt;0,G53&gt;0,J53&gt;0,M53&gt;0),"L",""),
IF(OR(E53&gt;0,H53&gt;0,K53&gt;0,N53&gt;0),"XL","")
)</f>
        <v/>
      </c>
      <c r="D89" s="364" t="b">
        <f>IF(C89="M",1,IF(C89="L",2,IF(C89="XL",3)))</f>
        <v>0</v>
      </c>
      <c r="E89" s="365">
        <f>O53</f>
        <v>0</v>
      </c>
      <c r="F89" s="366">
        <f>P53</f>
        <v>0</v>
      </c>
      <c r="G89" s="364" t="str">
        <f t="shared" si="4"/>
        <v>DROP 1</v>
      </c>
    </row>
    <row r="90" spans="1:7">
      <c r="A90" s="364">
        <f t="shared" si="7"/>
        <v>25</v>
      </c>
      <c r="B90" s="364">
        <f>B54</f>
        <v>0</v>
      </c>
      <c r="C90" s="364" t="str">
        <f>_xlfn.TEXTJOIN(", ",TRUE,
IF(OR(C54&gt;0,F54&gt;0,I54&gt;0,L54&gt;0),"M",""),
IF(OR(D54&gt;0,G54&gt;0,J54&gt;0,M54&gt;0),"L",""),
IF(OR(E54&gt;0,H54&gt;0,K54&gt;0,N54&gt;0),"XL","")
)</f>
        <v/>
      </c>
      <c r="D90" s="364" t="b">
        <f>IF(C90="M",1,IF(C90="L",2,IF(C90="XL",3)))</f>
        <v>0</v>
      </c>
      <c r="E90" s="365">
        <f>O54</f>
        <v>0</v>
      </c>
      <c r="F90" s="366">
        <f>P54</f>
        <v>0</v>
      </c>
      <c r="G90" s="364" t="str">
        <f t="shared" si="4"/>
        <v>DROP 1</v>
      </c>
    </row>
    <row r="91" spans="1:7">
      <c r="A91" s="364">
        <f t="shared" si="7"/>
        <v>26</v>
      </c>
      <c r="B91" s="364">
        <f>B55</f>
        <v>0</v>
      </c>
      <c r="C91" s="364" t="str">
        <f>_xlfn.TEXTJOIN(", ",TRUE,
IF(OR(C55&gt;0,F55&gt;0,I55&gt;0,L55&gt;0),"M",""),
IF(OR(D55&gt;0,G55&gt;0,J55&gt;0,M55&gt;0),"L",""),
IF(OR(E55&gt;0,H55&gt;0,K55&gt;0,N55&gt;0),"XL","")
)</f>
        <v/>
      </c>
      <c r="D91" s="364" t="b">
        <f>IF(C91="M",1,IF(C91="L",2,IF(C91="XL",3)))</f>
        <v>0</v>
      </c>
      <c r="E91" s="365">
        <f>O55</f>
        <v>0</v>
      </c>
      <c r="F91" s="366">
        <f>P55</f>
        <v>0</v>
      </c>
      <c r="G91" s="364" t="str">
        <f t="shared" si="4"/>
        <v>DROP 1</v>
      </c>
    </row>
    <row r="92" spans="1:7">
      <c r="A92" s="364">
        <f t="shared" si="7"/>
        <v>27</v>
      </c>
      <c r="B92" s="364">
        <f>B56</f>
        <v>0</v>
      </c>
      <c r="C92" s="364" t="str">
        <f>_xlfn.TEXTJOIN(", ",TRUE,
IF(OR(C56&gt;0,F56&gt;0,I56&gt;0,L56&gt;0),"M",""),
IF(OR(D56&gt;0,G56&gt;0,J56&gt;0,M56&gt;0),"L",""),
IF(OR(E56&gt;0,H56&gt;0,K56&gt;0,N56&gt;0),"XL","")
)</f>
        <v/>
      </c>
      <c r="D92" s="364" t="b">
        <f>IF(C92="M",1,IF(C92="L",2,IF(C92="XL",3)))</f>
        <v>0</v>
      </c>
      <c r="E92" s="365">
        <f>O56</f>
        <v>0</v>
      </c>
      <c r="F92" s="366">
        <f>P56</f>
        <v>0</v>
      </c>
      <c r="G92" s="364" t="str">
        <f t="shared" si="4"/>
        <v>DROP 1</v>
      </c>
    </row>
    <row r="93" spans="1:7">
      <c r="A93" s="364">
        <f t="shared" si="7"/>
        <v>28</v>
      </c>
      <c r="B93" s="364">
        <f>B57</f>
        <v>0</v>
      </c>
      <c r="C93" s="364" t="str">
        <f>_xlfn.TEXTJOIN(", ",TRUE,
IF(OR(C57&gt;0,F57&gt;0,I57&gt;0,L57&gt;0),"M",""),
IF(OR(D57&gt;0,G57&gt;0,J57&gt;0,M57&gt;0),"L",""),
IF(OR(E57&gt;0,H57&gt;0,K57&gt;0,N57&gt;0),"XL","")
)</f>
        <v/>
      </c>
      <c r="D93" s="364" t="b">
        <f>IF(C93="M",1,IF(C93="L",2,IF(C93="XL",3)))</f>
        <v>0</v>
      </c>
      <c r="E93" s="365">
        <f>O57</f>
        <v>0</v>
      </c>
      <c r="F93" s="366">
        <f>P57</f>
        <v>0</v>
      </c>
      <c r="G93" s="364" t="str">
        <f t="shared" si="4"/>
        <v>DROP 1</v>
      </c>
    </row>
    <row r="94" spans="1:7">
      <c r="A94" s="364">
        <f t="shared" si="7"/>
        <v>29</v>
      </c>
      <c r="B94" s="364">
        <f>B58</f>
        <v>0</v>
      </c>
      <c r="C94" s="364" t="str">
        <f>_xlfn.TEXTJOIN(", ",TRUE,
IF(OR(C58&gt;0,F58&gt;0,I58&gt;0,L58&gt;0),"M",""),
IF(OR(D58&gt;0,G58&gt;0,J58&gt;0,M58&gt;0),"L",""),
IF(OR(E58&gt;0,H58&gt;0,K58&gt;0,N58&gt;0),"XL","")
)</f>
        <v/>
      </c>
      <c r="D94" s="364" t="b">
        <f>IF(C94="M",1,IF(C94="L",2,IF(C94="XL",3)))</f>
        <v>0</v>
      </c>
      <c r="E94" s="365">
        <f>O58</f>
        <v>0</v>
      </c>
      <c r="F94" s="366">
        <f>P58</f>
        <v>0</v>
      </c>
      <c r="G94" s="364" t="str">
        <f t="shared" si="4"/>
        <v>DROP 1</v>
      </c>
    </row>
    <row r="95" spans="1:7">
      <c r="A95" s="364">
        <f t="shared" si="7"/>
        <v>30</v>
      </c>
      <c r="B95" s="364">
        <f>B59</f>
        <v>0</v>
      </c>
      <c r="C95" s="364" t="str">
        <f>_xlfn.TEXTJOIN(", ",TRUE,
IF(OR(C59&gt;0,F59&gt;0,I59&gt;0,L59&gt;0),"M",""),
IF(OR(D59&gt;0,G59&gt;0,J59&gt;0,M59&gt;0),"L",""),
IF(OR(E59&gt;0,H59&gt;0,K59&gt;0,N59&gt;0),"XL","")
)</f>
        <v/>
      </c>
      <c r="D95" s="364" t="b">
        <f>IF(C95="M",1,IF(C95="L",2,IF(C95="XL",3)))</f>
        <v>0</v>
      </c>
      <c r="E95" s="365">
        <f>O59</f>
        <v>0</v>
      </c>
      <c r="F95" s="366">
        <f>P59</f>
        <v>0</v>
      </c>
      <c r="G95" s="364" t="str">
        <f t="shared" si="4"/>
        <v>DROP 1</v>
      </c>
    </row>
    <row r="96" spans="1:7">
      <c r="A96" s="364">
        <f t="shared" si="7"/>
        <v>31</v>
      </c>
      <c r="B96" s="364">
        <f>B60</f>
        <v>0</v>
      </c>
      <c r="C96" s="364" t="str">
        <f>_xlfn.TEXTJOIN(", ",TRUE,
IF(OR(C60&gt;0,F60&gt;0,I60&gt;0,L60&gt;0),"M",""),
IF(OR(D60&gt;0,G60&gt;0,J60&gt;0,M60&gt;0),"L",""),
IF(OR(E60&gt;0,H60&gt;0,K60&gt;0,N60&gt;0),"XL","")
)</f>
        <v/>
      </c>
      <c r="D96" s="364" t="b">
        <f>IF(C96="M",1,IF(C96="L",2,IF(C96="XL",3)))</f>
        <v>0</v>
      </c>
      <c r="E96" s="365">
        <f>O60</f>
        <v>0</v>
      </c>
      <c r="F96" s="366">
        <f>P60</f>
        <v>0</v>
      </c>
      <c r="G96" s="364" t="str">
        <f t="shared" si="4"/>
        <v>DROP 1</v>
      </c>
    </row>
    <row r="97" spans="1:7">
      <c r="A97" s="364">
        <f t="shared" si="7"/>
        <v>32</v>
      </c>
      <c r="B97" s="364">
        <f>B61</f>
        <v>0</v>
      </c>
      <c r="C97" s="364" t="str">
        <f>_xlfn.TEXTJOIN(", ",TRUE,
IF(OR(C61&gt;0,F61&gt;0,I61&gt;0,L61&gt;0),"M",""),
IF(OR(D61&gt;0,G61&gt;0,J61&gt;0,M61&gt;0),"L",""),
IF(OR(E61&gt;0,H61&gt;0,K61&gt;0,N61&gt;0),"XL","")
)</f>
        <v/>
      </c>
      <c r="D97" s="364" t="b">
        <f>IF(C97="M",1,IF(C97="L",2,IF(C97="XL",3)))</f>
        <v>0</v>
      </c>
      <c r="E97" s="365">
        <f>O61</f>
        <v>0</v>
      </c>
      <c r="F97" s="366">
        <f>P61</f>
        <v>0</v>
      </c>
      <c r="G97" s="364" t="str">
        <f t="shared" si="4"/>
        <v>DROP 1</v>
      </c>
    </row>
    <row r="98" spans="1:7">
      <c r="A98" s="364">
        <f t="shared" si="7"/>
        <v>33</v>
      </c>
      <c r="B98" s="364">
        <f>B62</f>
        <v>0</v>
      </c>
      <c r="C98" s="364" t="str">
        <f>_xlfn.TEXTJOIN(", ",TRUE,
IF(OR(C62&gt;0,F62&gt;0,I62&gt;0,L62&gt;0),"M",""),
IF(OR(D62&gt;0,G62&gt;0,J62&gt;0,M62&gt;0),"L",""),
IF(OR(E62&gt;0,H62&gt;0,K62&gt;0,N62&gt;0),"XL","")
)</f>
        <v/>
      </c>
      <c r="D98" s="364" t="b">
        <f>IF(C98="M",1,IF(C98="L",2,IF(C98="XL",3)))</f>
        <v>0</v>
      </c>
      <c r="E98" s="365">
        <f>O62</f>
        <v>0</v>
      </c>
      <c r="F98" s="366">
        <f>P62</f>
        <v>0</v>
      </c>
      <c r="G98" s="364" t="str">
        <f t="shared" si="4"/>
        <v>DROP 1</v>
      </c>
    </row>
    <row r="99" spans="1:7">
      <c r="A99" s="364">
        <f t="shared" si="7"/>
        <v>34</v>
      </c>
      <c r="B99" s="364">
        <f>B63</f>
        <v>0</v>
      </c>
      <c r="C99" s="364" t="str">
        <f>_xlfn.TEXTJOIN(", ",TRUE,
IF(OR(C63&gt;0,F63&gt;0,I63&gt;0,L63&gt;0),"M",""),
IF(OR(D63&gt;0,G63&gt;0,J63&gt;0,M63&gt;0),"L",""),
IF(OR(E63&gt;0,H63&gt;0,K63&gt;0,N63&gt;0),"XL","")
)</f>
        <v/>
      </c>
      <c r="D99" s="364" t="b">
        <f>IF(C99="M",1,IF(C99="L",2,IF(C99="XL",3)))</f>
        <v>0</v>
      </c>
      <c r="E99" s="365">
        <f>O63</f>
        <v>0</v>
      </c>
      <c r="F99" s="366">
        <f>P63</f>
        <v>0</v>
      </c>
      <c r="G99" s="364" t="str">
        <f t="shared" si="4"/>
        <v>DROP 1</v>
      </c>
    </row>
    <row r="100" spans="1:7">
      <c r="A100" s="364">
        <f t="shared" si="7"/>
        <v>35</v>
      </c>
      <c r="B100" s="364">
        <f>B64</f>
        <v>0</v>
      </c>
      <c r="C100" s="364" t="str">
        <f>_xlfn.TEXTJOIN(", ",TRUE,
IF(OR(C64&gt;0,F64&gt;0,I64&gt;0,L64&gt;0),"M",""),
IF(OR(D64&gt;0,G64&gt;0,J64&gt;0,M64&gt;0),"L",""),
IF(OR(E64&gt;0,H64&gt;0,K64&gt;0,N64&gt;0),"XL","")
)</f>
        <v/>
      </c>
      <c r="D100" s="364" t="b">
        <f>IF(C100="M",1,IF(C100="L",2,IF(C100="XL",3)))</f>
        <v>0</v>
      </c>
      <c r="E100" s="365">
        <f>O64</f>
        <v>0</v>
      </c>
      <c r="F100" s="366">
        <f>P64</f>
        <v>0</v>
      </c>
      <c r="G100" s="364" t="str">
        <f t="shared" si="4"/>
        <v>DROP 1</v>
      </c>
    </row>
  </sheetData>
  <mergeCells count="5">
    <mergeCell ref="B2:D3"/>
    <mergeCell ref="C25:E25"/>
    <mergeCell ref="F25:H25"/>
    <mergeCell ref="I25:K25"/>
    <mergeCell ref="L25:N25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A72541-9C86-8148-AB94-627EBEFB1415}">
          <x14:formula1>
            <xm:f>CLIENTES!$A$2:$A$1048576</xm:f>
          </x14:formula1>
          <xm:sqref>B30:B64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A87D-CE25-094C-BD9B-CC8DE1BBF20D}">
  <sheetPr>
    <tabColor rgb="FF92D050"/>
  </sheetPr>
  <dimension ref="C2:DM158"/>
  <sheetViews>
    <sheetView topLeftCell="AK59" zoomScale="68" zoomScaleNormal="50" workbookViewId="0">
      <selection activeCell="CM77" sqref="CM77:CN78"/>
    </sheetView>
  </sheetViews>
  <sheetFormatPr defaultColWidth="10.875" defaultRowHeight="15.95" customHeight="1"/>
  <cols>
    <col min="23" max="24" width="10.875" customWidth="1"/>
    <col min="25" max="25" width="12.875" customWidth="1"/>
    <col min="42" max="45" width="10.875" customWidth="1"/>
    <col min="46" max="46" width="12.75" customWidth="1"/>
    <col min="54" max="54" width="10.875" customWidth="1"/>
    <col min="58" max="59" width="10.875" customWidth="1"/>
    <col min="84" max="84" width="10.875" customWidth="1"/>
    <col min="89" max="89" width="13.75" customWidth="1"/>
    <col min="90" max="90" width="10.875" customWidth="1"/>
    <col min="92" max="92" width="10.875" customWidth="1"/>
  </cols>
  <sheetData>
    <row r="2" spans="3:117" ht="15.95" customHeight="1" thickBot="1"/>
    <row r="3" spans="3:117" ht="15.95" customHeight="1">
      <c r="C3" s="573"/>
      <c r="D3" s="574"/>
      <c r="E3" s="574"/>
      <c r="F3" s="575"/>
      <c r="G3" s="523" t="s">
        <v>265</v>
      </c>
      <c r="H3" s="524"/>
      <c r="I3" s="524"/>
      <c r="J3" s="524"/>
      <c r="K3" s="524"/>
      <c r="L3" s="524"/>
      <c r="M3" s="525"/>
      <c r="R3" s="523" t="s">
        <v>266</v>
      </c>
      <c r="S3" s="524"/>
      <c r="T3" s="524"/>
      <c r="U3" s="524"/>
      <c r="V3" s="524"/>
      <c r="W3" s="524"/>
      <c r="X3" s="524"/>
      <c r="Y3" s="525"/>
      <c r="AD3" s="523" t="s">
        <v>267</v>
      </c>
      <c r="AE3" s="524"/>
      <c r="AF3" s="524"/>
      <c r="AG3" s="524"/>
      <c r="AH3" s="524"/>
      <c r="AI3" s="524"/>
      <c r="AJ3" s="525"/>
      <c r="AL3" s="435" t="s">
        <v>268</v>
      </c>
      <c r="AM3" s="436"/>
      <c r="AN3" s="436"/>
      <c r="AO3" s="435" t="s">
        <v>269</v>
      </c>
      <c r="AP3" s="436"/>
      <c r="AQ3" s="437"/>
      <c r="AR3" s="435" t="s">
        <v>270</v>
      </c>
      <c r="AS3" s="436"/>
      <c r="AT3" s="437"/>
      <c r="AU3" s="435" t="s">
        <v>113</v>
      </c>
      <c r="AV3" s="436"/>
      <c r="AW3" s="437"/>
      <c r="AX3" s="435" t="s">
        <v>271</v>
      </c>
      <c r="AY3" s="436"/>
      <c r="AZ3" s="437"/>
      <c r="BA3" s="435" t="s">
        <v>139</v>
      </c>
      <c r="BB3" s="436"/>
      <c r="BC3" s="437"/>
      <c r="BD3" s="435" t="s">
        <v>272</v>
      </c>
      <c r="BE3" s="436"/>
      <c r="BF3" s="437"/>
      <c r="BI3" s="533" t="s">
        <v>98</v>
      </c>
      <c r="BJ3" s="534"/>
      <c r="BK3" s="534"/>
      <c r="BL3" s="534"/>
      <c r="BM3" s="535"/>
      <c r="BN3" s="488">
        <f>BG56</f>
        <v>875</v>
      </c>
      <c r="BO3" s="489"/>
      <c r="BR3" s="492"/>
      <c r="BS3" s="493"/>
      <c r="BT3" s="493"/>
      <c r="BU3" s="494"/>
      <c r="BV3" s="509"/>
      <c r="BW3" s="510"/>
      <c r="BX3" s="872"/>
      <c r="BY3" s="873"/>
      <c r="BZ3" s="874"/>
      <c r="CP3" s="7"/>
      <c r="CQ3" s="7"/>
      <c r="CR3" s="7"/>
      <c r="CS3" s="7"/>
      <c r="DA3" s="22"/>
      <c r="DB3" s="22"/>
    </row>
    <row r="4" spans="3:117" ht="15.95" customHeight="1" thickBot="1">
      <c r="C4" s="576"/>
      <c r="D4" s="577"/>
      <c r="E4" s="577"/>
      <c r="F4" s="578"/>
      <c r="G4" s="526"/>
      <c r="H4" s="527"/>
      <c r="I4" s="527"/>
      <c r="J4" s="527"/>
      <c r="K4" s="527"/>
      <c r="L4" s="527"/>
      <c r="M4" s="528"/>
      <c r="R4" s="526"/>
      <c r="S4" s="527"/>
      <c r="T4" s="527"/>
      <c r="U4" s="527"/>
      <c r="V4" s="527"/>
      <c r="W4" s="527"/>
      <c r="X4" s="527"/>
      <c r="Y4" s="528"/>
      <c r="AD4" s="526"/>
      <c r="AE4" s="527"/>
      <c r="AF4" s="527"/>
      <c r="AG4" s="527"/>
      <c r="AH4" s="527"/>
      <c r="AI4" s="527"/>
      <c r="AJ4" s="528"/>
      <c r="AL4" s="438"/>
      <c r="AM4" s="439"/>
      <c r="AN4" s="439"/>
      <c r="AO4" s="438"/>
      <c r="AP4" s="439"/>
      <c r="AQ4" s="440"/>
      <c r="AR4" s="438"/>
      <c r="AS4" s="439"/>
      <c r="AT4" s="440"/>
      <c r="AU4" s="438"/>
      <c r="AV4" s="439"/>
      <c r="AW4" s="440"/>
      <c r="AX4" s="438"/>
      <c r="AY4" s="439"/>
      <c r="AZ4" s="440"/>
      <c r="BA4" s="438"/>
      <c r="BB4" s="439"/>
      <c r="BC4" s="440"/>
      <c r="BD4" s="438"/>
      <c r="BE4" s="439"/>
      <c r="BF4" s="440"/>
      <c r="BI4" s="536"/>
      <c r="BJ4" s="537"/>
      <c r="BK4" s="537"/>
      <c r="BL4" s="537"/>
      <c r="BM4" s="538"/>
      <c r="BN4" s="490"/>
      <c r="BO4" s="491"/>
      <c r="BR4" s="495"/>
      <c r="BS4" s="496"/>
      <c r="BT4" s="496"/>
      <c r="BU4" s="497"/>
      <c r="BV4" s="869"/>
      <c r="BW4" s="870"/>
      <c r="BX4" s="875"/>
      <c r="BY4" s="876"/>
      <c r="BZ4" s="877"/>
      <c r="CP4" s="7"/>
      <c r="CQ4" s="7"/>
      <c r="CR4" s="7"/>
      <c r="CS4" s="7"/>
      <c r="DA4" s="22"/>
      <c r="DB4" s="22"/>
    </row>
    <row r="5" spans="3:117" ht="15.95" customHeight="1" thickBot="1">
      <c r="C5" s="576"/>
      <c r="D5" s="577"/>
      <c r="E5" s="577"/>
      <c r="F5" s="578"/>
      <c r="G5" s="486" t="s">
        <v>273</v>
      </c>
      <c r="H5" s="484" t="s">
        <v>274</v>
      </c>
      <c r="I5" s="484" t="s">
        <v>16</v>
      </c>
      <c r="J5" s="484" t="s">
        <v>13</v>
      </c>
      <c r="K5" s="484" t="s">
        <v>275</v>
      </c>
      <c r="L5" s="484" t="s">
        <v>276</v>
      </c>
      <c r="M5" s="484" t="s">
        <v>277</v>
      </c>
      <c r="R5" s="486" t="s">
        <v>273</v>
      </c>
      <c r="S5" s="484" t="s">
        <v>274</v>
      </c>
      <c r="T5" s="484" t="s">
        <v>16</v>
      </c>
      <c r="U5" s="484" t="s">
        <v>13</v>
      </c>
      <c r="V5" s="484" t="s">
        <v>118</v>
      </c>
      <c r="W5" s="484" t="s">
        <v>275</v>
      </c>
      <c r="X5" s="484" t="s">
        <v>276</v>
      </c>
      <c r="Y5" s="484" t="s">
        <v>277</v>
      </c>
      <c r="AD5" s="486" t="s">
        <v>273</v>
      </c>
      <c r="AE5" s="484" t="s">
        <v>274</v>
      </c>
      <c r="AF5" s="484" t="s">
        <v>16</v>
      </c>
      <c r="AG5" s="484" t="s">
        <v>13</v>
      </c>
      <c r="AH5" s="484" t="s">
        <v>275</v>
      </c>
      <c r="AI5" s="484" t="s">
        <v>276</v>
      </c>
      <c r="AJ5" s="484" t="s">
        <v>277</v>
      </c>
      <c r="AL5" s="441"/>
      <c r="AM5" s="442"/>
      <c r="AN5" s="442"/>
      <c r="AO5" s="441"/>
      <c r="AP5" s="442"/>
      <c r="AQ5" s="443"/>
      <c r="AR5" s="441"/>
      <c r="AS5" s="442"/>
      <c r="AT5" s="443"/>
      <c r="AU5" s="441"/>
      <c r="AV5" s="442"/>
      <c r="AW5" s="443"/>
      <c r="AX5" s="441"/>
      <c r="AY5" s="442"/>
      <c r="AZ5" s="443"/>
      <c r="BA5" s="441"/>
      <c r="BB5" s="442"/>
      <c r="BC5" s="443"/>
      <c r="BD5" s="441"/>
      <c r="BE5" s="442"/>
      <c r="BF5" s="443"/>
      <c r="BN5" s="1"/>
      <c r="BO5" s="1"/>
      <c r="BR5" s="495"/>
      <c r="BS5" s="496"/>
      <c r="BT5" s="496"/>
      <c r="BU5" s="497"/>
      <c r="BV5" s="433">
        <f>BC48</f>
        <v>8</v>
      </c>
      <c r="BW5" s="433">
        <f>BD48</f>
        <v>7</v>
      </c>
      <c r="BX5" s="867">
        <f>BC50</f>
        <v>5</v>
      </c>
      <c r="BY5" s="867">
        <f>BD50</f>
        <v>4</v>
      </c>
      <c r="BZ5" s="867">
        <f>BE50</f>
        <v>1</v>
      </c>
      <c r="CA5" s="433">
        <f>BC52</f>
        <v>0</v>
      </c>
      <c r="CB5" s="433">
        <f>BD52</f>
        <v>0</v>
      </c>
      <c r="CC5" s="433">
        <f>BC54</f>
        <v>0</v>
      </c>
      <c r="CD5" s="433">
        <f>BD54</f>
        <v>0</v>
      </c>
      <c r="CE5" s="444">
        <f>SUM(BV5:BZ6)</f>
        <v>25</v>
      </c>
    </row>
    <row r="6" spans="3:117" ht="15.95" customHeight="1" thickBot="1">
      <c r="C6" s="579"/>
      <c r="D6" s="580"/>
      <c r="E6" s="580"/>
      <c r="F6" s="581"/>
      <c r="G6" s="487"/>
      <c r="H6" s="485"/>
      <c r="I6" s="485"/>
      <c r="J6" s="485"/>
      <c r="K6" s="485"/>
      <c r="L6" s="485"/>
      <c r="M6" s="485"/>
      <c r="R6" s="487"/>
      <c r="S6" s="485"/>
      <c r="T6" s="485"/>
      <c r="U6" s="485"/>
      <c r="V6" s="485"/>
      <c r="W6" s="485"/>
      <c r="X6" s="485"/>
      <c r="Y6" s="485"/>
      <c r="AD6" s="487"/>
      <c r="AE6" s="485"/>
      <c r="AF6" s="485"/>
      <c r="AG6" s="485"/>
      <c r="AH6" s="485"/>
      <c r="AI6" s="485"/>
      <c r="AJ6" s="485"/>
      <c r="AL6" s="455">
        <f>L37+X37+AI37+L75+W75+AH75</f>
        <v>300.14999999999998</v>
      </c>
      <c r="AM6" s="456"/>
      <c r="AN6" s="457"/>
      <c r="AO6" s="560">
        <f>M37+Y37+AJ37+M75+X75+AI75</f>
        <v>297.47866499999998</v>
      </c>
      <c r="AP6" s="456"/>
      <c r="AQ6" s="457"/>
      <c r="AR6" s="446">
        <f>180/2</f>
        <v>90</v>
      </c>
      <c r="AS6" s="447"/>
      <c r="AT6" s="448"/>
      <c r="AU6" s="455">
        <f>AL6+AR6</f>
        <v>390.15</v>
      </c>
      <c r="AV6" s="456"/>
      <c r="AW6" s="457"/>
      <c r="AX6" s="582">
        <f>K37+W37+AH37+K75+V75+AG75</f>
        <v>29</v>
      </c>
      <c r="AY6" s="456"/>
      <c r="AZ6" s="457"/>
      <c r="BA6" s="582"/>
      <c r="BB6" s="456"/>
      <c r="BC6" s="457"/>
      <c r="BD6" s="560">
        <f>405.11+173</f>
        <v>578.11</v>
      </c>
      <c r="BE6" s="561"/>
      <c r="BF6" s="562"/>
      <c r="BI6" s="583" t="s">
        <v>278</v>
      </c>
      <c r="BJ6" s="594"/>
      <c r="BK6" s="594"/>
      <c r="BL6" s="594"/>
      <c r="BM6" s="584"/>
      <c r="BN6" s="427">
        <f>BD6</f>
        <v>578.11</v>
      </c>
      <c r="BO6" s="428"/>
      <c r="BR6" s="495"/>
      <c r="BS6" s="496"/>
      <c r="BT6" s="496"/>
      <c r="BU6" s="497"/>
      <c r="BV6" s="434"/>
      <c r="BW6" s="434"/>
      <c r="BX6" s="434"/>
      <c r="BY6" s="434"/>
      <c r="BZ6" s="434"/>
      <c r="CA6" s="434"/>
      <c r="CB6" s="434"/>
      <c r="CC6" s="434"/>
      <c r="CD6" s="434"/>
      <c r="CE6" s="445"/>
      <c r="CP6" s="20"/>
      <c r="CQ6" s="20"/>
      <c r="CR6" s="20"/>
      <c r="CS6" s="20"/>
      <c r="CT6" s="20"/>
      <c r="CU6" s="20"/>
      <c r="CV6" s="20"/>
      <c r="CW6" s="20"/>
      <c r="CX6" s="20"/>
      <c r="CY6" s="20"/>
      <c r="DD6" s="20"/>
      <c r="DE6" s="20"/>
      <c r="DF6" s="20"/>
      <c r="DG6" s="20"/>
      <c r="DH6" s="20"/>
      <c r="DI6" s="20"/>
      <c r="DJ6" s="20"/>
      <c r="DK6" s="20"/>
      <c r="DL6" s="20"/>
      <c r="DM6" s="20"/>
    </row>
    <row r="7" spans="3:117" ht="15.95" customHeight="1">
      <c r="C7" s="545"/>
      <c r="D7" s="547" t="s">
        <v>279</v>
      </c>
      <c r="E7" s="548"/>
      <c r="F7" s="549"/>
      <c r="G7" s="553">
        <v>33.950000000000003</v>
      </c>
      <c r="H7" s="553"/>
      <c r="I7" s="557"/>
      <c r="J7" s="557"/>
      <c r="K7" s="557">
        <f>I7+J7</f>
        <v>0</v>
      </c>
      <c r="L7" s="593">
        <f>G7*K7</f>
        <v>0</v>
      </c>
      <c r="M7" s="519">
        <f>H7*K7</f>
        <v>0</v>
      </c>
      <c r="N7" s="545"/>
      <c r="O7" s="547" t="s">
        <v>279</v>
      </c>
      <c r="P7" s="548"/>
      <c r="Q7" s="549"/>
      <c r="R7" s="517">
        <v>10.35</v>
      </c>
      <c r="S7" s="517">
        <v>10.130000000000001</v>
      </c>
      <c r="T7" s="557"/>
      <c r="U7" s="557"/>
      <c r="V7" s="557"/>
      <c r="W7" s="557">
        <f>T7+U7</f>
        <v>0</v>
      </c>
      <c r="X7" s="589">
        <f>R7*W7</f>
        <v>0</v>
      </c>
      <c r="Y7" s="591">
        <f>S7*W7</f>
        <v>0</v>
      </c>
      <c r="Z7" s="545"/>
      <c r="AA7" s="547" t="s">
        <v>279</v>
      </c>
      <c r="AB7" s="548"/>
      <c r="AC7" s="549"/>
      <c r="AD7" s="569">
        <v>29.75</v>
      </c>
      <c r="AE7" s="571"/>
      <c r="AF7" s="557"/>
      <c r="AG7" s="557"/>
      <c r="AH7" s="557">
        <f>AF7+AG7</f>
        <v>0</v>
      </c>
      <c r="AI7" s="431">
        <f>AD7*AH7</f>
        <v>0</v>
      </c>
      <c r="AJ7" s="519">
        <f>AE7*AH7</f>
        <v>0</v>
      </c>
      <c r="AL7" s="458"/>
      <c r="AM7" s="459"/>
      <c r="AN7" s="460"/>
      <c r="AO7" s="458"/>
      <c r="AP7" s="459"/>
      <c r="AQ7" s="460"/>
      <c r="AR7" s="449"/>
      <c r="AS7" s="450"/>
      <c r="AT7" s="451"/>
      <c r="AU7" s="458"/>
      <c r="AV7" s="459"/>
      <c r="AW7" s="460"/>
      <c r="AX7" s="458"/>
      <c r="AY7" s="459"/>
      <c r="AZ7" s="460"/>
      <c r="BA7" s="458"/>
      <c r="BB7" s="459"/>
      <c r="BC7" s="460"/>
      <c r="BD7" s="563"/>
      <c r="BE7" s="564"/>
      <c r="BF7" s="565"/>
      <c r="BI7" s="529"/>
      <c r="BJ7" s="530"/>
      <c r="BK7" s="530"/>
      <c r="BL7" s="530"/>
      <c r="BM7" s="531"/>
      <c r="BN7" s="429"/>
      <c r="BO7" s="430"/>
      <c r="BR7" s="495"/>
      <c r="BS7" s="496"/>
      <c r="BT7" s="496"/>
      <c r="BU7" s="497"/>
      <c r="BV7" s="521" t="s">
        <v>16</v>
      </c>
      <c r="BW7" s="521" t="s">
        <v>13</v>
      </c>
      <c r="BX7" s="521" t="s">
        <v>16</v>
      </c>
      <c r="BY7" s="521" t="s">
        <v>13</v>
      </c>
      <c r="BZ7" s="521" t="s">
        <v>118</v>
      </c>
      <c r="CA7" s="521" t="s">
        <v>16</v>
      </c>
      <c r="CB7" s="521" t="s">
        <v>13</v>
      </c>
      <c r="CC7" s="521" t="s">
        <v>16</v>
      </c>
      <c r="CD7" s="521" t="s">
        <v>13</v>
      </c>
      <c r="CE7" s="484" t="s">
        <v>275</v>
      </c>
      <c r="CF7" s="484" t="s">
        <v>277</v>
      </c>
      <c r="CG7" s="583" t="s">
        <v>280</v>
      </c>
      <c r="CH7" s="594"/>
      <c r="CI7" s="584"/>
      <c r="CJ7" s="596" t="s">
        <v>281</v>
      </c>
      <c r="CK7" s="596" t="s">
        <v>282</v>
      </c>
      <c r="CL7" s="583" t="s">
        <v>272</v>
      </c>
      <c r="CM7" s="584"/>
      <c r="CN7" s="587" t="s">
        <v>139</v>
      </c>
      <c r="CQ7" s="8"/>
      <c r="CV7" s="21"/>
      <c r="CW7" s="21"/>
      <c r="DA7" s="22"/>
      <c r="DB7" s="22"/>
      <c r="DE7" s="8"/>
      <c r="DJ7" s="21"/>
      <c r="DK7" s="21"/>
    </row>
    <row r="8" spans="3:117" ht="15.95" customHeight="1" thickBot="1">
      <c r="C8" s="546"/>
      <c r="D8" s="550"/>
      <c r="E8" s="551"/>
      <c r="F8" s="552"/>
      <c r="G8" s="554"/>
      <c r="H8" s="554"/>
      <c r="I8" s="558"/>
      <c r="J8" s="558"/>
      <c r="K8" s="558"/>
      <c r="L8" s="558"/>
      <c r="M8" s="520"/>
      <c r="N8" s="546"/>
      <c r="O8" s="550"/>
      <c r="P8" s="551"/>
      <c r="Q8" s="552"/>
      <c r="R8" s="518"/>
      <c r="S8" s="518"/>
      <c r="T8" s="558"/>
      <c r="U8" s="558"/>
      <c r="V8" s="558"/>
      <c r="W8" s="558"/>
      <c r="X8" s="590"/>
      <c r="Y8" s="592"/>
      <c r="Z8" s="546"/>
      <c r="AA8" s="550"/>
      <c r="AB8" s="551"/>
      <c r="AC8" s="552"/>
      <c r="AD8" s="570"/>
      <c r="AE8" s="572"/>
      <c r="AF8" s="558"/>
      <c r="AG8" s="558"/>
      <c r="AH8" s="558"/>
      <c r="AI8" s="432"/>
      <c r="AJ8" s="520"/>
      <c r="AL8" s="461"/>
      <c r="AM8" s="462"/>
      <c r="AN8" s="463"/>
      <c r="AO8" s="461"/>
      <c r="AP8" s="462"/>
      <c r="AQ8" s="463"/>
      <c r="AR8" s="452"/>
      <c r="AS8" s="453"/>
      <c r="AT8" s="454"/>
      <c r="AU8" s="461"/>
      <c r="AV8" s="462"/>
      <c r="AW8" s="463"/>
      <c r="AX8" s="461"/>
      <c r="AY8" s="462"/>
      <c r="AZ8" s="463"/>
      <c r="BA8" s="461"/>
      <c r="BB8" s="462"/>
      <c r="BC8" s="463"/>
      <c r="BD8" s="566"/>
      <c r="BE8" s="567"/>
      <c r="BF8" s="568"/>
      <c r="BI8" s="529" t="s">
        <v>141</v>
      </c>
      <c r="BJ8" s="530"/>
      <c r="BK8" s="530"/>
      <c r="BL8" s="530"/>
      <c r="BM8" s="531"/>
      <c r="BN8" s="532">
        <f>AT24</f>
        <v>212.715</v>
      </c>
      <c r="BO8" s="430"/>
      <c r="BR8" s="498"/>
      <c r="BS8" s="499"/>
      <c r="BT8" s="499"/>
      <c r="BU8" s="500"/>
      <c r="BV8" s="522"/>
      <c r="BW8" s="522"/>
      <c r="BX8" s="871"/>
      <c r="BY8" s="871"/>
      <c r="BZ8" s="871"/>
      <c r="CA8" s="522"/>
      <c r="CB8" s="522"/>
      <c r="CC8" s="522"/>
      <c r="CD8" s="522"/>
      <c r="CE8" s="485"/>
      <c r="CF8" s="485"/>
      <c r="CG8" s="585"/>
      <c r="CH8" s="595"/>
      <c r="CI8" s="586"/>
      <c r="CJ8" s="597"/>
      <c r="CK8" s="597"/>
      <c r="CL8" s="585"/>
      <c r="CM8" s="586"/>
      <c r="CN8" s="588"/>
      <c r="CX8" s="21"/>
      <c r="CY8" s="21"/>
      <c r="DA8" s="22"/>
      <c r="DB8" s="22"/>
      <c r="DL8" s="21"/>
      <c r="DM8" s="21"/>
    </row>
    <row r="9" spans="3:117" ht="15.95" customHeight="1">
      <c r="C9" s="598"/>
      <c r="D9" s="547" t="s">
        <v>283</v>
      </c>
      <c r="E9" s="548"/>
      <c r="F9" s="549"/>
      <c r="G9" s="553">
        <v>35.950000000000003</v>
      </c>
      <c r="H9" s="553"/>
      <c r="I9" s="557"/>
      <c r="J9" s="557"/>
      <c r="K9" s="557">
        <f>I9+J9</f>
        <v>0</v>
      </c>
      <c r="L9" s="593">
        <f>G9*K9</f>
        <v>0</v>
      </c>
      <c r="M9" s="519">
        <f>H9*K9</f>
        <v>0</v>
      </c>
      <c r="N9" s="598"/>
      <c r="O9" s="547" t="s">
        <v>283</v>
      </c>
      <c r="P9" s="548"/>
      <c r="Q9" s="549"/>
      <c r="R9" s="517">
        <v>11.95</v>
      </c>
      <c r="S9" s="517">
        <v>11.69</v>
      </c>
      <c r="T9" s="557"/>
      <c r="U9" s="557"/>
      <c r="V9" s="557"/>
      <c r="W9" s="557">
        <f>T9+U9</f>
        <v>0</v>
      </c>
      <c r="X9" s="593">
        <f>R9*W9</f>
        <v>0</v>
      </c>
      <c r="Y9" s="519">
        <f>S9*W9</f>
        <v>0</v>
      </c>
      <c r="Z9" s="598"/>
      <c r="AA9" s="547" t="s">
        <v>283</v>
      </c>
      <c r="AB9" s="548"/>
      <c r="AC9" s="549"/>
      <c r="AD9" s="569"/>
      <c r="AE9" s="571"/>
      <c r="AF9" s="557"/>
      <c r="AG9" s="557"/>
      <c r="AH9" s="557">
        <f>AF9+AG9</f>
        <v>0</v>
      </c>
      <c r="AI9" s="593">
        <f>AD9*AH9</f>
        <v>0</v>
      </c>
      <c r="AJ9" s="519">
        <f>AE9*AH9</f>
        <v>0</v>
      </c>
      <c r="BI9" s="529"/>
      <c r="BJ9" s="530"/>
      <c r="BK9" s="530"/>
      <c r="BL9" s="530"/>
      <c r="BM9" s="531"/>
      <c r="BN9" s="429"/>
      <c r="BO9" s="430"/>
      <c r="BR9" s="852" t="s">
        <v>12</v>
      </c>
      <c r="BS9" s="853"/>
      <c r="BT9" s="853"/>
      <c r="BU9" s="854"/>
      <c r="BV9" s="466">
        <v>0</v>
      </c>
      <c r="BW9" s="480">
        <v>1</v>
      </c>
      <c r="BX9" s="849">
        <v>0</v>
      </c>
      <c r="BY9" s="480">
        <v>1</v>
      </c>
      <c r="BZ9" s="478">
        <v>0</v>
      </c>
      <c r="CA9" s="480">
        <v>0</v>
      </c>
      <c r="CB9" s="480">
        <v>0</v>
      </c>
      <c r="CC9" s="466">
        <v>0</v>
      </c>
      <c r="CD9" s="478">
        <v>0</v>
      </c>
      <c r="CE9" s="865">
        <f>SUM(BV9:BZ10)</f>
        <v>2</v>
      </c>
      <c r="CF9" s="474">
        <f>BV9*35+BW9*35+BX9*35+BY9*35+BZ9*35+CA9*35+CB9*35+CC9*35+CD9*35</f>
        <v>70</v>
      </c>
      <c r="CG9" s="468" t="s">
        <v>384</v>
      </c>
      <c r="CH9" s="469"/>
      <c r="CI9" s="470"/>
      <c r="CJ9" s="474"/>
      <c r="CK9" s="797">
        <v>70</v>
      </c>
      <c r="CL9" s="468" t="s">
        <v>286</v>
      </c>
      <c r="CM9" s="470"/>
      <c r="CN9" s="464">
        <v>44868</v>
      </c>
    </row>
    <row r="10" spans="3:117" ht="15.95" customHeight="1" thickBot="1">
      <c r="C10" s="598"/>
      <c r="D10" s="550"/>
      <c r="E10" s="551"/>
      <c r="F10" s="552"/>
      <c r="G10" s="554"/>
      <c r="H10" s="554"/>
      <c r="I10" s="558"/>
      <c r="J10" s="558"/>
      <c r="K10" s="558"/>
      <c r="L10" s="558"/>
      <c r="M10" s="520"/>
      <c r="N10" s="598"/>
      <c r="O10" s="550"/>
      <c r="P10" s="551"/>
      <c r="Q10" s="552"/>
      <c r="R10" s="518"/>
      <c r="S10" s="518"/>
      <c r="T10" s="558"/>
      <c r="U10" s="558"/>
      <c r="V10" s="558"/>
      <c r="W10" s="558"/>
      <c r="X10" s="558"/>
      <c r="Y10" s="520"/>
      <c r="Z10" s="598"/>
      <c r="AA10" s="550"/>
      <c r="AB10" s="551"/>
      <c r="AC10" s="552"/>
      <c r="AD10" s="570"/>
      <c r="AE10" s="572"/>
      <c r="AF10" s="558"/>
      <c r="AG10" s="558"/>
      <c r="AH10" s="558"/>
      <c r="AI10" s="558"/>
      <c r="AJ10" s="520"/>
      <c r="BI10" s="529"/>
      <c r="BJ10" s="530"/>
      <c r="BK10" s="530"/>
      <c r="BL10" s="530"/>
      <c r="BM10" s="531"/>
      <c r="BN10" s="532"/>
      <c r="BO10" s="430"/>
      <c r="BR10" s="855"/>
      <c r="BS10" s="856"/>
      <c r="BT10" s="856"/>
      <c r="BU10" s="857"/>
      <c r="BV10" s="467"/>
      <c r="BW10" s="481"/>
      <c r="BX10" s="850"/>
      <c r="BY10" s="481"/>
      <c r="BZ10" s="479"/>
      <c r="CA10" s="481"/>
      <c r="CB10" s="481"/>
      <c r="CC10" s="467"/>
      <c r="CD10" s="479"/>
      <c r="CE10" s="866"/>
      <c r="CF10" s="475"/>
      <c r="CG10" s="471"/>
      <c r="CH10" s="472"/>
      <c r="CI10" s="473"/>
      <c r="CJ10" s="475"/>
      <c r="CK10" s="798"/>
      <c r="CL10" s="471"/>
      <c r="CM10" s="473"/>
      <c r="CN10" s="465"/>
      <c r="CP10" s="20"/>
      <c r="CQ10" s="20"/>
      <c r="CR10" s="20"/>
      <c r="CS10" s="20"/>
      <c r="CT10" s="20"/>
      <c r="CU10" s="20"/>
      <c r="CV10" s="20"/>
      <c r="CW10" s="20"/>
      <c r="CX10" s="20"/>
      <c r="CY10" s="20"/>
    </row>
    <row r="11" spans="3:117" ht="15.95" customHeight="1" thickBot="1">
      <c r="C11" s="627"/>
      <c r="D11" s="547" t="s">
        <v>288</v>
      </c>
      <c r="E11" s="548"/>
      <c r="F11" s="549"/>
      <c r="G11" s="553">
        <v>35.950000000000003</v>
      </c>
      <c r="H11" s="553"/>
      <c r="I11" s="557"/>
      <c r="J11" s="557"/>
      <c r="K11" s="557">
        <f>I11+J11</f>
        <v>0</v>
      </c>
      <c r="L11" s="593">
        <f>G11*K11</f>
        <v>0</v>
      </c>
      <c r="M11" s="519">
        <f>H11*K11</f>
        <v>0</v>
      </c>
      <c r="N11" s="627"/>
      <c r="O11" s="547" t="s">
        <v>288</v>
      </c>
      <c r="P11" s="548"/>
      <c r="Q11" s="549"/>
      <c r="R11" s="517">
        <v>11.95</v>
      </c>
      <c r="S11" s="571"/>
      <c r="T11" s="557"/>
      <c r="U11" s="557"/>
      <c r="V11" s="557"/>
      <c r="W11" s="557">
        <f>T11+U11</f>
        <v>0</v>
      </c>
      <c r="X11" s="593">
        <f>R11*W11</f>
        <v>0</v>
      </c>
      <c r="Y11" s="519">
        <f>S11*W11</f>
        <v>0</v>
      </c>
      <c r="Z11" s="627"/>
      <c r="AA11" s="547" t="s">
        <v>288</v>
      </c>
      <c r="AB11" s="548"/>
      <c r="AC11" s="549"/>
      <c r="AD11" s="569"/>
      <c r="AE11" s="571"/>
      <c r="AF11" s="557"/>
      <c r="AG11" s="557"/>
      <c r="AH11" s="557">
        <f>AF11+AG11</f>
        <v>0</v>
      </c>
      <c r="AI11" s="593">
        <f>AD11*AH11</f>
        <v>0</v>
      </c>
      <c r="AJ11" s="519">
        <f>AE11*AH11</f>
        <v>0</v>
      </c>
      <c r="BI11" s="529"/>
      <c r="BJ11" s="530"/>
      <c r="BK11" s="530"/>
      <c r="BL11" s="530"/>
      <c r="BM11" s="531"/>
      <c r="BN11" s="429"/>
      <c r="BO11" s="430"/>
      <c r="BR11" s="852" t="s">
        <v>79</v>
      </c>
      <c r="BS11" s="853"/>
      <c r="BT11" s="853"/>
      <c r="BU11" s="854"/>
      <c r="BV11" s="466">
        <v>0</v>
      </c>
      <c r="BW11" s="480">
        <v>1</v>
      </c>
      <c r="BX11" s="849">
        <v>0</v>
      </c>
      <c r="BY11" s="480">
        <v>0</v>
      </c>
      <c r="BZ11" s="478">
        <v>0</v>
      </c>
      <c r="CA11" s="480">
        <v>0</v>
      </c>
      <c r="CB11" s="480">
        <v>0</v>
      </c>
      <c r="CC11" s="466">
        <v>0</v>
      </c>
      <c r="CD11" s="478">
        <v>0</v>
      </c>
      <c r="CE11" s="865">
        <f>SUM(BV11:BZ12)</f>
        <v>1</v>
      </c>
      <c r="CF11" s="474">
        <f>BV11*35+BW11*35+BX11*35+BY11*35+BZ11*35+CA11*35+CB11*35+CC11*35+CD11*35</f>
        <v>35</v>
      </c>
      <c r="CG11" s="468" t="s">
        <v>385</v>
      </c>
      <c r="CH11" s="469"/>
      <c r="CI11" s="470"/>
      <c r="CJ11" s="474"/>
      <c r="CK11" s="474">
        <v>35</v>
      </c>
      <c r="CL11" s="468" t="s">
        <v>286</v>
      </c>
      <c r="CM11" s="470"/>
      <c r="CN11" s="464">
        <v>44868</v>
      </c>
      <c r="CQ11" s="8"/>
      <c r="CV11" s="21"/>
      <c r="CW11" s="21"/>
      <c r="DA11" s="22"/>
      <c r="DB11" s="22"/>
    </row>
    <row r="12" spans="3:117" ht="15.95" customHeight="1" thickBot="1">
      <c r="C12" s="627"/>
      <c r="D12" s="550"/>
      <c r="E12" s="551"/>
      <c r="F12" s="552"/>
      <c r="G12" s="554"/>
      <c r="H12" s="554"/>
      <c r="I12" s="558"/>
      <c r="J12" s="558"/>
      <c r="K12" s="558"/>
      <c r="L12" s="558"/>
      <c r="M12" s="520"/>
      <c r="N12" s="627"/>
      <c r="O12" s="550"/>
      <c r="P12" s="551"/>
      <c r="Q12" s="552"/>
      <c r="R12" s="518"/>
      <c r="S12" s="572"/>
      <c r="T12" s="558"/>
      <c r="U12" s="558"/>
      <c r="V12" s="558"/>
      <c r="W12" s="558"/>
      <c r="X12" s="558"/>
      <c r="Y12" s="520"/>
      <c r="Z12" s="627"/>
      <c r="AA12" s="550"/>
      <c r="AB12" s="551"/>
      <c r="AC12" s="552"/>
      <c r="AD12" s="570"/>
      <c r="AE12" s="572"/>
      <c r="AF12" s="558"/>
      <c r="AG12" s="558"/>
      <c r="AH12" s="558"/>
      <c r="AI12" s="558"/>
      <c r="AJ12" s="520"/>
      <c r="AL12" s="608" t="s">
        <v>141</v>
      </c>
      <c r="AM12" s="609"/>
      <c r="AN12" s="609"/>
      <c r="AO12" s="610"/>
      <c r="AX12" s="492"/>
      <c r="AY12" s="493"/>
      <c r="AZ12" s="493"/>
      <c r="BA12" s="494"/>
      <c r="BI12" s="529"/>
      <c r="BJ12" s="530"/>
      <c r="BK12" s="530"/>
      <c r="BL12" s="530"/>
      <c r="BM12" s="531"/>
      <c r="BN12" s="532"/>
      <c r="BO12" s="430"/>
      <c r="BR12" s="855"/>
      <c r="BS12" s="856"/>
      <c r="BT12" s="856"/>
      <c r="BU12" s="857"/>
      <c r="BV12" s="467"/>
      <c r="BW12" s="481"/>
      <c r="BX12" s="850"/>
      <c r="BY12" s="481"/>
      <c r="BZ12" s="479"/>
      <c r="CA12" s="481"/>
      <c r="CB12" s="481"/>
      <c r="CC12" s="467"/>
      <c r="CD12" s="479"/>
      <c r="CE12" s="866"/>
      <c r="CF12" s="475"/>
      <c r="CG12" s="471"/>
      <c r="CH12" s="472"/>
      <c r="CI12" s="473"/>
      <c r="CJ12" s="475"/>
      <c r="CK12" s="475"/>
      <c r="CL12" s="471"/>
      <c r="CM12" s="473"/>
      <c r="CN12" s="465"/>
      <c r="CX12" s="21"/>
      <c r="CY12" s="21"/>
      <c r="DA12" s="22"/>
      <c r="DB12" s="22"/>
    </row>
    <row r="13" spans="3:117" ht="15.95" customHeight="1" thickBot="1">
      <c r="C13" s="607"/>
      <c r="D13" s="547" t="s">
        <v>290</v>
      </c>
      <c r="E13" s="548"/>
      <c r="F13" s="549"/>
      <c r="G13" s="553">
        <v>33.950000000000003</v>
      </c>
      <c r="H13" s="553"/>
      <c r="I13" s="557"/>
      <c r="J13" s="557"/>
      <c r="K13" s="557">
        <f>I13+J13</f>
        <v>0</v>
      </c>
      <c r="L13" s="593">
        <f>G13*K13</f>
        <v>0</v>
      </c>
      <c r="M13" s="519">
        <f>H13*K13</f>
        <v>0</v>
      </c>
      <c r="N13" s="607"/>
      <c r="O13" s="547" t="s">
        <v>290</v>
      </c>
      <c r="P13" s="548"/>
      <c r="Q13" s="549"/>
      <c r="R13" s="517">
        <v>10.35</v>
      </c>
      <c r="S13" s="571"/>
      <c r="T13" s="557"/>
      <c r="U13" s="557"/>
      <c r="V13" s="557"/>
      <c r="W13" s="557">
        <f>T13+U13</f>
        <v>0</v>
      </c>
      <c r="X13" s="593">
        <f>R13*W13</f>
        <v>0</v>
      </c>
      <c r="Y13" s="519">
        <f>S13*W13</f>
        <v>0</v>
      </c>
      <c r="Z13" s="607"/>
      <c r="AA13" s="547" t="s">
        <v>290</v>
      </c>
      <c r="AB13" s="548"/>
      <c r="AC13" s="549"/>
      <c r="AD13" s="569"/>
      <c r="AE13" s="571"/>
      <c r="AF13" s="557"/>
      <c r="AG13" s="557"/>
      <c r="AH13" s="557">
        <f>AF13+AG13</f>
        <v>0</v>
      </c>
      <c r="AI13" s="593">
        <f>AD13*AH13</f>
        <v>0</v>
      </c>
      <c r="AJ13" s="519">
        <f>AE13*AH13</f>
        <v>0</v>
      </c>
      <c r="AL13" s="611"/>
      <c r="AM13" s="612"/>
      <c r="AN13" s="612"/>
      <c r="AO13" s="613"/>
      <c r="AV13" s="6"/>
      <c r="AX13" s="495"/>
      <c r="AY13" s="496"/>
      <c r="AZ13" s="496"/>
      <c r="BA13" s="497"/>
      <c r="BI13" s="529"/>
      <c r="BJ13" s="530"/>
      <c r="BK13" s="530"/>
      <c r="BL13" s="530"/>
      <c r="BM13" s="531"/>
      <c r="BN13" s="429"/>
      <c r="BO13" s="430"/>
      <c r="BR13" s="852" t="s">
        <v>77</v>
      </c>
      <c r="BS13" s="853"/>
      <c r="BT13" s="853"/>
      <c r="BU13" s="854"/>
      <c r="BV13" s="466">
        <v>1</v>
      </c>
      <c r="BW13" s="480">
        <v>0</v>
      </c>
      <c r="BX13" s="466">
        <v>0</v>
      </c>
      <c r="BY13" s="480">
        <v>0</v>
      </c>
      <c r="BZ13" s="478">
        <v>0</v>
      </c>
      <c r="CA13" s="480">
        <v>0</v>
      </c>
      <c r="CB13" s="480">
        <v>0</v>
      </c>
      <c r="CC13" s="466">
        <v>0</v>
      </c>
      <c r="CD13" s="478">
        <v>0</v>
      </c>
      <c r="CE13" s="865">
        <f>SUM(BV13:BZ14)</f>
        <v>1</v>
      </c>
      <c r="CF13" s="474">
        <f>BV13*35+BW13*35+BX13*35+BY13*35+BZ13*35+CA13*35+CB13*35+CC13*35+CD13*35</f>
        <v>35</v>
      </c>
      <c r="CG13" s="468" t="s">
        <v>385</v>
      </c>
      <c r="CH13" s="469"/>
      <c r="CI13" s="470"/>
      <c r="CJ13" s="474"/>
      <c r="CK13" s="474">
        <v>35</v>
      </c>
      <c r="CL13" s="468" t="s">
        <v>286</v>
      </c>
      <c r="CM13" s="470"/>
      <c r="CN13" s="464">
        <v>44869</v>
      </c>
    </row>
    <row r="14" spans="3:117" ht="15.95" customHeight="1" thickBot="1">
      <c r="C14" s="607"/>
      <c r="D14" s="550"/>
      <c r="E14" s="551"/>
      <c r="F14" s="552"/>
      <c r="G14" s="554"/>
      <c r="H14" s="554"/>
      <c r="I14" s="558"/>
      <c r="J14" s="558"/>
      <c r="K14" s="558"/>
      <c r="L14" s="558"/>
      <c r="M14" s="520"/>
      <c r="N14" s="607"/>
      <c r="O14" s="550"/>
      <c r="P14" s="551"/>
      <c r="Q14" s="552"/>
      <c r="R14" s="518"/>
      <c r="S14" s="572"/>
      <c r="T14" s="558"/>
      <c r="U14" s="558"/>
      <c r="V14" s="558"/>
      <c r="W14" s="558"/>
      <c r="X14" s="558"/>
      <c r="Y14" s="520"/>
      <c r="Z14" s="607"/>
      <c r="AA14" s="550"/>
      <c r="AB14" s="551"/>
      <c r="AC14" s="552"/>
      <c r="AD14" s="570"/>
      <c r="AE14" s="572"/>
      <c r="AF14" s="558"/>
      <c r="AG14" s="558"/>
      <c r="AH14" s="558"/>
      <c r="AI14" s="558"/>
      <c r="AJ14" s="520"/>
      <c r="AL14" s="611"/>
      <c r="AM14" s="612"/>
      <c r="AN14" s="612"/>
      <c r="AO14" s="613"/>
      <c r="AP14" s="484" t="s">
        <v>274</v>
      </c>
      <c r="AQ14" s="484" t="s">
        <v>275</v>
      </c>
      <c r="AR14" s="484" t="s">
        <v>102</v>
      </c>
      <c r="AS14" s="605" t="s">
        <v>292</v>
      </c>
      <c r="AT14" s="484" t="s">
        <v>277</v>
      </c>
      <c r="AX14" s="495"/>
      <c r="AY14" s="496"/>
      <c r="AZ14" s="496"/>
      <c r="BA14" s="497"/>
      <c r="BB14" s="484" t="s">
        <v>293</v>
      </c>
      <c r="BC14" s="484" t="s">
        <v>16</v>
      </c>
      <c r="BD14" s="484" t="s">
        <v>13</v>
      </c>
      <c r="BE14" s="484" t="s">
        <v>118</v>
      </c>
      <c r="BF14" s="484" t="s">
        <v>275</v>
      </c>
      <c r="BG14" s="484" t="s">
        <v>277</v>
      </c>
      <c r="BI14" s="529"/>
      <c r="BJ14" s="530"/>
      <c r="BK14" s="530"/>
      <c r="BL14" s="530"/>
      <c r="BM14" s="531"/>
      <c r="BN14" s="532"/>
      <c r="BO14" s="430"/>
      <c r="BR14" s="855"/>
      <c r="BS14" s="856"/>
      <c r="BT14" s="856"/>
      <c r="BU14" s="857"/>
      <c r="BV14" s="467"/>
      <c r="BW14" s="481"/>
      <c r="BX14" s="467"/>
      <c r="BY14" s="481"/>
      <c r="BZ14" s="479"/>
      <c r="CA14" s="481"/>
      <c r="CB14" s="481"/>
      <c r="CC14" s="467"/>
      <c r="CD14" s="479"/>
      <c r="CE14" s="866"/>
      <c r="CF14" s="475"/>
      <c r="CG14" s="471"/>
      <c r="CH14" s="472"/>
      <c r="CI14" s="473"/>
      <c r="CJ14" s="475"/>
      <c r="CK14" s="475"/>
      <c r="CL14" s="471"/>
      <c r="CM14" s="473"/>
      <c r="CN14" s="465"/>
      <c r="CP14" s="20"/>
      <c r="CQ14" s="20"/>
      <c r="CR14" s="20"/>
      <c r="CS14" s="20"/>
      <c r="CT14" s="20"/>
      <c r="CU14" s="20"/>
      <c r="CV14" s="20"/>
      <c r="CW14" s="20"/>
      <c r="CX14" s="20"/>
      <c r="CY14" s="20"/>
    </row>
    <row r="15" spans="3:117" ht="15.95" customHeight="1" thickBot="1">
      <c r="C15" s="638"/>
      <c r="D15" s="547" t="s">
        <v>294</v>
      </c>
      <c r="E15" s="548"/>
      <c r="F15" s="549"/>
      <c r="G15" s="553">
        <v>33.950000000000003</v>
      </c>
      <c r="H15" s="553"/>
      <c r="I15" s="557"/>
      <c r="J15" s="557"/>
      <c r="K15" s="557">
        <f>I15+J15</f>
        <v>0</v>
      </c>
      <c r="L15" s="593">
        <f>G15*K15</f>
        <v>0</v>
      </c>
      <c r="M15" s="519">
        <f>H15*K15</f>
        <v>0</v>
      </c>
      <c r="N15" s="638"/>
      <c r="O15" s="547" t="s">
        <v>294</v>
      </c>
      <c r="P15" s="548"/>
      <c r="Q15" s="549"/>
      <c r="R15" s="517">
        <v>10.35</v>
      </c>
      <c r="S15" s="571">
        <f>R15*0.9911</f>
        <v>10.257885</v>
      </c>
      <c r="T15" s="557">
        <v>9</v>
      </c>
      <c r="U15" s="557">
        <v>8</v>
      </c>
      <c r="V15" s="557"/>
      <c r="W15" s="557">
        <f>SUM(T15:V16)</f>
        <v>17</v>
      </c>
      <c r="X15" s="593">
        <f>R15*W15</f>
        <v>175.95</v>
      </c>
      <c r="Y15" s="519">
        <f>S15*W15</f>
        <v>174.38404499999999</v>
      </c>
      <c r="Z15" s="638"/>
      <c r="AA15" s="547" t="s">
        <v>294</v>
      </c>
      <c r="AB15" s="548"/>
      <c r="AC15" s="549"/>
      <c r="AD15" s="569"/>
      <c r="AE15" s="571"/>
      <c r="AF15" s="557"/>
      <c r="AG15" s="557"/>
      <c r="AH15" s="557">
        <f>AF15+AG15</f>
        <v>0</v>
      </c>
      <c r="AI15" s="593">
        <f>AD15*AH15</f>
        <v>0</v>
      </c>
      <c r="AJ15" s="519">
        <f>AE15*AH15</f>
        <v>0</v>
      </c>
      <c r="AL15" s="614"/>
      <c r="AM15" s="615"/>
      <c r="AN15" s="615"/>
      <c r="AO15" s="616"/>
      <c r="AP15" s="485"/>
      <c r="AQ15" s="485"/>
      <c r="AR15" s="485"/>
      <c r="AS15" s="606"/>
      <c r="AT15" s="485"/>
      <c r="AX15" s="498"/>
      <c r="AY15" s="499"/>
      <c r="AZ15" s="499"/>
      <c r="BA15" s="500"/>
      <c r="BB15" s="485"/>
      <c r="BC15" s="485"/>
      <c r="BD15" s="485"/>
      <c r="BE15" s="485"/>
      <c r="BF15" s="485"/>
      <c r="BG15" s="485"/>
      <c r="BI15" s="529"/>
      <c r="BJ15" s="530"/>
      <c r="BK15" s="530"/>
      <c r="BL15" s="530"/>
      <c r="BM15" s="531"/>
      <c r="BN15" s="429"/>
      <c r="BO15" s="430"/>
      <c r="BR15" s="852" t="s">
        <v>92</v>
      </c>
      <c r="BS15" s="853"/>
      <c r="BT15" s="853"/>
      <c r="BU15" s="854"/>
      <c r="BV15" s="466">
        <v>0</v>
      </c>
      <c r="BW15" s="480">
        <v>0</v>
      </c>
      <c r="BX15" s="849">
        <v>0</v>
      </c>
      <c r="BY15" s="480">
        <v>0</v>
      </c>
      <c r="BZ15" s="478">
        <v>1</v>
      </c>
      <c r="CA15" s="480">
        <v>0</v>
      </c>
      <c r="CB15" s="480">
        <v>0</v>
      </c>
      <c r="CC15" s="466">
        <v>0</v>
      </c>
      <c r="CD15" s="478">
        <v>0</v>
      </c>
      <c r="CE15" s="865">
        <f>SUM(BV15:BZ16)</f>
        <v>1</v>
      </c>
      <c r="CF15" s="474">
        <f>BV15*35+BW15*35+BX15*35+BY15*35+BZ15*35+CA15*35+CB15*35+CC15*35+CD15*35</f>
        <v>35</v>
      </c>
      <c r="CG15" s="468" t="s">
        <v>385</v>
      </c>
      <c r="CH15" s="469"/>
      <c r="CI15" s="470"/>
      <c r="CJ15" s="474"/>
      <c r="CK15" s="474">
        <v>35</v>
      </c>
      <c r="CL15" s="468" t="s">
        <v>286</v>
      </c>
      <c r="CM15" s="470"/>
      <c r="CN15" s="464">
        <v>44869</v>
      </c>
      <c r="CQ15" s="8"/>
      <c r="CV15" s="21"/>
      <c r="CW15" s="21"/>
      <c r="DA15" s="22"/>
      <c r="DB15" s="22"/>
    </row>
    <row r="16" spans="3:117" ht="15.95" customHeight="1" thickBot="1">
      <c r="C16" s="638"/>
      <c r="D16" s="550"/>
      <c r="E16" s="551"/>
      <c r="F16" s="552"/>
      <c r="G16" s="554"/>
      <c r="H16" s="554"/>
      <c r="I16" s="558"/>
      <c r="J16" s="558"/>
      <c r="K16" s="558"/>
      <c r="L16" s="558"/>
      <c r="M16" s="520"/>
      <c r="N16" s="638"/>
      <c r="O16" s="550"/>
      <c r="P16" s="551"/>
      <c r="Q16" s="552"/>
      <c r="R16" s="518"/>
      <c r="S16" s="572"/>
      <c r="T16" s="558"/>
      <c r="U16" s="558"/>
      <c r="V16" s="558"/>
      <c r="W16" s="558"/>
      <c r="X16" s="558"/>
      <c r="Y16" s="520"/>
      <c r="Z16" s="638"/>
      <c r="AA16" s="550"/>
      <c r="AB16" s="551"/>
      <c r="AC16" s="552"/>
      <c r="AD16" s="570"/>
      <c r="AE16" s="572"/>
      <c r="AF16" s="558"/>
      <c r="AG16" s="558"/>
      <c r="AH16" s="558"/>
      <c r="AI16" s="558"/>
      <c r="AJ16" s="520"/>
      <c r="AL16" s="863"/>
      <c r="AM16" s="547" t="s">
        <v>386</v>
      </c>
      <c r="AN16" s="548"/>
      <c r="AO16" s="549"/>
      <c r="AP16" s="645">
        <v>5</v>
      </c>
      <c r="AQ16" s="878">
        <f>W15</f>
        <v>17</v>
      </c>
      <c r="AR16" s="647">
        <f>((AP16*AQ16)*0.21)/AQ16</f>
        <v>1.0499999999999998</v>
      </c>
      <c r="AS16" s="647">
        <f>AP16+AR16</f>
        <v>6.05</v>
      </c>
      <c r="AT16" s="519">
        <f>AQ16*AS16</f>
        <v>102.85</v>
      </c>
      <c r="AX16" s="863"/>
      <c r="AY16" s="547" t="s">
        <v>386</v>
      </c>
      <c r="AZ16" s="548"/>
      <c r="BA16" s="549"/>
      <c r="BB16" s="641">
        <f>AP48</f>
        <v>35</v>
      </c>
      <c r="BC16" s="643">
        <f>T15</f>
        <v>9</v>
      </c>
      <c r="BD16" s="643">
        <f>U15</f>
        <v>8</v>
      </c>
      <c r="BE16" s="643">
        <f>V15</f>
        <v>0</v>
      </c>
      <c r="BF16" s="643">
        <f>SUM(BC16:BE17)</f>
        <v>17</v>
      </c>
      <c r="BG16" s="650">
        <f>BB16*BF16</f>
        <v>595</v>
      </c>
      <c r="BI16" s="529"/>
      <c r="BJ16" s="530"/>
      <c r="BK16" s="530"/>
      <c r="BL16" s="530"/>
      <c r="BM16" s="531"/>
      <c r="BN16" s="532"/>
      <c r="BO16" s="600"/>
      <c r="BR16" s="855"/>
      <c r="BS16" s="856"/>
      <c r="BT16" s="856"/>
      <c r="BU16" s="857"/>
      <c r="BV16" s="467"/>
      <c r="BW16" s="481"/>
      <c r="BX16" s="850"/>
      <c r="BY16" s="481"/>
      <c r="BZ16" s="479"/>
      <c r="CA16" s="481"/>
      <c r="CB16" s="481"/>
      <c r="CC16" s="467"/>
      <c r="CD16" s="479"/>
      <c r="CE16" s="866"/>
      <c r="CF16" s="475"/>
      <c r="CG16" s="471"/>
      <c r="CH16" s="472"/>
      <c r="CI16" s="473"/>
      <c r="CJ16" s="475"/>
      <c r="CK16" s="475"/>
      <c r="CL16" s="471"/>
      <c r="CM16" s="473"/>
      <c r="CN16" s="465"/>
      <c r="CV16" s="21"/>
      <c r="CW16" s="21"/>
      <c r="CX16" s="21"/>
      <c r="CY16" s="21"/>
      <c r="DA16" s="22"/>
      <c r="DB16" s="22"/>
    </row>
    <row r="17" spans="3:106" ht="15.95" customHeight="1" thickBot="1">
      <c r="C17" s="639"/>
      <c r="D17" s="547" t="s">
        <v>298</v>
      </c>
      <c r="E17" s="548"/>
      <c r="F17" s="549"/>
      <c r="G17" s="553">
        <v>33.950000000000003</v>
      </c>
      <c r="H17" s="553"/>
      <c r="I17" s="557"/>
      <c r="J17" s="557"/>
      <c r="K17" s="557">
        <f>I17+J17</f>
        <v>0</v>
      </c>
      <c r="L17" s="593">
        <f>G17*K17</f>
        <v>0</v>
      </c>
      <c r="M17" s="519">
        <f>H17*K17</f>
        <v>0</v>
      </c>
      <c r="N17" s="639"/>
      <c r="O17" s="547" t="s">
        <v>298</v>
      </c>
      <c r="P17" s="548"/>
      <c r="Q17" s="549"/>
      <c r="R17" s="517">
        <v>10.35</v>
      </c>
      <c r="S17" s="571"/>
      <c r="T17" s="557"/>
      <c r="U17" s="557"/>
      <c r="V17" s="557"/>
      <c r="W17" s="557">
        <f>T17+U17</f>
        <v>0</v>
      </c>
      <c r="X17" s="593">
        <f>R17*W17</f>
        <v>0</v>
      </c>
      <c r="Y17" s="519">
        <f>S17*W17</f>
        <v>0</v>
      </c>
      <c r="Z17" s="639"/>
      <c r="AA17" s="547" t="s">
        <v>298</v>
      </c>
      <c r="AB17" s="548"/>
      <c r="AC17" s="549"/>
      <c r="AD17" s="569"/>
      <c r="AE17" s="571"/>
      <c r="AF17" s="557"/>
      <c r="AG17" s="557"/>
      <c r="AH17" s="557">
        <f>AF17+AG17</f>
        <v>0</v>
      </c>
      <c r="AI17" s="593">
        <f>AD17*AH17</f>
        <v>0</v>
      </c>
      <c r="AJ17" s="519">
        <f>AE17*AH17</f>
        <v>0</v>
      </c>
      <c r="AL17" s="864"/>
      <c r="AM17" s="550"/>
      <c r="AN17" s="551"/>
      <c r="AO17" s="552"/>
      <c r="AP17" s="646"/>
      <c r="AQ17" s="879"/>
      <c r="AR17" s="648"/>
      <c r="AS17" s="648"/>
      <c r="AT17" s="640"/>
      <c r="AX17" s="864"/>
      <c r="AY17" s="550"/>
      <c r="AZ17" s="551"/>
      <c r="BA17" s="552"/>
      <c r="BB17" s="642"/>
      <c r="BC17" s="644"/>
      <c r="BD17" s="644"/>
      <c r="BE17" s="644"/>
      <c r="BF17" s="644"/>
      <c r="BG17" s="651"/>
      <c r="BI17" s="585"/>
      <c r="BJ17" s="595"/>
      <c r="BK17" s="595"/>
      <c r="BL17" s="595"/>
      <c r="BM17" s="586"/>
      <c r="BN17" s="601"/>
      <c r="BO17" s="602"/>
      <c r="BR17" s="852" t="s">
        <v>57</v>
      </c>
      <c r="BS17" s="853"/>
      <c r="BT17" s="853"/>
      <c r="BU17" s="854"/>
      <c r="BV17" s="466">
        <v>1</v>
      </c>
      <c r="BW17" s="480">
        <v>0</v>
      </c>
      <c r="BX17" s="466">
        <v>0</v>
      </c>
      <c r="BY17" s="480">
        <v>0</v>
      </c>
      <c r="BZ17" s="478">
        <v>0</v>
      </c>
      <c r="CA17" s="480">
        <v>0</v>
      </c>
      <c r="CB17" s="480">
        <v>0</v>
      </c>
      <c r="CC17" s="466">
        <v>0</v>
      </c>
      <c r="CD17" s="478">
        <v>0</v>
      </c>
      <c r="CE17" s="865">
        <f>SUM(BV17:BZ18)</f>
        <v>1</v>
      </c>
      <c r="CF17" s="474">
        <f>BV17*35+BW17*35+BX17*35+BY17*35+BZ17*35+CA17*35+CB17*35+CC17*35+CD17*35</f>
        <v>35</v>
      </c>
      <c r="CG17" s="468" t="s">
        <v>385</v>
      </c>
      <c r="CH17" s="469"/>
      <c r="CI17" s="470"/>
      <c r="CJ17" s="474"/>
      <c r="CK17" s="474">
        <v>35</v>
      </c>
      <c r="CL17" s="468" t="s">
        <v>286</v>
      </c>
      <c r="CM17" s="470"/>
      <c r="CN17" s="464">
        <v>44869</v>
      </c>
    </row>
    <row r="18" spans="3:106" ht="15.95" customHeight="1" thickBot="1">
      <c r="C18" s="639"/>
      <c r="D18" s="550"/>
      <c r="E18" s="551"/>
      <c r="F18" s="552"/>
      <c r="G18" s="554"/>
      <c r="H18" s="554"/>
      <c r="I18" s="558"/>
      <c r="J18" s="558"/>
      <c r="K18" s="558"/>
      <c r="L18" s="558"/>
      <c r="M18" s="520"/>
      <c r="N18" s="639"/>
      <c r="O18" s="550"/>
      <c r="P18" s="551"/>
      <c r="Q18" s="552"/>
      <c r="R18" s="518"/>
      <c r="S18" s="572"/>
      <c r="T18" s="558"/>
      <c r="U18" s="558"/>
      <c r="V18" s="558"/>
      <c r="W18" s="558"/>
      <c r="X18" s="558"/>
      <c r="Y18" s="520"/>
      <c r="Z18" s="639"/>
      <c r="AA18" s="550"/>
      <c r="AB18" s="551"/>
      <c r="AC18" s="552"/>
      <c r="AD18" s="570"/>
      <c r="AE18" s="572"/>
      <c r="AF18" s="558"/>
      <c r="AG18" s="558"/>
      <c r="AH18" s="558"/>
      <c r="AI18" s="558"/>
      <c r="AJ18" s="520"/>
      <c r="AL18" s="858"/>
      <c r="AM18" s="547" t="s">
        <v>337</v>
      </c>
      <c r="AN18" s="548"/>
      <c r="AO18" s="549"/>
      <c r="AP18" s="645">
        <v>6</v>
      </c>
      <c r="AQ18" s="878">
        <f>W21</f>
        <v>12</v>
      </c>
      <c r="AR18" s="589">
        <f>((AP18*AQ18)*0.21)/AQ18</f>
        <v>1.26</v>
      </c>
      <c r="AS18" s="647">
        <f>AP18+AR18</f>
        <v>7.26</v>
      </c>
      <c r="AT18" s="519">
        <f t="shared" ref="AT18" si="0">AQ18*AS18</f>
        <v>87.12</v>
      </c>
      <c r="AX18" s="858"/>
      <c r="AY18" s="547" t="s">
        <v>337</v>
      </c>
      <c r="AZ18" s="548"/>
      <c r="BA18" s="549"/>
      <c r="BB18" s="641">
        <f>AP50</f>
        <v>35</v>
      </c>
      <c r="BC18" s="649">
        <f>T21</f>
        <v>6</v>
      </c>
      <c r="BD18" s="649">
        <f>U21</f>
        <v>5</v>
      </c>
      <c r="BE18" s="649">
        <f>V21</f>
        <v>1</v>
      </c>
      <c r="BF18" s="643">
        <f>SUM(BC18:BE19)</f>
        <v>12</v>
      </c>
      <c r="BG18" s="650">
        <f>BB18*BF18</f>
        <v>420</v>
      </c>
      <c r="BI18" s="617" t="s">
        <v>145</v>
      </c>
      <c r="BJ18" s="618"/>
      <c r="BK18" s="618"/>
      <c r="BL18" s="618"/>
      <c r="BM18" s="619"/>
      <c r="BN18" s="623">
        <f>SUM(BN6:BO17)</f>
        <v>790.82500000000005</v>
      </c>
      <c r="BO18" s="624"/>
      <c r="BR18" s="855"/>
      <c r="BS18" s="856"/>
      <c r="BT18" s="856"/>
      <c r="BU18" s="857"/>
      <c r="BV18" s="467"/>
      <c r="BW18" s="481"/>
      <c r="BX18" s="467"/>
      <c r="BY18" s="481"/>
      <c r="BZ18" s="479"/>
      <c r="CA18" s="481"/>
      <c r="CB18" s="481"/>
      <c r="CC18" s="467"/>
      <c r="CD18" s="479"/>
      <c r="CE18" s="866"/>
      <c r="CF18" s="475"/>
      <c r="CG18" s="471"/>
      <c r="CH18" s="472"/>
      <c r="CI18" s="473"/>
      <c r="CJ18" s="475"/>
      <c r="CK18" s="475"/>
      <c r="CL18" s="471"/>
      <c r="CM18" s="473"/>
      <c r="CN18" s="465"/>
      <c r="CP18" s="20"/>
      <c r="CQ18" s="20"/>
      <c r="CR18" s="20"/>
      <c r="CS18" s="20"/>
      <c r="CT18" s="20"/>
      <c r="CU18" s="20"/>
      <c r="CV18" s="20"/>
      <c r="CW18" s="20"/>
      <c r="CX18" s="20"/>
      <c r="CY18" s="20"/>
    </row>
    <row r="19" spans="3:106" ht="15.95" customHeight="1" thickBot="1">
      <c r="C19" s="652"/>
      <c r="D19" s="547" t="s">
        <v>300</v>
      </c>
      <c r="E19" s="548"/>
      <c r="F19" s="549"/>
      <c r="G19" s="553">
        <v>33.950000000000003</v>
      </c>
      <c r="H19" s="553"/>
      <c r="I19" s="557"/>
      <c r="J19" s="557"/>
      <c r="K19" s="557">
        <f>I19+J19</f>
        <v>0</v>
      </c>
      <c r="L19" s="593">
        <f>G19*K19</f>
        <v>0</v>
      </c>
      <c r="M19" s="519">
        <f>H19*K19</f>
        <v>0</v>
      </c>
      <c r="N19" s="652"/>
      <c r="O19" s="547" t="s">
        <v>300</v>
      </c>
      <c r="P19" s="548"/>
      <c r="Q19" s="549"/>
      <c r="R19" s="517">
        <v>10.35</v>
      </c>
      <c r="S19" s="571"/>
      <c r="T19" s="557"/>
      <c r="U19" s="557"/>
      <c r="V19" s="557"/>
      <c r="W19" s="557">
        <f>T19+U19</f>
        <v>0</v>
      </c>
      <c r="X19" s="593">
        <f>R19*W19</f>
        <v>0</v>
      </c>
      <c r="Y19" s="519">
        <f>S19*W19</f>
        <v>0</v>
      </c>
      <c r="Z19" s="652"/>
      <c r="AA19" s="547" t="s">
        <v>300</v>
      </c>
      <c r="AB19" s="548"/>
      <c r="AC19" s="549"/>
      <c r="AD19" s="569"/>
      <c r="AE19" s="571"/>
      <c r="AF19" s="557"/>
      <c r="AG19" s="557"/>
      <c r="AH19" s="557">
        <f>AF19+AG19</f>
        <v>0</v>
      </c>
      <c r="AI19" s="593">
        <f>AD19*AH19</f>
        <v>0</v>
      </c>
      <c r="AJ19" s="519">
        <f>AE19*AH19</f>
        <v>0</v>
      </c>
      <c r="AL19" s="859"/>
      <c r="AM19" s="550"/>
      <c r="AN19" s="551"/>
      <c r="AO19" s="552"/>
      <c r="AP19" s="646"/>
      <c r="AQ19" s="879"/>
      <c r="AR19" s="590"/>
      <c r="AS19" s="648"/>
      <c r="AT19" s="640"/>
      <c r="AX19" s="859"/>
      <c r="AY19" s="550"/>
      <c r="AZ19" s="551"/>
      <c r="BA19" s="552"/>
      <c r="BB19" s="642"/>
      <c r="BC19" s="520"/>
      <c r="BD19" s="520"/>
      <c r="BE19" s="520"/>
      <c r="BF19" s="644"/>
      <c r="BG19" s="651"/>
      <c r="BI19" s="620"/>
      <c r="BJ19" s="621"/>
      <c r="BK19" s="621"/>
      <c r="BL19" s="621"/>
      <c r="BM19" s="622"/>
      <c r="BN19" s="625"/>
      <c r="BO19" s="626"/>
      <c r="BR19" s="852" t="s">
        <v>33</v>
      </c>
      <c r="BS19" s="853"/>
      <c r="BT19" s="853"/>
      <c r="BU19" s="854"/>
      <c r="BV19" s="466">
        <v>0</v>
      </c>
      <c r="BW19" s="480">
        <v>1</v>
      </c>
      <c r="BX19" s="466">
        <v>0</v>
      </c>
      <c r="BY19" s="480">
        <v>0</v>
      </c>
      <c r="BZ19" s="478">
        <v>0</v>
      </c>
      <c r="CA19" s="480">
        <v>0</v>
      </c>
      <c r="CB19" s="480">
        <v>0</v>
      </c>
      <c r="CC19" s="466">
        <v>0</v>
      </c>
      <c r="CD19" s="478">
        <v>0</v>
      </c>
      <c r="CE19" s="865">
        <f>SUM(BV19:BZ20)</f>
        <v>1</v>
      </c>
      <c r="CF19" s="474">
        <f>BV19*35+BW19*35+BX19*35+BY19*35+BZ19*35+CA19*35+CB19*35+CC19*35+CD19*35</f>
        <v>35</v>
      </c>
      <c r="CG19" s="468" t="s">
        <v>385</v>
      </c>
      <c r="CH19" s="469"/>
      <c r="CI19" s="470"/>
      <c r="CJ19" s="474"/>
      <c r="CK19" s="474">
        <v>35</v>
      </c>
      <c r="CL19" s="468" t="s">
        <v>286</v>
      </c>
      <c r="CM19" s="470"/>
      <c r="CN19" s="464">
        <v>44869</v>
      </c>
      <c r="CQ19" s="8"/>
      <c r="CV19" s="21"/>
      <c r="CW19" s="21"/>
      <c r="DA19" s="22"/>
      <c r="DB19" s="22"/>
    </row>
    <row r="20" spans="3:106" ht="15.95" customHeight="1" thickBot="1">
      <c r="C20" s="652"/>
      <c r="D20" s="550"/>
      <c r="E20" s="551"/>
      <c r="F20" s="552"/>
      <c r="G20" s="554"/>
      <c r="H20" s="554"/>
      <c r="I20" s="558"/>
      <c r="J20" s="558"/>
      <c r="K20" s="558"/>
      <c r="L20" s="558"/>
      <c r="M20" s="520"/>
      <c r="N20" s="652"/>
      <c r="O20" s="550"/>
      <c r="P20" s="551"/>
      <c r="Q20" s="552"/>
      <c r="R20" s="518"/>
      <c r="S20" s="572"/>
      <c r="T20" s="558"/>
      <c r="U20" s="558"/>
      <c r="V20" s="558"/>
      <c r="W20" s="558"/>
      <c r="X20" s="558"/>
      <c r="Y20" s="520"/>
      <c r="Z20" s="652"/>
      <c r="AA20" s="550"/>
      <c r="AB20" s="551"/>
      <c r="AC20" s="552"/>
      <c r="AD20" s="570"/>
      <c r="AE20" s="572"/>
      <c r="AF20" s="558"/>
      <c r="AG20" s="558"/>
      <c r="AH20" s="558"/>
      <c r="AI20" s="558"/>
      <c r="AJ20" s="520"/>
      <c r="AL20" s="882"/>
      <c r="AM20" s="547" t="s">
        <v>373</v>
      </c>
      <c r="AN20" s="548"/>
      <c r="AO20" s="549"/>
      <c r="AP20" s="571">
        <f>25</f>
        <v>25</v>
      </c>
      <c r="AQ20" s="878">
        <v>3</v>
      </c>
      <c r="AR20" s="589">
        <f>((AP20*AQ20)*0.21)/AQ20</f>
        <v>5.25</v>
      </c>
      <c r="AS20" s="647">
        <f>AP20+AR20</f>
        <v>30.25</v>
      </c>
      <c r="AT20" s="519">
        <f>(AQ20*AS20)/2</f>
        <v>45.375</v>
      </c>
      <c r="AV20" s="6"/>
      <c r="AX20" s="882"/>
      <c r="AY20" s="547"/>
      <c r="AZ20" s="548"/>
      <c r="BA20" s="549"/>
      <c r="BB20" s="641">
        <f>AP52</f>
        <v>0</v>
      </c>
      <c r="BC20" s="649"/>
      <c r="BD20" s="649"/>
      <c r="BE20" s="649"/>
      <c r="BF20" s="643">
        <f>BC20+BD20</f>
        <v>0</v>
      </c>
      <c r="BG20" s="650">
        <f>BB20*BF20</f>
        <v>0</v>
      </c>
      <c r="BN20" s="1"/>
      <c r="BO20" s="1"/>
      <c r="BR20" s="855"/>
      <c r="BS20" s="856"/>
      <c r="BT20" s="856"/>
      <c r="BU20" s="857"/>
      <c r="BV20" s="467"/>
      <c r="BW20" s="481"/>
      <c r="BX20" s="467"/>
      <c r="BY20" s="481"/>
      <c r="BZ20" s="479"/>
      <c r="CA20" s="481"/>
      <c r="CB20" s="481"/>
      <c r="CC20" s="467"/>
      <c r="CD20" s="479"/>
      <c r="CE20" s="866"/>
      <c r="CF20" s="475"/>
      <c r="CG20" s="471"/>
      <c r="CH20" s="472"/>
      <c r="CI20" s="473"/>
      <c r="CJ20" s="475"/>
      <c r="CK20" s="475"/>
      <c r="CL20" s="471"/>
      <c r="CM20" s="473"/>
      <c r="CN20" s="465"/>
      <c r="CV20" s="21"/>
      <c r="CW20" s="21"/>
      <c r="CX20" s="21"/>
      <c r="CY20" s="21"/>
      <c r="DA20" s="22"/>
      <c r="DB20" s="22"/>
    </row>
    <row r="21" spans="3:106" ht="15.95" customHeight="1" thickBot="1">
      <c r="C21" s="653"/>
      <c r="D21" s="547" t="s">
        <v>302</v>
      </c>
      <c r="E21" s="548"/>
      <c r="F21" s="549"/>
      <c r="G21" s="553">
        <v>33.950000000000003</v>
      </c>
      <c r="H21" s="553"/>
      <c r="I21" s="557"/>
      <c r="J21" s="557"/>
      <c r="K21" s="557">
        <f>I21+J21</f>
        <v>0</v>
      </c>
      <c r="L21" s="593">
        <f>G21*K21</f>
        <v>0</v>
      </c>
      <c r="M21" s="519">
        <f>H21*K21</f>
        <v>0</v>
      </c>
      <c r="N21" s="653"/>
      <c r="O21" s="547" t="s">
        <v>302</v>
      </c>
      <c r="P21" s="548"/>
      <c r="Q21" s="549"/>
      <c r="R21" s="517">
        <v>10.35</v>
      </c>
      <c r="S21" s="571">
        <f>R21*0.9911</f>
        <v>10.257885</v>
      </c>
      <c r="T21" s="557">
        <v>6</v>
      </c>
      <c r="U21" s="557">
        <v>5</v>
      </c>
      <c r="V21" s="557">
        <v>1</v>
      </c>
      <c r="W21" s="557">
        <f>SUM(T21:V22)</f>
        <v>12</v>
      </c>
      <c r="X21" s="593">
        <f>R21*W21</f>
        <v>124.19999999999999</v>
      </c>
      <c r="Y21" s="519">
        <f>S21*W21</f>
        <v>123.09461999999999</v>
      </c>
      <c r="Z21" s="653"/>
      <c r="AA21" s="547" t="s">
        <v>302</v>
      </c>
      <c r="AB21" s="548"/>
      <c r="AC21" s="549"/>
      <c r="AD21" s="569"/>
      <c r="AE21" s="571"/>
      <c r="AF21" s="557"/>
      <c r="AG21" s="557"/>
      <c r="AH21" s="557">
        <f>AF21+AG21</f>
        <v>0</v>
      </c>
      <c r="AI21" s="593">
        <f>AD21*AH21</f>
        <v>0</v>
      </c>
      <c r="AJ21" s="519">
        <f>AE21*AH21</f>
        <v>0</v>
      </c>
      <c r="AL21" s="883"/>
      <c r="AM21" s="550"/>
      <c r="AN21" s="551"/>
      <c r="AO21" s="552"/>
      <c r="AP21" s="572"/>
      <c r="AQ21" s="879"/>
      <c r="AR21" s="590"/>
      <c r="AS21" s="648"/>
      <c r="AT21" s="640"/>
      <c r="AV21" s="6"/>
      <c r="AX21" s="883"/>
      <c r="AY21" s="550"/>
      <c r="AZ21" s="551"/>
      <c r="BA21" s="552"/>
      <c r="BB21" s="642"/>
      <c r="BC21" s="520"/>
      <c r="BD21" s="520"/>
      <c r="BE21" s="520"/>
      <c r="BF21" s="644"/>
      <c r="BG21" s="651"/>
      <c r="BI21" s="628" t="s">
        <v>295</v>
      </c>
      <c r="BJ21" s="629"/>
      <c r="BK21" s="629"/>
      <c r="BL21" s="629"/>
      <c r="BM21" s="630"/>
      <c r="BN21" s="634">
        <f>BN3-BN18</f>
        <v>84.174999999999955</v>
      </c>
      <c r="BO21" s="635"/>
      <c r="BR21" s="852" t="s">
        <v>80</v>
      </c>
      <c r="BS21" s="853"/>
      <c r="BT21" s="853"/>
      <c r="BU21" s="854"/>
      <c r="BV21" s="466">
        <v>0</v>
      </c>
      <c r="BW21" s="480">
        <v>0</v>
      </c>
      <c r="BX21" s="849">
        <v>0</v>
      </c>
      <c r="BY21" s="480">
        <v>1</v>
      </c>
      <c r="BZ21" s="478">
        <v>0</v>
      </c>
      <c r="CA21" s="480">
        <v>0</v>
      </c>
      <c r="CB21" s="480">
        <v>0</v>
      </c>
      <c r="CC21" s="466">
        <v>0</v>
      </c>
      <c r="CD21" s="478">
        <v>0</v>
      </c>
      <c r="CE21" s="865">
        <f>SUM(BV21:BZ22)</f>
        <v>1</v>
      </c>
      <c r="CF21" s="474">
        <f>BV21*35+BW21*35+BX21*35+BY21*35+BZ21*35+CA21*35+CB21*35+CC21*35+CD21*35</f>
        <v>35</v>
      </c>
      <c r="CG21" s="468" t="s">
        <v>385</v>
      </c>
      <c r="CH21" s="469"/>
      <c r="CI21" s="470"/>
      <c r="CJ21" s="474"/>
      <c r="CK21" s="474">
        <v>35</v>
      </c>
      <c r="CL21" s="468" t="s">
        <v>286</v>
      </c>
      <c r="CM21" s="470"/>
      <c r="CN21" s="464">
        <v>44871</v>
      </c>
    </row>
    <row r="22" spans="3:106" ht="15.95" customHeight="1" thickBot="1">
      <c r="C22" s="653"/>
      <c r="D22" s="550"/>
      <c r="E22" s="551"/>
      <c r="F22" s="552"/>
      <c r="G22" s="554"/>
      <c r="H22" s="554"/>
      <c r="I22" s="558"/>
      <c r="J22" s="558"/>
      <c r="K22" s="558"/>
      <c r="L22" s="558"/>
      <c r="M22" s="520"/>
      <c r="N22" s="653"/>
      <c r="O22" s="550"/>
      <c r="P22" s="551"/>
      <c r="Q22" s="552"/>
      <c r="R22" s="518"/>
      <c r="S22" s="572"/>
      <c r="T22" s="558"/>
      <c r="U22" s="558"/>
      <c r="V22" s="558"/>
      <c r="W22" s="558"/>
      <c r="X22" s="558"/>
      <c r="Y22" s="520"/>
      <c r="Z22" s="653"/>
      <c r="AA22" s="550"/>
      <c r="AB22" s="551"/>
      <c r="AC22" s="552"/>
      <c r="AD22" s="570"/>
      <c r="AE22" s="572"/>
      <c r="AF22" s="558"/>
      <c r="AG22" s="558"/>
      <c r="AH22" s="558"/>
      <c r="AI22" s="558"/>
      <c r="AJ22" s="520"/>
      <c r="AL22" s="880"/>
      <c r="AM22" s="547"/>
      <c r="AN22" s="548"/>
      <c r="AO22" s="549"/>
      <c r="AP22" s="666"/>
      <c r="AQ22" s="878"/>
      <c r="AR22" s="647"/>
      <c r="AS22" s="519"/>
      <c r="AT22" s="519"/>
      <c r="AU22" s="2"/>
      <c r="AX22" s="880"/>
      <c r="AY22" s="547"/>
      <c r="AZ22" s="548"/>
      <c r="BA22" s="549"/>
      <c r="BB22" s="641">
        <f>AP54</f>
        <v>0</v>
      </c>
      <c r="BC22" s="649"/>
      <c r="BD22" s="649"/>
      <c r="BE22" s="649"/>
      <c r="BF22" s="643">
        <f>BC22+BD22</f>
        <v>0</v>
      </c>
      <c r="BG22" s="650">
        <f>BB22*BF22</f>
        <v>0</v>
      </c>
      <c r="BI22" s="631"/>
      <c r="BJ22" s="632"/>
      <c r="BK22" s="632"/>
      <c r="BL22" s="632"/>
      <c r="BM22" s="633"/>
      <c r="BN22" s="636"/>
      <c r="BO22" s="637"/>
      <c r="BR22" s="855"/>
      <c r="BS22" s="856"/>
      <c r="BT22" s="856"/>
      <c r="BU22" s="857"/>
      <c r="BV22" s="467"/>
      <c r="BW22" s="481"/>
      <c r="BX22" s="850"/>
      <c r="BY22" s="481"/>
      <c r="BZ22" s="479"/>
      <c r="CA22" s="481"/>
      <c r="CB22" s="481"/>
      <c r="CC22" s="467"/>
      <c r="CD22" s="479"/>
      <c r="CE22" s="866"/>
      <c r="CF22" s="475"/>
      <c r="CG22" s="471"/>
      <c r="CH22" s="472"/>
      <c r="CI22" s="473"/>
      <c r="CJ22" s="475"/>
      <c r="CK22" s="475"/>
      <c r="CL22" s="471"/>
      <c r="CM22" s="473"/>
      <c r="CN22" s="465"/>
      <c r="CP22" s="20"/>
      <c r="CQ22" s="20"/>
      <c r="CR22" s="20"/>
      <c r="CS22" s="20"/>
      <c r="CT22" s="20"/>
      <c r="CU22" s="20"/>
      <c r="CV22" s="20"/>
      <c r="CW22" s="20"/>
      <c r="CX22" s="20"/>
      <c r="CY22" s="20"/>
    </row>
    <row r="23" spans="3:106" ht="15.95" customHeight="1" thickBot="1">
      <c r="C23" s="658"/>
      <c r="D23" s="547" t="s">
        <v>305</v>
      </c>
      <c r="E23" s="548"/>
      <c r="F23" s="549"/>
      <c r="G23" s="553">
        <v>33.950000000000003</v>
      </c>
      <c r="H23" s="553"/>
      <c r="I23" s="557"/>
      <c r="J23" s="557"/>
      <c r="K23" s="557">
        <f>I23+J23</f>
        <v>0</v>
      </c>
      <c r="L23" s="593">
        <f>G23*K23</f>
        <v>0</v>
      </c>
      <c r="M23" s="519">
        <f>H23*K23</f>
        <v>0</v>
      </c>
      <c r="N23" s="658"/>
      <c r="O23" s="547" t="s">
        <v>305</v>
      </c>
      <c r="P23" s="548"/>
      <c r="Q23" s="549"/>
      <c r="R23" s="517">
        <v>10.35</v>
      </c>
      <c r="S23" s="571"/>
      <c r="T23" s="557"/>
      <c r="U23" s="557"/>
      <c r="V23" s="557"/>
      <c r="W23" s="557">
        <f>T23+U23</f>
        <v>0</v>
      </c>
      <c r="X23" s="593">
        <f>R23*W23</f>
        <v>0</v>
      </c>
      <c r="Y23" s="519">
        <f>S23*W23</f>
        <v>0</v>
      </c>
      <c r="Z23" s="658"/>
      <c r="AA23" s="547" t="s">
        <v>305</v>
      </c>
      <c r="AB23" s="548"/>
      <c r="AC23" s="549"/>
      <c r="AD23" s="569"/>
      <c r="AE23" s="571"/>
      <c r="AF23" s="557"/>
      <c r="AG23" s="557"/>
      <c r="AH23" s="557">
        <f>AF23+AG23</f>
        <v>0</v>
      </c>
      <c r="AI23" s="593">
        <f>AD23*AH23</f>
        <v>0</v>
      </c>
      <c r="AJ23" s="519">
        <f>AE23*AH23</f>
        <v>0</v>
      </c>
      <c r="AL23" s="881"/>
      <c r="AM23" s="550"/>
      <c r="AN23" s="551"/>
      <c r="AO23" s="552"/>
      <c r="AP23" s="667"/>
      <c r="AQ23" s="884"/>
      <c r="AR23" s="648"/>
      <c r="AS23" s="669"/>
      <c r="AT23" s="640"/>
      <c r="AX23" s="881"/>
      <c r="AY23" s="550"/>
      <c r="AZ23" s="551"/>
      <c r="BA23" s="552"/>
      <c r="BB23" s="656"/>
      <c r="BC23" s="657"/>
      <c r="BD23" s="657"/>
      <c r="BE23" s="657"/>
      <c r="BF23" s="644"/>
      <c r="BG23" s="651"/>
      <c r="BR23" s="852" t="s">
        <v>44</v>
      </c>
      <c r="BS23" s="853"/>
      <c r="BT23" s="853"/>
      <c r="BU23" s="854"/>
      <c r="BV23" s="466">
        <v>0</v>
      </c>
      <c r="BW23" s="480">
        <v>0</v>
      </c>
      <c r="BX23" s="466">
        <v>1</v>
      </c>
      <c r="BY23" s="480">
        <v>0</v>
      </c>
      <c r="BZ23" s="478">
        <v>0</v>
      </c>
      <c r="CA23" s="480">
        <v>0</v>
      </c>
      <c r="CB23" s="480">
        <v>0</v>
      </c>
      <c r="CC23" s="466">
        <v>0</v>
      </c>
      <c r="CD23" s="478">
        <v>0</v>
      </c>
      <c r="CE23" s="865">
        <f>SUM(BV23:BZ24)</f>
        <v>1</v>
      </c>
      <c r="CF23" s="474">
        <f>BV23*35+BW23*35+BX23*35+BY23*35+BZ23*35+CA23*35+CB23*35+CC23*35+CD23*35</f>
        <v>35</v>
      </c>
      <c r="CG23" s="468" t="s">
        <v>385</v>
      </c>
      <c r="CH23" s="469"/>
      <c r="CI23" s="470"/>
      <c r="CJ23" s="474"/>
      <c r="CK23" s="474">
        <v>35</v>
      </c>
      <c r="CL23" s="468" t="s">
        <v>286</v>
      </c>
      <c r="CM23" s="470"/>
      <c r="CN23" s="464">
        <f>CN21</f>
        <v>44871</v>
      </c>
      <c r="CQ23" s="8"/>
      <c r="CV23" s="21"/>
      <c r="CW23" s="21"/>
      <c r="DA23" s="22"/>
      <c r="DB23" s="22"/>
    </row>
    <row r="24" spans="3:106" ht="15.95" customHeight="1" thickBot="1">
      <c r="C24" s="658"/>
      <c r="D24" s="550"/>
      <c r="E24" s="551"/>
      <c r="F24" s="552"/>
      <c r="G24" s="554"/>
      <c r="H24" s="554"/>
      <c r="I24" s="558"/>
      <c r="J24" s="558"/>
      <c r="K24" s="558"/>
      <c r="L24" s="558"/>
      <c r="M24" s="520"/>
      <c r="N24" s="658"/>
      <c r="O24" s="550"/>
      <c r="P24" s="551"/>
      <c r="Q24" s="552"/>
      <c r="R24" s="518"/>
      <c r="S24" s="572"/>
      <c r="T24" s="558"/>
      <c r="U24" s="558"/>
      <c r="V24" s="558"/>
      <c r="W24" s="558"/>
      <c r="X24" s="558"/>
      <c r="Y24" s="520"/>
      <c r="Z24" s="658"/>
      <c r="AA24" s="550"/>
      <c r="AB24" s="551"/>
      <c r="AC24" s="552"/>
      <c r="AD24" s="570"/>
      <c r="AE24" s="572"/>
      <c r="AF24" s="558"/>
      <c r="AG24" s="558"/>
      <c r="AH24" s="558"/>
      <c r="AI24" s="558"/>
      <c r="AJ24" s="520"/>
      <c r="AP24" s="3"/>
      <c r="AQ24" s="660">
        <f>SUM(AQ16:AQ23)</f>
        <v>32</v>
      </c>
      <c r="AR24" s="885">
        <f>SUM(AR16:AR23)</f>
        <v>7.56</v>
      </c>
      <c r="AS24" s="4"/>
      <c r="AT24" s="662">
        <f>SUM(AT16:AT23)-22.63</f>
        <v>212.715</v>
      </c>
      <c r="BB24" s="3"/>
      <c r="BC24" s="3"/>
      <c r="BD24" s="3"/>
      <c r="BF24" s="643">
        <f>SUM(BF16:BF23)</f>
        <v>29</v>
      </c>
      <c r="BG24" s="650">
        <f>SUM(BG16:BG23)</f>
        <v>1015</v>
      </c>
      <c r="BR24" s="855"/>
      <c r="BS24" s="856"/>
      <c r="BT24" s="856"/>
      <c r="BU24" s="857"/>
      <c r="BV24" s="467"/>
      <c r="BW24" s="481"/>
      <c r="BX24" s="467"/>
      <c r="BY24" s="481"/>
      <c r="BZ24" s="479"/>
      <c r="CA24" s="481"/>
      <c r="CB24" s="481"/>
      <c r="CC24" s="467"/>
      <c r="CD24" s="479"/>
      <c r="CE24" s="866"/>
      <c r="CF24" s="475"/>
      <c r="CG24" s="471"/>
      <c r="CH24" s="472"/>
      <c r="CI24" s="473"/>
      <c r="CJ24" s="475"/>
      <c r="CK24" s="475"/>
      <c r="CL24" s="471"/>
      <c r="CM24" s="473"/>
      <c r="CN24" s="465"/>
      <c r="CR24" s="113"/>
      <c r="CS24" s="113"/>
      <c r="CT24" s="113"/>
      <c r="CU24" s="113"/>
      <c r="CV24" s="21"/>
      <c r="CW24" s="21"/>
      <c r="CX24" s="21"/>
      <c r="CY24" s="21"/>
      <c r="DA24" s="22"/>
      <c r="DB24" s="22"/>
    </row>
    <row r="25" spans="3:106" ht="15.95" customHeight="1" thickBot="1">
      <c r="C25" s="659"/>
      <c r="D25" s="547" t="s">
        <v>306</v>
      </c>
      <c r="E25" s="548"/>
      <c r="F25" s="549"/>
      <c r="G25" s="553">
        <v>33.950000000000003</v>
      </c>
      <c r="H25" s="553"/>
      <c r="I25" s="557"/>
      <c r="J25" s="557"/>
      <c r="K25" s="557">
        <f>I25+J25</f>
        <v>0</v>
      </c>
      <c r="L25" s="593">
        <f>G25*K25</f>
        <v>0</v>
      </c>
      <c r="M25" s="519">
        <f>H25*K25</f>
        <v>0</v>
      </c>
      <c r="N25" s="659"/>
      <c r="O25" s="547" t="s">
        <v>306</v>
      </c>
      <c r="P25" s="548"/>
      <c r="Q25" s="549"/>
      <c r="R25" s="517">
        <v>10.35</v>
      </c>
      <c r="S25" s="571"/>
      <c r="T25" s="557"/>
      <c r="U25" s="557"/>
      <c r="V25" s="557"/>
      <c r="W25" s="557">
        <f>T25+U25</f>
        <v>0</v>
      </c>
      <c r="X25" s="593">
        <f>R25*W25</f>
        <v>0</v>
      </c>
      <c r="Y25" s="519">
        <f>S25*W25</f>
        <v>0</v>
      </c>
      <c r="Z25" s="659"/>
      <c r="AA25" s="547" t="s">
        <v>306</v>
      </c>
      <c r="AB25" s="548"/>
      <c r="AC25" s="549"/>
      <c r="AD25" s="569"/>
      <c r="AE25" s="571"/>
      <c r="AF25" s="557"/>
      <c r="AG25" s="557"/>
      <c r="AH25" s="557">
        <f>AF25+AG25</f>
        <v>0</v>
      </c>
      <c r="AI25" s="593">
        <f>AD25*AH25</f>
        <v>0</v>
      </c>
      <c r="AJ25" s="519">
        <f>AE25*AH25</f>
        <v>0</v>
      </c>
      <c r="AP25" s="3"/>
      <c r="AQ25" s="661"/>
      <c r="AR25" s="697"/>
      <c r="AS25" s="4"/>
      <c r="AT25" s="697"/>
      <c r="BB25" s="3"/>
      <c r="BC25" s="3"/>
      <c r="BD25" s="3"/>
      <c r="BF25" s="664"/>
      <c r="BG25" s="665"/>
      <c r="BR25" s="852" t="s">
        <v>46</v>
      </c>
      <c r="BS25" s="853"/>
      <c r="BT25" s="853"/>
      <c r="BU25" s="854"/>
      <c r="BV25" s="849">
        <v>1</v>
      </c>
      <c r="BW25" s="861">
        <v>0</v>
      </c>
      <c r="BX25" s="849">
        <v>0</v>
      </c>
      <c r="BY25" s="480">
        <v>0</v>
      </c>
      <c r="BZ25" s="478">
        <v>0</v>
      </c>
      <c r="CA25" s="480">
        <v>0</v>
      </c>
      <c r="CB25" s="480">
        <v>0</v>
      </c>
      <c r="CC25" s="466">
        <v>0</v>
      </c>
      <c r="CD25" s="478">
        <v>0</v>
      </c>
      <c r="CE25" s="865">
        <f>SUM(BV25:BZ26)</f>
        <v>1</v>
      </c>
      <c r="CF25" s="474">
        <f>BV25*35+BW25*35+BX25*35+BY25*35+BZ25*35+CA25*35+CB25*35+CC25*35+CD25*35</f>
        <v>35</v>
      </c>
      <c r="CG25" s="468" t="s">
        <v>385</v>
      </c>
      <c r="CH25" s="469"/>
      <c r="CI25" s="470"/>
      <c r="CJ25" s="474"/>
      <c r="CK25" s="474">
        <v>35</v>
      </c>
      <c r="CL25" s="468" t="s">
        <v>286</v>
      </c>
      <c r="CM25" s="470"/>
      <c r="CN25" s="464">
        <f>CN21</f>
        <v>44871</v>
      </c>
    </row>
    <row r="26" spans="3:106" ht="15.95" customHeight="1" thickBot="1">
      <c r="C26" s="659"/>
      <c r="D26" s="550"/>
      <c r="E26" s="551"/>
      <c r="F26" s="552"/>
      <c r="G26" s="554"/>
      <c r="H26" s="554"/>
      <c r="I26" s="558"/>
      <c r="J26" s="558"/>
      <c r="K26" s="558"/>
      <c r="L26" s="558"/>
      <c r="M26" s="520"/>
      <c r="N26" s="659"/>
      <c r="O26" s="550"/>
      <c r="P26" s="551"/>
      <c r="Q26" s="552"/>
      <c r="R26" s="518"/>
      <c r="S26" s="572"/>
      <c r="T26" s="558"/>
      <c r="U26" s="558"/>
      <c r="V26" s="558"/>
      <c r="W26" s="558"/>
      <c r="X26" s="558"/>
      <c r="Y26" s="520"/>
      <c r="Z26" s="659"/>
      <c r="AA26" s="550"/>
      <c r="AB26" s="551"/>
      <c r="AC26" s="552"/>
      <c r="AD26" s="570"/>
      <c r="AE26" s="572"/>
      <c r="AF26" s="558"/>
      <c r="AG26" s="558"/>
      <c r="AH26" s="558"/>
      <c r="AI26" s="558"/>
      <c r="AJ26" s="520"/>
      <c r="AP26" s="6"/>
      <c r="BB26" s="3"/>
      <c r="BC26" s="3"/>
      <c r="BD26" s="3"/>
      <c r="BE26" s="3"/>
      <c r="BF26" s="3"/>
      <c r="BR26" s="855"/>
      <c r="BS26" s="856"/>
      <c r="BT26" s="856"/>
      <c r="BU26" s="857"/>
      <c r="BV26" s="850"/>
      <c r="BW26" s="862"/>
      <c r="BX26" s="868"/>
      <c r="BY26" s="860"/>
      <c r="BZ26" s="851"/>
      <c r="CA26" s="481"/>
      <c r="CB26" s="481"/>
      <c r="CC26" s="467"/>
      <c r="CD26" s="479"/>
      <c r="CE26" s="866"/>
      <c r="CF26" s="475"/>
      <c r="CG26" s="471"/>
      <c r="CH26" s="472"/>
      <c r="CI26" s="473"/>
      <c r="CJ26" s="475"/>
      <c r="CK26" s="475"/>
      <c r="CL26" s="471"/>
      <c r="CM26" s="473"/>
      <c r="CN26" s="465"/>
      <c r="CP26" s="20"/>
      <c r="CQ26" s="20"/>
      <c r="CR26" s="20"/>
      <c r="CS26" s="20"/>
      <c r="CT26" s="20"/>
      <c r="CU26" s="20"/>
      <c r="CV26" s="20"/>
      <c r="CW26" s="20"/>
      <c r="CX26" s="20"/>
      <c r="CY26" s="20"/>
    </row>
    <row r="27" spans="3:106" ht="15.95" customHeight="1" thickBot="1">
      <c r="C27" s="670"/>
      <c r="D27" s="547" t="s">
        <v>307</v>
      </c>
      <c r="E27" s="548"/>
      <c r="F27" s="549"/>
      <c r="G27" s="553">
        <v>33.950000000000003</v>
      </c>
      <c r="H27" s="553"/>
      <c r="I27" s="557"/>
      <c r="J27" s="557"/>
      <c r="K27" s="557">
        <f>I27+J27</f>
        <v>0</v>
      </c>
      <c r="L27" s="593">
        <f>G27*K27</f>
        <v>0</v>
      </c>
      <c r="M27" s="519">
        <f>H27*K27</f>
        <v>0</v>
      </c>
      <c r="N27" s="670"/>
      <c r="O27" s="547" t="s">
        <v>307</v>
      </c>
      <c r="P27" s="548"/>
      <c r="Q27" s="549"/>
      <c r="R27" s="517">
        <v>10.35</v>
      </c>
      <c r="S27" s="571"/>
      <c r="T27" s="557"/>
      <c r="U27" s="557"/>
      <c r="V27" s="557"/>
      <c r="W27" s="557">
        <f>T27+U27</f>
        <v>0</v>
      </c>
      <c r="X27" s="593">
        <f>R27*W27</f>
        <v>0</v>
      </c>
      <c r="Y27" s="519">
        <f>S27*W27</f>
        <v>0</v>
      </c>
      <c r="Z27" s="670"/>
      <c r="AA27" s="547" t="s">
        <v>307</v>
      </c>
      <c r="AB27" s="548"/>
      <c r="AC27" s="549"/>
      <c r="AD27" s="569"/>
      <c r="AE27" s="571"/>
      <c r="AF27" s="557"/>
      <c r="AG27" s="557"/>
      <c r="AH27" s="557">
        <f>AF27+AG27</f>
        <v>0</v>
      </c>
      <c r="AI27" s="593">
        <f>AD27*AH27</f>
        <v>0</v>
      </c>
      <c r="AJ27" s="519">
        <f>AE27*AH27</f>
        <v>0</v>
      </c>
      <c r="BB27" s="3"/>
      <c r="BC27" s="3"/>
      <c r="BD27" s="3"/>
      <c r="BE27" s="3"/>
      <c r="BF27" s="3"/>
      <c r="BR27" s="852" t="s">
        <v>387</v>
      </c>
      <c r="BS27" s="853"/>
      <c r="BT27" s="853"/>
      <c r="BU27" s="854"/>
      <c r="BV27" s="466">
        <v>0</v>
      </c>
      <c r="BW27" s="480">
        <v>1</v>
      </c>
      <c r="BX27" s="849"/>
      <c r="BY27" s="480">
        <v>1</v>
      </c>
      <c r="BZ27" s="478">
        <v>0</v>
      </c>
      <c r="CA27" s="480">
        <v>0</v>
      </c>
      <c r="CB27" s="480">
        <v>0</v>
      </c>
      <c r="CC27" s="466">
        <v>0</v>
      </c>
      <c r="CD27" s="478">
        <v>0</v>
      </c>
      <c r="CE27" s="865">
        <f>SUM(BV27:BZ28)</f>
        <v>2</v>
      </c>
      <c r="CF27" s="474">
        <f>BV27*35+BW27*35+BX27*35+BY27*35+BZ27*35+CA27*35+CB27*35+CC27*35+CD27*35</f>
        <v>70</v>
      </c>
      <c r="CG27" s="468" t="s">
        <v>384</v>
      </c>
      <c r="CH27" s="469"/>
      <c r="CI27" s="470"/>
      <c r="CJ27" s="474"/>
      <c r="CK27" s="474">
        <v>70</v>
      </c>
      <c r="CL27" s="468" t="s">
        <v>286</v>
      </c>
      <c r="CM27" s="470"/>
      <c r="CN27" s="464">
        <f>CN23</f>
        <v>44871</v>
      </c>
      <c r="CQ27" s="8"/>
      <c r="CV27" s="21"/>
      <c r="CW27" s="21"/>
      <c r="DA27" s="22"/>
      <c r="DB27" s="22"/>
    </row>
    <row r="28" spans="3:106" ht="15.95" customHeight="1" thickBot="1">
      <c r="C28" s="670"/>
      <c r="D28" s="550"/>
      <c r="E28" s="551"/>
      <c r="F28" s="552"/>
      <c r="G28" s="554"/>
      <c r="H28" s="554"/>
      <c r="I28" s="558"/>
      <c r="J28" s="558"/>
      <c r="K28" s="558"/>
      <c r="L28" s="558"/>
      <c r="M28" s="520"/>
      <c r="N28" s="670"/>
      <c r="O28" s="550"/>
      <c r="P28" s="551"/>
      <c r="Q28" s="552"/>
      <c r="R28" s="518"/>
      <c r="S28" s="572"/>
      <c r="T28" s="558"/>
      <c r="U28" s="558"/>
      <c r="V28" s="558"/>
      <c r="W28" s="558"/>
      <c r="X28" s="558"/>
      <c r="Y28" s="520"/>
      <c r="Z28" s="670"/>
      <c r="AA28" s="550"/>
      <c r="AB28" s="551"/>
      <c r="AC28" s="552"/>
      <c r="AD28" s="570"/>
      <c r="AE28" s="572"/>
      <c r="AF28" s="558"/>
      <c r="AG28" s="558"/>
      <c r="AH28" s="558"/>
      <c r="AI28" s="558"/>
      <c r="AJ28" s="520"/>
      <c r="AL28" s="608" t="s">
        <v>308</v>
      </c>
      <c r="AM28" s="609"/>
      <c r="AN28" s="609"/>
      <c r="AO28" s="610"/>
      <c r="AX28" s="673" t="s">
        <v>309</v>
      </c>
      <c r="AY28" s="674"/>
      <c r="AZ28" s="674"/>
      <c r="BA28" s="675"/>
      <c r="BB28" s="3"/>
      <c r="BC28" s="3"/>
      <c r="BD28" s="3"/>
      <c r="BE28" s="3"/>
      <c r="BF28" s="3"/>
      <c r="BR28" s="855"/>
      <c r="BS28" s="856"/>
      <c r="BT28" s="856"/>
      <c r="BU28" s="857"/>
      <c r="BV28" s="467"/>
      <c r="BW28" s="481"/>
      <c r="BX28" s="850"/>
      <c r="BY28" s="481"/>
      <c r="BZ28" s="479"/>
      <c r="CA28" s="481"/>
      <c r="CB28" s="481"/>
      <c r="CC28" s="467"/>
      <c r="CD28" s="479"/>
      <c r="CE28" s="866"/>
      <c r="CF28" s="475"/>
      <c r="CG28" s="471"/>
      <c r="CH28" s="472"/>
      <c r="CI28" s="473"/>
      <c r="CJ28" s="475"/>
      <c r="CK28" s="475"/>
      <c r="CL28" s="471"/>
      <c r="CM28" s="473"/>
      <c r="CN28" s="465"/>
      <c r="CR28" s="113"/>
      <c r="CS28" s="113"/>
      <c r="CT28" s="113"/>
      <c r="CU28" s="113"/>
      <c r="CV28" s="21"/>
      <c r="CW28" s="21"/>
      <c r="CX28" s="21"/>
      <c r="CY28" s="21"/>
      <c r="DA28" s="22"/>
      <c r="DB28" s="22"/>
    </row>
    <row r="29" spans="3:106" ht="15.95" customHeight="1" thickBot="1">
      <c r="C29" s="683"/>
      <c r="D29" s="547" t="s">
        <v>310</v>
      </c>
      <c r="E29" s="548"/>
      <c r="F29" s="549"/>
      <c r="G29" s="553">
        <v>33.950000000000003</v>
      </c>
      <c r="H29" s="553"/>
      <c r="I29" s="557"/>
      <c r="J29" s="557"/>
      <c r="K29" s="557">
        <f>I29+J29</f>
        <v>0</v>
      </c>
      <c r="L29" s="593">
        <f>G29*K29</f>
        <v>0</v>
      </c>
      <c r="M29" s="519">
        <f>H29*K29</f>
        <v>0</v>
      </c>
      <c r="N29" s="683"/>
      <c r="O29" s="547" t="s">
        <v>310</v>
      </c>
      <c r="P29" s="548"/>
      <c r="Q29" s="549"/>
      <c r="R29" s="517">
        <v>10.35</v>
      </c>
      <c r="S29" s="571"/>
      <c r="T29" s="557"/>
      <c r="U29" s="557"/>
      <c r="V29" s="557"/>
      <c r="W29" s="557">
        <f>T29+U29</f>
        <v>0</v>
      </c>
      <c r="X29" s="593">
        <f>R29*W29</f>
        <v>0</v>
      </c>
      <c r="Y29" s="519">
        <f>S29*W29</f>
        <v>0</v>
      </c>
      <c r="Z29" s="683"/>
      <c r="AA29" s="547" t="s">
        <v>310</v>
      </c>
      <c r="AB29" s="548"/>
      <c r="AC29" s="549"/>
      <c r="AD29" s="569"/>
      <c r="AE29" s="571"/>
      <c r="AF29" s="557"/>
      <c r="AG29" s="557"/>
      <c r="AH29" s="557">
        <f>AF29+AG29</f>
        <v>0</v>
      </c>
      <c r="AI29" s="593">
        <f>AD29*AH29</f>
        <v>0</v>
      </c>
      <c r="AJ29" s="519">
        <f>AE29*AH29</f>
        <v>0</v>
      </c>
      <c r="AL29" s="611"/>
      <c r="AM29" s="612"/>
      <c r="AN29" s="612"/>
      <c r="AO29" s="613"/>
      <c r="AX29" s="676"/>
      <c r="AY29" s="677"/>
      <c r="AZ29" s="677"/>
      <c r="BA29" s="678"/>
      <c r="BB29" s="3"/>
      <c r="BC29" s="3"/>
      <c r="BD29" s="3"/>
      <c r="BE29" s="3"/>
      <c r="BF29" s="3"/>
      <c r="BR29" s="852" t="s">
        <v>58</v>
      </c>
      <c r="BS29" s="853"/>
      <c r="BT29" s="853"/>
      <c r="BU29" s="854"/>
      <c r="BV29" s="466">
        <v>0</v>
      </c>
      <c r="BW29" s="480">
        <v>0</v>
      </c>
      <c r="BX29" s="466">
        <v>1</v>
      </c>
      <c r="BY29" s="480">
        <v>0</v>
      </c>
      <c r="BZ29" s="478">
        <v>0</v>
      </c>
      <c r="CA29" s="480">
        <v>0</v>
      </c>
      <c r="CB29" s="480">
        <v>0</v>
      </c>
      <c r="CC29" s="466">
        <v>0</v>
      </c>
      <c r="CD29" s="478">
        <v>0</v>
      </c>
      <c r="CE29" s="865">
        <f>SUM(BV29:BZ30)</f>
        <v>1</v>
      </c>
      <c r="CF29" s="474">
        <f>BV29*35+BW29*35+BX29*35+BY29*35+BZ29*35+CA29*35+CB29*35+CC29*35+CD29*35</f>
        <v>35</v>
      </c>
      <c r="CG29" s="468" t="s">
        <v>385</v>
      </c>
      <c r="CH29" s="469"/>
      <c r="CI29" s="470"/>
      <c r="CJ29" s="474"/>
      <c r="CK29" s="474">
        <v>35</v>
      </c>
      <c r="CL29" s="468" t="s">
        <v>286</v>
      </c>
      <c r="CM29" s="470"/>
      <c r="CN29" s="464">
        <f>CN27</f>
        <v>44871</v>
      </c>
    </row>
    <row r="30" spans="3:106" ht="15.95" customHeight="1" thickBot="1">
      <c r="C30" s="683"/>
      <c r="D30" s="550"/>
      <c r="E30" s="551"/>
      <c r="F30" s="552"/>
      <c r="G30" s="554"/>
      <c r="H30" s="554"/>
      <c r="I30" s="558"/>
      <c r="J30" s="558"/>
      <c r="K30" s="558"/>
      <c r="L30" s="558"/>
      <c r="M30" s="520"/>
      <c r="N30" s="683"/>
      <c r="O30" s="550"/>
      <c r="P30" s="551"/>
      <c r="Q30" s="552"/>
      <c r="R30" s="518"/>
      <c r="S30" s="572"/>
      <c r="T30" s="558"/>
      <c r="U30" s="558"/>
      <c r="V30" s="558"/>
      <c r="W30" s="558"/>
      <c r="X30" s="558"/>
      <c r="Y30" s="520"/>
      <c r="Z30" s="683"/>
      <c r="AA30" s="550"/>
      <c r="AB30" s="551"/>
      <c r="AC30" s="552"/>
      <c r="AD30" s="570"/>
      <c r="AE30" s="572"/>
      <c r="AF30" s="558"/>
      <c r="AG30" s="558"/>
      <c r="AH30" s="558"/>
      <c r="AI30" s="558"/>
      <c r="AJ30" s="520"/>
      <c r="AL30" s="611"/>
      <c r="AM30" s="612"/>
      <c r="AN30" s="612"/>
      <c r="AO30" s="613"/>
      <c r="AP30" s="484" t="s">
        <v>313</v>
      </c>
      <c r="AQ30" s="671" t="s">
        <v>141</v>
      </c>
      <c r="AR30" s="484" t="s">
        <v>119</v>
      </c>
      <c r="AS30" s="484" t="s">
        <v>277</v>
      </c>
      <c r="AX30" s="676"/>
      <c r="AY30" s="677"/>
      <c r="AZ30" s="677"/>
      <c r="BA30" s="678"/>
      <c r="BB30" s="484" t="s">
        <v>16</v>
      </c>
      <c r="BC30" s="484" t="s">
        <v>13</v>
      </c>
      <c r="BD30" s="484" t="s">
        <v>118</v>
      </c>
      <c r="BE30" s="484" t="s">
        <v>275</v>
      </c>
      <c r="BF30" s="484" t="s">
        <v>314</v>
      </c>
      <c r="BG30" s="484" t="s">
        <v>277</v>
      </c>
      <c r="BR30" s="855"/>
      <c r="BS30" s="856"/>
      <c r="BT30" s="856"/>
      <c r="BU30" s="857"/>
      <c r="BV30" s="467"/>
      <c r="BW30" s="481"/>
      <c r="BX30" s="467"/>
      <c r="BY30" s="481"/>
      <c r="BZ30" s="479"/>
      <c r="CA30" s="481"/>
      <c r="CB30" s="481"/>
      <c r="CC30" s="467"/>
      <c r="CD30" s="479"/>
      <c r="CE30" s="866"/>
      <c r="CF30" s="475"/>
      <c r="CG30" s="471"/>
      <c r="CH30" s="472"/>
      <c r="CI30" s="473"/>
      <c r="CJ30" s="475"/>
      <c r="CK30" s="475"/>
      <c r="CL30" s="471"/>
      <c r="CM30" s="473"/>
      <c r="CN30" s="465"/>
      <c r="CP30" s="20"/>
      <c r="CQ30" s="20"/>
      <c r="CR30" s="20"/>
      <c r="CS30" s="20"/>
      <c r="CT30" s="20"/>
      <c r="CU30" s="20"/>
      <c r="CV30" s="20"/>
      <c r="CW30" s="20"/>
      <c r="CX30" s="20"/>
      <c r="CY30" s="20"/>
    </row>
    <row r="31" spans="3:106" ht="15.95" customHeight="1" thickBot="1">
      <c r="C31" s="682"/>
      <c r="D31" s="547" t="s">
        <v>315</v>
      </c>
      <c r="E31" s="548"/>
      <c r="F31" s="549"/>
      <c r="G31" s="553">
        <v>33.950000000000003</v>
      </c>
      <c r="H31" s="553"/>
      <c r="I31" s="557"/>
      <c r="J31" s="557"/>
      <c r="K31" s="557">
        <f>I31+J31</f>
        <v>0</v>
      </c>
      <c r="L31" s="593">
        <f>G31*K31</f>
        <v>0</v>
      </c>
      <c r="M31" s="519">
        <f>H31*K31</f>
        <v>0</v>
      </c>
      <c r="N31" s="682"/>
      <c r="O31" s="547" t="s">
        <v>315</v>
      </c>
      <c r="P31" s="548"/>
      <c r="Q31" s="549"/>
      <c r="R31" s="517">
        <v>10.35</v>
      </c>
      <c r="S31" s="571"/>
      <c r="T31" s="557"/>
      <c r="U31" s="557"/>
      <c r="V31" s="557"/>
      <c r="W31" s="557">
        <f>T31+U31</f>
        <v>0</v>
      </c>
      <c r="X31" s="593">
        <f>R31*W31</f>
        <v>0</v>
      </c>
      <c r="Y31" s="519">
        <f>S31*W31</f>
        <v>0</v>
      </c>
      <c r="Z31" s="682"/>
      <c r="AA31" s="547" t="s">
        <v>315</v>
      </c>
      <c r="AB31" s="548"/>
      <c r="AC31" s="549"/>
      <c r="AD31" s="569"/>
      <c r="AE31" s="571"/>
      <c r="AF31" s="557"/>
      <c r="AG31" s="557"/>
      <c r="AH31" s="557">
        <f>AF31+AG31</f>
        <v>0</v>
      </c>
      <c r="AI31" s="593">
        <f>AD31*AH31</f>
        <v>0</v>
      </c>
      <c r="AJ31" s="519">
        <f>AE31*AH31</f>
        <v>0</v>
      </c>
      <c r="AL31" s="614"/>
      <c r="AM31" s="615"/>
      <c r="AN31" s="615"/>
      <c r="AO31" s="616"/>
      <c r="AP31" s="485"/>
      <c r="AQ31" s="672"/>
      <c r="AR31" s="485"/>
      <c r="AS31" s="485"/>
      <c r="AX31" s="679"/>
      <c r="AY31" s="680"/>
      <c r="AZ31" s="680"/>
      <c r="BA31" s="681"/>
      <c r="BB31" s="485"/>
      <c r="BC31" s="485"/>
      <c r="BD31" s="485"/>
      <c r="BE31" s="485"/>
      <c r="BF31" s="485"/>
      <c r="BG31" s="485"/>
      <c r="BR31" s="852" t="s">
        <v>35</v>
      </c>
      <c r="BS31" s="853"/>
      <c r="BT31" s="853"/>
      <c r="BU31" s="854"/>
      <c r="BV31" s="466">
        <v>0</v>
      </c>
      <c r="BW31" s="480">
        <v>0</v>
      </c>
      <c r="BX31" s="466">
        <v>1</v>
      </c>
      <c r="BY31" s="480">
        <v>0</v>
      </c>
      <c r="BZ31" s="478">
        <v>0</v>
      </c>
      <c r="CA31" s="480">
        <v>0</v>
      </c>
      <c r="CB31" s="480">
        <v>0</v>
      </c>
      <c r="CC31" s="466">
        <v>0</v>
      </c>
      <c r="CD31" s="478">
        <v>0</v>
      </c>
      <c r="CE31" s="865">
        <f>SUM(BV31:BZ32)</f>
        <v>1</v>
      </c>
      <c r="CF31" s="474">
        <f>BV31*35+BW31*35+BX31*35+BY31*35+BZ31*35+CA31*35+CB31*35+CC31*35+CD31*35</f>
        <v>35</v>
      </c>
      <c r="CG31" s="468" t="s">
        <v>385</v>
      </c>
      <c r="CH31" s="469"/>
      <c r="CI31" s="470"/>
      <c r="CJ31" s="474"/>
      <c r="CK31" s="474">
        <v>35</v>
      </c>
      <c r="CL31" s="468" t="s">
        <v>286</v>
      </c>
      <c r="CM31" s="470"/>
      <c r="CN31" s="464">
        <v>44875</v>
      </c>
      <c r="CQ31" s="8"/>
      <c r="CV31" s="21"/>
      <c r="CW31" s="21"/>
      <c r="DA31" s="22"/>
      <c r="DB31" s="22"/>
    </row>
    <row r="32" spans="3:106" ht="15.95" customHeight="1" thickBot="1">
      <c r="C32" s="682"/>
      <c r="D32" s="550"/>
      <c r="E32" s="551"/>
      <c r="F32" s="552"/>
      <c r="G32" s="554"/>
      <c r="H32" s="554"/>
      <c r="I32" s="558"/>
      <c r="J32" s="558"/>
      <c r="K32" s="558"/>
      <c r="L32" s="558"/>
      <c r="M32" s="520"/>
      <c r="N32" s="682"/>
      <c r="O32" s="550"/>
      <c r="P32" s="551"/>
      <c r="Q32" s="552"/>
      <c r="R32" s="518"/>
      <c r="S32" s="572"/>
      <c r="T32" s="558"/>
      <c r="U32" s="558"/>
      <c r="V32" s="558"/>
      <c r="W32" s="558"/>
      <c r="X32" s="558"/>
      <c r="Y32" s="520"/>
      <c r="Z32" s="682"/>
      <c r="AA32" s="550"/>
      <c r="AB32" s="551"/>
      <c r="AC32" s="552"/>
      <c r="AD32" s="570"/>
      <c r="AE32" s="572"/>
      <c r="AF32" s="558"/>
      <c r="AG32" s="558"/>
      <c r="AH32" s="558"/>
      <c r="AI32" s="558"/>
      <c r="AJ32" s="520"/>
      <c r="AL32" s="863"/>
      <c r="AM32" s="547" t="s">
        <v>386</v>
      </c>
      <c r="AN32" s="548"/>
      <c r="AO32" s="549"/>
      <c r="AP32" s="650">
        <f>(BD6/AX6)</f>
        <v>19.934827586206897</v>
      </c>
      <c r="AQ32" s="650">
        <f>AS16</f>
        <v>6.05</v>
      </c>
      <c r="AR32" s="891"/>
      <c r="AS32" s="891">
        <f>SUM(AP32:AR33)</f>
        <v>25.984827586206897</v>
      </c>
      <c r="AX32" s="863"/>
      <c r="AY32" s="547" t="s">
        <v>386</v>
      </c>
      <c r="AZ32" s="548"/>
      <c r="BA32" s="549"/>
      <c r="BB32" s="643">
        <v>1</v>
      </c>
      <c r="BC32" s="643">
        <v>1</v>
      </c>
      <c r="BD32" s="643">
        <f>U31</f>
        <v>0</v>
      </c>
      <c r="BE32" s="643">
        <f>SUM(BB32:BD33)</f>
        <v>2</v>
      </c>
      <c r="BF32" s="886">
        <f>AS32</f>
        <v>25.984827586206897</v>
      </c>
      <c r="BG32" s="886">
        <f>BF32*BE32</f>
        <v>51.969655172413795</v>
      </c>
      <c r="BR32" s="855"/>
      <c r="BS32" s="856"/>
      <c r="BT32" s="856"/>
      <c r="BU32" s="857"/>
      <c r="BV32" s="467"/>
      <c r="BW32" s="481"/>
      <c r="BX32" s="467"/>
      <c r="BY32" s="481"/>
      <c r="BZ32" s="479"/>
      <c r="CA32" s="481"/>
      <c r="CB32" s="481"/>
      <c r="CC32" s="467"/>
      <c r="CD32" s="479"/>
      <c r="CE32" s="866"/>
      <c r="CF32" s="475"/>
      <c r="CG32" s="471"/>
      <c r="CH32" s="472"/>
      <c r="CI32" s="473"/>
      <c r="CJ32" s="475"/>
      <c r="CK32" s="475"/>
      <c r="CL32" s="471"/>
      <c r="CM32" s="473"/>
      <c r="CN32" s="465"/>
      <c r="CR32" s="113"/>
      <c r="CS32" s="113"/>
      <c r="CT32" s="113"/>
      <c r="CU32" s="113"/>
      <c r="CV32" s="21"/>
      <c r="CW32" s="21"/>
      <c r="CX32" s="21"/>
      <c r="CY32" s="21"/>
      <c r="DA32" s="22"/>
      <c r="DB32" s="22"/>
    </row>
    <row r="33" spans="3:106" ht="15.95" customHeight="1" thickBot="1">
      <c r="C33" s="689"/>
      <c r="D33" s="547" t="s">
        <v>317</v>
      </c>
      <c r="E33" s="548"/>
      <c r="F33" s="549"/>
      <c r="G33" s="553">
        <v>33.950000000000003</v>
      </c>
      <c r="H33" s="553"/>
      <c r="I33" s="557"/>
      <c r="J33" s="557"/>
      <c r="K33" s="557">
        <f>I33+J33</f>
        <v>0</v>
      </c>
      <c r="L33" s="593">
        <f>G33*K33</f>
        <v>0</v>
      </c>
      <c r="M33" s="519">
        <f>H33*K33</f>
        <v>0</v>
      </c>
      <c r="N33" s="689"/>
      <c r="O33" s="547" t="s">
        <v>317</v>
      </c>
      <c r="P33" s="548"/>
      <c r="Q33" s="549"/>
      <c r="R33" s="517">
        <v>10.35</v>
      </c>
      <c r="S33" s="571"/>
      <c r="T33" s="557"/>
      <c r="U33" s="557"/>
      <c r="V33" s="557"/>
      <c r="W33" s="557">
        <f>T33+U33</f>
        <v>0</v>
      </c>
      <c r="X33" s="593">
        <f>R33*W33</f>
        <v>0</v>
      </c>
      <c r="Y33" s="519">
        <f>S33*W33</f>
        <v>0</v>
      </c>
      <c r="Z33" s="689"/>
      <c r="AA33" s="547" t="s">
        <v>317</v>
      </c>
      <c r="AB33" s="548"/>
      <c r="AC33" s="549"/>
      <c r="AD33" s="569"/>
      <c r="AE33" s="571"/>
      <c r="AF33" s="557"/>
      <c r="AG33" s="557"/>
      <c r="AH33" s="557">
        <f>AF33+AG33</f>
        <v>0</v>
      </c>
      <c r="AI33" s="593">
        <f>AD33*AH33</f>
        <v>0</v>
      </c>
      <c r="AJ33" s="519">
        <f>AE33*AH33</f>
        <v>0</v>
      </c>
      <c r="AL33" s="864"/>
      <c r="AM33" s="550"/>
      <c r="AN33" s="551"/>
      <c r="AO33" s="552"/>
      <c r="AP33" s="651"/>
      <c r="AQ33" s="644"/>
      <c r="AR33" s="892"/>
      <c r="AS33" s="892"/>
      <c r="AX33" s="864"/>
      <c r="AY33" s="550"/>
      <c r="AZ33" s="551"/>
      <c r="BA33" s="552"/>
      <c r="BB33" s="644"/>
      <c r="BC33" s="644"/>
      <c r="BD33" s="644"/>
      <c r="BE33" s="644"/>
      <c r="BF33" s="644"/>
      <c r="BG33" s="644"/>
      <c r="BR33" s="852" t="s">
        <v>388</v>
      </c>
      <c r="BS33" s="853"/>
      <c r="BT33" s="853"/>
      <c r="BU33" s="854"/>
      <c r="BV33" s="466">
        <v>1</v>
      </c>
      <c r="BW33" s="480">
        <v>0</v>
      </c>
      <c r="BX33" s="466">
        <v>0</v>
      </c>
      <c r="BY33" s="480">
        <v>0</v>
      </c>
      <c r="BZ33" s="478">
        <v>0</v>
      </c>
      <c r="CA33" s="480">
        <v>0</v>
      </c>
      <c r="CB33" s="480">
        <v>0</v>
      </c>
      <c r="CC33" s="466">
        <v>0</v>
      </c>
      <c r="CD33" s="478">
        <v>0</v>
      </c>
      <c r="CE33" s="865">
        <f>SUM(BV33:BZ34)</f>
        <v>1</v>
      </c>
      <c r="CF33" s="474">
        <f>BV33*35+BW33*35+BX33*35+BY33*35+BZ33*35+CA33*35+CB33*35+CC33*35+CD33*35</f>
        <v>35</v>
      </c>
      <c r="CG33" s="468" t="s">
        <v>385</v>
      </c>
      <c r="CH33" s="469"/>
      <c r="CI33" s="470"/>
      <c r="CJ33" s="474"/>
      <c r="CK33" s="474">
        <v>35</v>
      </c>
      <c r="CL33" s="468" t="s">
        <v>286</v>
      </c>
      <c r="CM33" s="470"/>
      <c r="CN33" s="464">
        <v>44875</v>
      </c>
    </row>
    <row r="34" spans="3:106" ht="15.95" customHeight="1" thickBot="1">
      <c r="C34" s="689"/>
      <c r="D34" s="550"/>
      <c r="E34" s="551"/>
      <c r="F34" s="552"/>
      <c r="G34" s="554"/>
      <c r="H34" s="554"/>
      <c r="I34" s="558"/>
      <c r="J34" s="558"/>
      <c r="K34" s="558"/>
      <c r="L34" s="558"/>
      <c r="M34" s="520"/>
      <c r="N34" s="689"/>
      <c r="O34" s="550"/>
      <c r="P34" s="551"/>
      <c r="Q34" s="552"/>
      <c r="R34" s="518"/>
      <c r="S34" s="572"/>
      <c r="T34" s="558"/>
      <c r="U34" s="558"/>
      <c r="V34" s="558"/>
      <c r="W34" s="558"/>
      <c r="X34" s="558"/>
      <c r="Y34" s="520"/>
      <c r="Z34" s="689"/>
      <c r="AA34" s="550"/>
      <c r="AB34" s="551"/>
      <c r="AC34" s="552"/>
      <c r="AD34" s="570"/>
      <c r="AE34" s="572"/>
      <c r="AF34" s="558"/>
      <c r="AG34" s="558"/>
      <c r="AH34" s="558"/>
      <c r="AI34" s="558"/>
      <c r="AJ34" s="520"/>
      <c r="AL34" s="858"/>
      <c r="AM34" s="547" t="s">
        <v>337</v>
      </c>
      <c r="AN34" s="548"/>
      <c r="AO34" s="549"/>
      <c r="AP34" s="650">
        <f>BD6/AX6</f>
        <v>19.934827586206897</v>
      </c>
      <c r="AQ34" s="519">
        <f>AS18</f>
        <v>7.26</v>
      </c>
      <c r="AR34" s="591"/>
      <c r="AS34" s="891">
        <f>SUM(AP34:AR35)</f>
        <v>27.194827586206898</v>
      </c>
      <c r="AX34" s="858"/>
      <c r="AY34" s="547" t="s">
        <v>337</v>
      </c>
      <c r="AZ34" s="548"/>
      <c r="BA34" s="549"/>
      <c r="BB34" s="649">
        <v>1</v>
      </c>
      <c r="BC34" s="649">
        <v>1</v>
      </c>
      <c r="BD34" s="649">
        <v>0</v>
      </c>
      <c r="BE34" s="643">
        <f>SUM(BB34:BD35)</f>
        <v>2</v>
      </c>
      <c r="BF34" s="650">
        <f>AS34</f>
        <v>27.194827586206898</v>
      </c>
      <c r="BG34" s="891">
        <f>BF34*BE34</f>
        <v>54.389655172413796</v>
      </c>
      <c r="BR34" s="855"/>
      <c r="BS34" s="856"/>
      <c r="BT34" s="856"/>
      <c r="BU34" s="857"/>
      <c r="BV34" s="900"/>
      <c r="BW34" s="860"/>
      <c r="BX34" s="900"/>
      <c r="BY34" s="860"/>
      <c r="BZ34" s="851"/>
      <c r="CA34" s="860"/>
      <c r="CB34" s="860"/>
      <c r="CC34" s="900"/>
      <c r="CD34" s="851"/>
      <c r="CE34" s="907"/>
      <c r="CF34" s="906"/>
      <c r="CG34" s="903"/>
      <c r="CH34" s="904"/>
      <c r="CI34" s="905"/>
      <c r="CJ34" s="906"/>
      <c r="CK34" s="906"/>
      <c r="CL34" s="471"/>
      <c r="CM34" s="473"/>
      <c r="CN34" s="465"/>
      <c r="CP34" s="20"/>
      <c r="CQ34" s="20"/>
      <c r="CR34" s="20"/>
      <c r="CS34" s="20"/>
      <c r="CT34" s="20"/>
      <c r="CU34" s="20"/>
      <c r="CV34" s="20"/>
      <c r="CW34" s="20"/>
      <c r="CX34" s="20"/>
      <c r="CY34" s="20"/>
    </row>
    <row r="35" spans="3:106" ht="15.95" customHeight="1" thickBot="1">
      <c r="C35" s="684"/>
      <c r="D35" s="547" t="s">
        <v>318</v>
      </c>
      <c r="E35" s="548"/>
      <c r="F35" s="548"/>
      <c r="G35" s="887">
        <v>33.950000000000003</v>
      </c>
      <c r="H35" s="889"/>
      <c r="I35" s="557"/>
      <c r="J35" s="557"/>
      <c r="K35" s="649">
        <f>I35+J35</f>
        <v>0</v>
      </c>
      <c r="L35" s="693">
        <f>G35*K35</f>
        <v>0</v>
      </c>
      <c r="M35" s="519">
        <f>H35*K35</f>
        <v>0</v>
      </c>
      <c r="N35" s="684"/>
      <c r="O35" s="547" t="s">
        <v>318</v>
      </c>
      <c r="P35" s="548"/>
      <c r="Q35" s="549"/>
      <c r="R35" s="691">
        <v>10.35</v>
      </c>
      <c r="S35" s="571"/>
      <c r="T35" s="557"/>
      <c r="U35" s="557"/>
      <c r="V35" s="557"/>
      <c r="W35" s="649">
        <f>T35+U35</f>
        <v>0</v>
      </c>
      <c r="X35" s="693">
        <f>R35*W35</f>
        <v>0</v>
      </c>
      <c r="Y35" s="519">
        <f>S35*W35</f>
        <v>0</v>
      </c>
      <c r="Z35" s="684"/>
      <c r="AA35" s="547" t="s">
        <v>318</v>
      </c>
      <c r="AB35" s="548"/>
      <c r="AC35" s="549"/>
      <c r="AD35" s="569"/>
      <c r="AE35" s="571"/>
      <c r="AF35" s="557"/>
      <c r="AG35" s="557"/>
      <c r="AH35" s="649">
        <f>AF35+AG35</f>
        <v>0</v>
      </c>
      <c r="AI35" s="693">
        <f>AD35*AH35</f>
        <v>0</v>
      </c>
      <c r="AJ35" s="519">
        <f>AE35*AH35</f>
        <v>0</v>
      </c>
      <c r="AL35" s="859"/>
      <c r="AM35" s="550"/>
      <c r="AN35" s="551"/>
      <c r="AO35" s="552"/>
      <c r="AP35" s="651"/>
      <c r="AQ35" s="640"/>
      <c r="AR35" s="592"/>
      <c r="AS35" s="892"/>
      <c r="AX35" s="859"/>
      <c r="AY35" s="550"/>
      <c r="AZ35" s="551"/>
      <c r="BA35" s="552"/>
      <c r="BB35" s="520"/>
      <c r="BC35" s="520"/>
      <c r="BD35" s="520"/>
      <c r="BE35" s="644"/>
      <c r="BF35" s="644"/>
      <c r="BG35" s="892"/>
      <c r="BR35" s="852" t="s">
        <v>34</v>
      </c>
      <c r="BS35" s="853"/>
      <c r="BT35" s="853"/>
      <c r="BU35" s="854"/>
      <c r="BV35" s="466">
        <v>0</v>
      </c>
      <c r="BW35" s="480">
        <v>0</v>
      </c>
      <c r="BX35" s="466">
        <v>0</v>
      </c>
      <c r="BY35" s="480">
        <v>1</v>
      </c>
      <c r="BZ35" s="478">
        <v>0</v>
      </c>
      <c r="CA35" s="480">
        <v>0</v>
      </c>
      <c r="CB35" s="480">
        <v>0</v>
      </c>
      <c r="CC35" s="466">
        <v>0</v>
      </c>
      <c r="CD35" s="478">
        <v>0</v>
      </c>
      <c r="CE35" s="865">
        <f>SUM(BV35:BZ36)</f>
        <v>1</v>
      </c>
      <c r="CF35" s="474">
        <f>BV35*35+BW35*35+BX35*35+BY35*35+BZ35*35+CA35*35+CB35*35+CC35*35+CD35*35</f>
        <v>35</v>
      </c>
      <c r="CG35" s="468" t="s">
        <v>385</v>
      </c>
      <c r="CH35" s="469"/>
      <c r="CI35" s="470"/>
      <c r="CJ35" s="474"/>
      <c r="CK35" s="474">
        <v>35</v>
      </c>
      <c r="CL35" s="468" t="s">
        <v>286</v>
      </c>
      <c r="CM35" s="470"/>
      <c r="CN35" s="464">
        <v>44875</v>
      </c>
      <c r="CQ35" s="8"/>
      <c r="CV35" s="21"/>
      <c r="CW35" s="21"/>
      <c r="DA35" s="22"/>
      <c r="DB35" s="22"/>
    </row>
    <row r="36" spans="3:106" ht="15.95" customHeight="1" thickBot="1">
      <c r="C36" s="685"/>
      <c r="D36" s="550"/>
      <c r="E36" s="551"/>
      <c r="F36" s="551"/>
      <c r="G36" s="888"/>
      <c r="H36" s="890"/>
      <c r="I36" s="668"/>
      <c r="J36" s="668"/>
      <c r="K36" s="657"/>
      <c r="L36" s="657"/>
      <c r="M36" s="657"/>
      <c r="N36" s="685"/>
      <c r="O36" s="550"/>
      <c r="P36" s="551"/>
      <c r="Q36" s="552"/>
      <c r="R36" s="692"/>
      <c r="S36" s="699"/>
      <c r="T36" s="668"/>
      <c r="U36" s="668"/>
      <c r="V36" s="668"/>
      <c r="W36" s="657"/>
      <c r="X36" s="657"/>
      <c r="Y36" s="657"/>
      <c r="Z36" s="685"/>
      <c r="AA36" s="550"/>
      <c r="AB36" s="551"/>
      <c r="AC36" s="552"/>
      <c r="AD36" s="698"/>
      <c r="AE36" s="699"/>
      <c r="AF36" s="668"/>
      <c r="AG36" s="668"/>
      <c r="AH36" s="657"/>
      <c r="AI36" s="657"/>
      <c r="AJ36" s="657"/>
      <c r="AL36" s="882"/>
      <c r="AM36" s="547"/>
      <c r="AN36" s="548"/>
      <c r="AO36" s="549"/>
      <c r="AP36" s="519"/>
      <c r="AQ36" s="519">
        <f>AS20</f>
        <v>30.25</v>
      </c>
      <c r="AR36" s="519"/>
      <c r="AS36" s="891">
        <f>SUM(AP36:AR37)</f>
        <v>30.25</v>
      </c>
      <c r="AX36" s="882"/>
      <c r="AY36" s="547"/>
      <c r="AZ36" s="548"/>
      <c r="BA36" s="549"/>
      <c r="BB36" s="649"/>
      <c r="BC36" s="649"/>
      <c r="BD36" s="649"/>
      <c r="BE36" s="643"/>
      <c r="BF36" s="650">
        <f>AS36</f>
        <v>30.25</v>
      </c>
      <c r="BG36" s="643">
        <f>BF36*BE36</f>
        <v>0</v>
      </c>
      <c r="BR36" s="855"/>
      <c r="BS36" s="856"/>
      <c r="BT36" s="856"/>
      <c r="BU36" s="857"/>
      <c r="BV36" s="467"/>
      <c r="BW36" s="481"/>
      <c r="BX36" s="467"/>
      <c r="BY36" s="481"/>
      <c r="BZ36" s="479"/>
      <c r="CA36" s="481"/>
      <c r="CB36" s="481"/>
      <c r="CC36" s="467"/>
      <c r="CD36" s="479"/>
      <c r="CE36" s="866"/>
      <c r="CF36" s="475"/>
      <c r="CG36" s="471"/>
      <c r="CH36" s="472"/>
      <c r="CI36" s="473"/>
      <c r="CJ36" s="475"/>
      <c r="CK36" s="475"/>
      <c r="CL36" s="471"/>
      <c r="CM36" s="473"/>
      <c r="CN36" s="465"/>
      <c r="CR36" s="113"/>
      <c r="CS36" s="113"/>
      <c r="CT36" s="113"/>
      <c r="CU36" s="113"/>
      <c r="CV36" s="21"/>
      <c r="CW36" s="21"/>
      <c r="CX36" s="21"/>
      <c r="CY36" s="21"/>
      <c r="DA36" s="22"/>
      <c r="DB36" s="22"/>
    </row>
    <row r="37" spans="3:106" ht="15.95" customHeight="1" thickBot="1">
      <c r="G37" s="3"/>
      <c r="H37" s="3"/>
      <c r="I37" s="660">
        <f>SUM(I7:I36)</f>
        <v>0</v>
      </c>
      <c r="J37" s="660">
        <f>SUM(J7:J36)</f>
        <v>0</v>
      </c>
      <c r="K37" s="660">
        <f>SUM(K7:K36)</f>
        <v>0</v>
      </c>
      <c r="L37" s="696">
        <f>SUM(L7:L36)</f>
        <v>0</v>
      </c>
      <c r="M37" s="662">
        <f>SUM(M7:M36)</f>
        <v>0</v>
      </c>
      <c r="R37" s="3"/>
      <c r="S37" s="3"/>
      <c r="T37" s="660">
        <f t="shared" ref="T37:Y37" si="1">SUM(T7:T36)</f>
        <v>15</v>
      </c>
      <c r="U37" s="660">
        <f t="shared" si="1"/>
        <v>13</v>
      </c>
      <c r="V37" s="660">
        <f t="shared" si="1"/>
        <v>1</v>
      </c>
      <c r="W37" s="660">
        <f t="shared" si="1"/>
        <v>29</v>
      </c>
      <c r="X37" s="696">
        <f t="shared" si="1"/>
        <v>300.14999999999998</v>
      </c>
      <c r="Y37" s="662">
        <f t="shared" si="1"/>
        <v>297.47866499999998</v>
      </c>
      <c r="AD37" s="3"/>
      <c r="AE37" s="3"/>
      <c r="AF37" s="660">
        <f>SUM(AF7:AF36)</f>
        <v>0</v>
      </c>
      <c r="AG37" s="660">
        <f>SUM(AG7:AG36)</f>
        <v>0</v>
      </c>
      <c r="AH37" s="660">
        <f>SUM(AH7:AH36)</f>
        <v>0</v>
      </c>
      <c r="AI37" s="696">
        <f>SUM(AI7:AI36)</f>
        <v>0</v>
      </c>
      <c r="AJ37" s="662">
        <f>SUM(AJ7:AJ36)</f>
        <v>0</v>
      </c>
      <c r="AL37" s="883"/>
      <c r="AM37" s="550"/>
      <c r="AN37" s="551"/>
      <c r="AO37" s="552"/>
      <c r="AP37" s="640"/>
      <c r="AQ37" s="640"/>
      <c r="AR37" s="640"/>
      <c r="AS37" s="892"/>
      <c r="AX37" s="883"/>
      <c r="AY37" s="550"/>
      <c r="AZ37" s="551"/>
      <c r="BA37" s="552"/>
      <c r="BB37" s="520"/>
      <c r="BC37" s="520"/>
      <c r="BD37" s="520"/>
      <c r="BE37" s="644"/>
      <c r="BF37" s="644"/>
      <c r="BG37" s="644"/>
      <c r="BR37" s="852" t="s">
        <v>69</v>
      </c>
      <c r="BS37" s="853"/>
      <c r="BT37" s="853"/>
      <c r="BU37" s="854"/>
      <c r="BV37" s="466">
        <v>1</v>
      </c>
      <c r="BW37" s="478">
        <v>0</v>
      </c>
      <c r="BX37" s="849">
        <v>0</v>
      </c>
      <c r="BY37" s="480">
        <v>0</v>
      </c>
      <c r="BZ37" s="478">
        <v>0</v>
      </c>
      <c r="CA37" s="466">
        <v>0</v>
      </c>
      <c r="CB37" s="478">
        <v>0</v>
      </c>
      <c r="CC37" s="466">
        <v>0</v>
      </c>
      <c r="CD37" s="478">
        <v>0</v>
      </c>
      <c r="CE37" s="865">
        <f>SUM(BV37:BZ38)</f>
        <v>1</v>
      </c>
      <c r="CF37" s="474">
        <f>BV37*35+BW37*35+BX37*35+BY37*35+BZ37*35+CA37*35+CB37*35+CC37*35+CD37*35</f>
        <v>35</v>
      </c>
      <c r="CG37" s="468" t="s">
        <v>385</v>
      </c>
      <c r="CH37" s="469"/>
      <c r="CI37" s="470"/>
      <c r="CJ37" s="474"/>
      <c r="CK37" s="474">
        <v>35</v>
      </c>
      <c r="CL37" s="468" t="s">
        <v>286</v>
      </c>
      <c r="CM37" s="470"/>
      <c r="CN37" s="464">
        <v>44876</v>
      </c>
    </row>
    <row r="38" spans="3:106" ht="15.95" customHeight="1" thickBot="1">
      <c r="G38" s="3"/>
      <c r="H38" s="3"/>
      <c r="I38" s="661"/>
      <c r="J38" s="661"/>
      <c r="K38" s="661"/>
      <c r="L38" s="661"/>
      <c r="M38" s="697"/>
      <c r="R38" s="3"/>
      <c r="S38" s="3"/>
      <c r="T38" s="661"/>
      <c r="U38" s="661"/>
      <c r="V38" s="661"/>
      <c r="W38" s="661"/>
      <c r="X38" s="661"/>
      <c r="Y38" s="697"/>
      <c r="AD38" s="3"/>
      <c r="AE38" s="3"/>
      <c r="AF38" s="661"/>
      <c r="AG38" s="661"/>
      <c r="AH38" s="661"/>
      <c r="AI38" s="661"/>
      <c r="AJ38" s="697"/>
      <c r="AL38" s="880"/>
      <c r="AM38" s="547"/>
      <c r="AN38" s="548"/>
      <c r="AO38" s="549"/>
      <c r="AP38" s="519"/>
      <c r="AQ38" s="519">
        <f>AS22</f>
        <v>0</v>
      </c>
      <c r="AR38" s="519"/>
      <c r="AS38" s="891">
        <f>SUM(AP38:AR39)</f>
        <v>0</v>
      </c>
      <c r="AX38" s="880"/>
      <c r="AY38" s="547"/>
      <c r="AZ38" s="548"/>
      <c r="BA38" s="549"/>
      <c r="BB38" s="649"/>
      <c r="BC38" s="649"/>
      <c r="BD38" s="649"/>
      <c r="BE38" s="643"/>
      <c r="BF38" s="650">
        <f>AS38</f>
        <v>0</v>
      </c>
      <c r="BG38" s="643">
        <f>BF38*BE38</f>
        <v>0</v>
      </c>
      <c r="BR38" s="893"/>
      <c r="BS38" s="894"/>
      <c r="BT38" s="894"/>
      <c r="BU38" s="895"/>
      <c r="BV38" s="467"/>
      <c r="BW38" s="479"/>
      <c r="BX38" s="850"/>
      <c r="BY38" s="481"/>
      <c r="BZ38" s="479"/>
      <c r="CA38" s="467"/>
      <c r="CB38" s="479"/>
      <c r="CC38" s="467"/>
      <c r="CD38" s="479"/>
      <c r="CE38" s="866"/>
      <c r="CF38" s="475"/>
      <c r="CG38" s="471"/>
      <c r="CH38" s="472"/>
      <c r="CI38" s="473"/>
      <c r="CJ38" s="475"/>
      <c r="CK38" s="475"/>
      <c r="CL38" s="471"/>
      <c r="CM38" s="473"/>
      <c r="CN38" s="465"/>
      <c r="CP38" s="20"/>
      <c r="CQ38" s="20"/>
      <c r="CR38" s="20"/>
      <c r="CS38" s="20"/>
      <c r="CT38" s="20"/>
      <c r="CU38" s="20"/>
      <c r="CV38" s="20"/>
      <c r="CW38" s="20"/>
      <c r="CX38" s="20"/>
      <c r="CY38" s="20"/>
    </row>
    <row r="39" spans="3:106" ht="15.95" customHeight="1" thickBot="1">
      <c r="AL39" s="881"/>
      <c r="AM39" s="550"/>
      <c r="AN39" s="551"/>
      <c r="AO39" s="552"/>
      <c r="AP39" s="669"/>
      <c r="AQ39" s="669"/>
      <c r="AR39" s="669"/>
      <c r="AS39" s="908"/>
      <c r="AX39" s="881"/>
      <c r="AY39" s="550"/>
      <c r="AZ39" s="551"/>
      <c r="BA39" s="552"/>
      <c r="BB39" s="657"/>
      <c r="BC39" s="657"/>
      <c r="BD39" s="657"/>
      <c r="BE39" s="664"/>
      <c r="BF39" s="664"/>
      <c r="BG39" s="664"/>
      <c r="BR39" s="852" t="s">
        <v>84</v>
      </c>
      <c r="BS39" s="853"/>
      <c r="BT39" s="853"/>
      <c r="BU39" s="854"/>
      <c r="BV39" s="466">
        <v>1</v>
      </c>
      <c r="BW39" s="480">
        <v>0</v>
      </c>
      <c r="BX39" s="868">
        <v>0</v>
      </c>
      <c r="BY39" s="860">
        <v>0</v>
      </c>
      <c r="BZ39" s="851">
        <v>0</v>
      </c>
      <c r="CA39" s="480">
        <v>0</v>
      </c>
      <c r="CB39" s="480">
        <v>0</v>
      </c>
      <c r="CC39" s="466">
        <v>0</v>
      </c>
      <c r="CD39" s="478">
        <v>0</v>
      </c>
      <c r="CE39" s="865">
        <f>SUM(BV39:BZ40)</f>
        <v>1</v>
      </c>
      <c r="CF39" s="474">
        <f>BV39*35+BW39*35+BX39*35+BY39*35+BZ39*35+CA39*35+CB39*35+CC39*35+CD39*35</f>
        <v>35</v>
      </c>
      <c r="CG39" s="468" t="s">
        <v>385</v>
      </c>
      <c r="CH39" s="469"/>
      <c r="CI39" s="470"/>
      <c r="CJ39" s="474"/>
      <c r="CK39" s="474">
        <v>35</v>
      </c>
      <c r="CL39" s="468" t="s">
        <v>286</v>
      </c>
      <c r="CM39" s="470"/>
      <c r="CN39" s="464">
        <v>44887</v>
      </c>
      <c r="CQ39" s="8"/>
      <c r="CV39" s="21"/>
      <c r="CW39" s="21"/>
      <c r="DA39" s="22"/>
      <c r="DB39" s="22"/>
    </row>
    <row r="40" spans="3:106" ht="15.95" customHeight="1" thickBot="1">
      <c r="BB40" s="3"/>
      <c r="BC40" s="3"/>
      <c r="BE40" s="643">
        <f>SUM(BE32:BE39)</f>
        <v>4</v>
      </c>
      <c r="BF40" s="3"/>
      <c r="BG40" s="650">
        <f>SUM(BG32:BG39)</f>
        <v>106.35931034482759</v>
      </c>
      <c r="BR40" s="855"/>
      <c r="BS40" s="856"/>
      <c r="BT40" s="856"/>
      <c r="BU40" s="857"/>
      <c r="BV40" s="467"/>
      <c r="BW40" s="481"/>
      <c r="BX40" s="850"/>
      <c r="BY40" s="481"/>
      <c r="BZ40" s="479"/>
      <c r="CA40" s="481"/>
      <c r="CB40" s="481"/>
      <c r="CC40" s="467"/>
      <c r="CD40" s="479"/>
      <c r="CE40" s="866"/>
      <c r="CF40" s="475"/>
      <c r="CG40" s="471"/>
      <c r="CH40" s="472"/>
      <c r="CI40" s="473"/>
      <c r="CJ40" s="475"/>
      <c r="CK40" s="475"/>
      <c r="CL40" s="471"/>
      <c r="CM40" s="473"/>
      <c r="CN40" s="465"/>
      <c r="CR40" s="113"/>
      <c r="CS40" s="113"/>
      <c r="CT40" s="113"/>
      <c r="CU40" s="113"/>
      <c r="CV40" s="21"/>
      <c r="CW40" s="21"/>
      <c r="CX40" s="21"/>
      <c r="CY40" s="21"/>
      <c r="DA40" s="22"/>
      <c r="DB40" s="22"/>
    </row>
    <row r="41" spans="3:106" ht="15.95" customHeight="1" thickBot="1">
      <c r="G41" s="523" t="s">
        <v>323</v>
      </c>
      <c r="H41" s="524"/>
      <c r="I41" s="524"/>
      <c r="J41" s="524"/>
      <c r="K41" s="524"/>
      <c r="L41" s="524"/>
      <c r="M41" s="525"/>
      <c r="R41" s="523" t="s">
        <v>324</v>
      </c>
      <c r="S41" s="524"/>
      <c r="T41" s="524"/>
      <c r="U41" s="524"/>
      <c r="V41" s="524"/>
      <c r="W41" s="524"/>
      <c r="X41" s="525"/>
      <c r="AC41" s="523" t="s">
        <v>325</v>
      </c>
      <c r="AD41" s="524"/>
      <c r="AE41" s="524"/>
      <c r="AF41" s="524"/>
      <c r="AG41" s="524"/>
      <c r="AH41" s="524"/>
      <c r="AI41" s="525"/>
      <c r="BB41" s="3"/>
      <c r="BC41" s="3"/>
      <c r="BE41" s="664"/>
      <c r="BF41" s="3"/>
      <c r="BG41" s="664"/>
      <c r="BK41" s="6"/>
      <c r="BR41" s="852" t="s">
        <v>366</v>
      </c>
      <c r="BS41" s="853"/>
      <c r="BT41" s="853"/>
      <c r="BU41" s="854"/>
      <c r="BV41" s="466">
        <v>0</v>
      </c>
      <c r="BW41" s="480">
        <v>1</v>
      </c>
      <c r="BX41" s="849">
        <v>1</v>
      </c>
      <c r="BY41" s="480">
        <v>0</v>
      </c>
      <c r="BZ41" s="478">
        <v>0</v>
      </c>
      <c r="CA41" s="480">
        <v>0</v>
      </c>
      <c r="CB41" s="480">
        <v>0</v>
      </c>
      <c r="CC41" s="466">
        <v>0</v>
      </c>
      <c r="CD41" s="478">
        <v>0</v>
      </c>
      <c r="CE41" s="865">
        <f>SUM(BV41:BZ42)</f>
        <v>2</v>
      </c>
      <c r="CF41" s="474">
        <f>BV41*35+BW41*35+BX41*35+BY41*35+BZ41*35+CA41*35+CB41*35+CC41*35+CD41*35</f>
        <v>70</v>
      </c>
      <c r="CG41" s="468" t="s">
        <v>384</v>
      </c>
      <c r="CH41" s="469"/>
      <c r="CI41" s="470"/>
      <c r="CJ41" s="474"/>
      <c r="CK41" s="474">
        <v>70</v>
      </c>
      <c r="CL41" s="468" t="s">
        <v>286</v>
      </c>
      <c r="CM41" s="470"/>
      <c r="CN41" s="464">
        <v>44899</v>
      </c>
    </row>
    <row r="42" spans="3:106" ht="15.95" customHeight="1" thickBot="1">
      <c r="G42" s="526"/>
      <c r="H42" s="527"/>
      <c r="I42" s="527"/>
      <c r="J42" s="527"/>
      <c r="K42" s="527"/>
      <c r="L42" s="527"/>
      <c r="M42" s="528"/>
      <c r="R42" s="526"/>
      <c r="S42" s="527"/>
      <c r="T42" s="527"/>
      <c r="U42" s="527"/>
      <c r="V42" s="527"/>
      <c r="W42" s="527"/>
      <c r="X42" s="528"/>
      <c r="AC42" s="526"/>
      <c r="AD42" s="527"/>
      <c r="AE42" s="527"/>
      <c r="AF42" s="527"/>
      <c r="AG42" s="527"/>
      <c r="AH42" s="527"/>
      <c r="AI42" s="528"/>
      <c r="BB42" s="3"/>
      <c r="BC42" s="3"/>
      <c r="BD42" s="3"/>
      <c r="BE42" s="3"/>
      <c r="BF42" s="3"/>
      <c r="BR42" s="855"/>
      <c r="BS42" s="856"/>
      <c r="BT42" s="856"/>
      <c r="BU42" s="857"/>
      <c r="BV42" s="467"/>
      <c r="BW42" s="481"/>
      <c r="BX42" s="850"/>
      <c r="BY42" s="481"/>
      <c r="BZ42" s="479"/>
      <c r="CA42" s="481"/>
      <c r="CB42" s="481"/>
      <c r="CC42" s="467"/>
      <c r="CD42" s="479"/>
      <c r="CE42" s="866"/>
      <c r="CF42" s="475"/>
      <c r="CG42" s="471"/>
      <c r="CH42" s="472"/>
      <c r="CI42" s="473"/>
      <c r="CJ42" s="475"/>
      <c r="CK42" s="475"/>
      <c r="CL42" s="471"/>
      <c r="CM42" s="473"/>
      <c r="CN42" s="465"/>
      <c r="CP42" s="20"/>
      <c r="CQ42" s="20"/>
      <c r="CR42" s="20"/>
      <c r="CS42" s="20"/>
      <c r="CT42" s="20"/>
      <c r="CU42" s="20"/>
      <c r="CV42" s="20"/>
      <c r="CW42" s="20"/>
      <c r="CX42" s="20"/>
      <c r="CY42" s="20"/>
    </row>
    <row r="43" spans="3:106" ht="15.95" customHeight="1" thickBot="1">
      <c r="G43" s="486" t="s">
        <v>273</v>
      </c>
      <c r="H43" s="484" t="s">
        <v>274</v>
      </c>
      <c r="I43" s="484" t="s">
        <v>16</v>
      </c>
      <c r="J43" s="484" t="s">
        <v>13</v>
      </c>
      <c r="K43" s="484" t="s">
        <v>275</v>
      </c>
      <c r="L43" s="484" t="s">
        <v>276</v>
      </c>
      <c r="M43" s="484" t="s">
        <v>277</v>
      </c>
      <c r="R43" s="486" t="s">
        <v>273</v>
      </c>
      <c r="S43" s="484" t="s">
        <v>274</v>
      </c>
      <c r="T43" s="484" t="s">
        <v>16</v>
      </c>
      <c r="U43" s="484" t="s">
        <v>13</v>
      </c>
      <c r="V43" s="484" t="s">
        <v>275</v>
      </c>
      <c r="W43" s="484" t="s">
        <v>276</v>
      </c>
      <c r="X43" s="484" t="s">
        <v>277</v>
      </c>
      <c r="AC43" s="486" t="s">
        <v>273</v>
      </c>
      <c r="AD43" s="484" t="s">
        <v>274</v>
      </c>
      <c r="AE43" s="484" t="s">
        <v>16</v>
      </c>
      <c r="AF43" s="484" t="s">
        <v>13</v>
      </c>
      <c r="AG43" s="484" t="s">
        <v>275</v>
      </c>
      <c r="AH43" s="484" t="s">
        <v>276</v>
      </c>
      <c r="AI43" s="484" t="s">
        <v>277</v>
      </c>
      <c r="BB43" s="3"/>
      <c r="BC43" s="3"/>
      <c r="BD43" s="3"/>
      <c r="BE43" s="3"/>
      <c r="BF43" s="3"/>
      <c r="BR43" s="852" t="s">
        <v>53</v>
      </c>
      <c r="BS43" s="853"/>
      <c r="BT43" s="853"/>
      <c r="BU43" s="854"/>
      <c r="BV43" s="466">
        <v>1</v>
      </c>
      <c r="BW43" s="480">
        <v>0</v>
      </c>
      <c r="BX43" s="466">
        <v>0</v>
      </c>
      <c r="BY43" s="480">
        <v>0</v>
      </c>
      <c r="BZ43" s="478">
        <v>0</v>
      </c>
      <c r="CA43" s="480">
        <v>0</v>
      </c>
      <c r="CB43" s="480">
        <v>0</v>
      </c>
      <c r="CC43" s="466">
        <v>0</v>
      </c>
      <c r="CD43" s="478">
        <v>0</v>
      </c>
      <c r="CE43" s="865">
        <f>SUM(BV43:BZ44)</f>
        <v>1</v>
      </c>
      <c r="CF43" s="474">
        <f>BV43*35+BW43*35+BX43*35+BY43*35+BZ43*35+CA43*35+CB43*35+CC43*35+CD43*35</f>
        <v>35</v>
      </c>
      <c r="CG43" s="468" t="s">
        <v>385</v>
      </c>
      <c r="CH43" s="469"/>
      <c r="CI43" s="470"/>
      <c r="CJ43" s="474"/>
      <c r="CK43" s="474">
        <v>35</v>
      </c>
      <c r="CL43" s="468" t="s">
        <v>286</v>
      </c>
      <c r="CM43" s="470"/>
      <c r="CN43" s="464">
        <v>44938</v>
      </c>
      <c r="CQ43" s="8"/>
      <c r="CV43" s="21"/>
      <c r="CW43" s="21"/>
      <c r="DA43" s="22"/>
      <c r="DB43" s="22"/>
    </row>
    <row r="44" spans="3:106" ht="15.95" customHeight="1" thickBot="1">
      <c r="G44" s="487"/>
      <c r="H44" s="485"/>
      <c r="I44" s="485"/>
      <c r="J44" s="485"/>
      <c r="K44" s="485"/>
      <c r="L44" s="485"/>
      <c r="M44" s="485"/>
      <c r="R44" s="487"/>
      <c r="S44" s="485"/>
      <c r="T44" s="485"/>
      <c r="U44" s="485"/>
      <c r="V44" s="485"/>
      <c r="W44" s="485"/>
      <c r="X44" s="485"/>
      <c r="AC44" s="487"/>
      <c r="AD44" s="485"/>
      <c r="AE44" s="485"/>
      <c r="AF44" s="485"/>
      <c r="AG44" s="485"/>
      <c r="AH44" s="485"/>
      <c r="AI44" s="485"/>
      <c r="AL44" s="705" t="s">
        <v>328</v>
      </c>
      <c r="AM44" s="706"/>
      <c r="AN44" s="706"/>
      <c r="AO44" s="707"/>
      <c r="AX44" s="492"/>
      <c r="AY44" s="493"/>
      <c r="AZ44" s="493"/>
      <c r="BA44" s="494"/>
      <c r="BB44" s="3"/>
      <c r="BC44" s="3"/>
      <c r="BD44" s="3"/>
      <c r="BE44" s="3"/>
      <c r="BF44" s="3"/>
      <c r="BR44" s="855"/>
      <c r="BS44" s="856"/>
      <c r="BT44" s="856"/>
      <c r="BU44" s="857"/>
      <c r="BV44" s="467"/>
      <c r="BW44" s="481"/>
      <c r="BX44" s="467"/>
      <c r="BY44" s="481"/>
      <c r="BZ44" s="479"/>
      <c r="CA44" s="481"/>
      <c r="CB44" s="481"/>
      <c r="CC44" s="467"/>
      <c r="CD44" s="479"/>
      <c r="CE44" s="866"/>
      <c r="CF44" s="475"/>
      <c r="CG44" s="471"/>
      <c r="CH44" s="472"/>
      <c r="CI44" s="473"/>
      <c r="CJ44" s="475"/>
      <c r="CK44" s="475"/>
      <c r="CL44" s="471"/>
      <c r="CM44" s="473"/>
      <c r="CN44" s="465"/>
      <c r="CR44" s="113"/>
      <c r="CS44" s="113"/>
      <c r="CT44" s="113"/>
      <c r="CU44" s="113"/>
      <c r="CV44" s="21"/>
      <c r="CW44" s="21"/>
      <c r="CX44" s="21"/>
      <c r="CY44" s="21"/>
      <c r="DA44" s="22"/>
      <c r="DB44" s="22"/>
    </row>
    <row r="45" spans="3:106" ht="15.95" customHeight="1" thickBot="1">
      <c r="C45" s="545"/>
      <c r="D45" s="547" t="s">
        <v>279</v>
      </c>
      <c r="E45" s="548"/>
      <c r="F45" s="549"/>
      <c r="G45" s="569"/>
      <c r="H45" s="571"/>
      <c r="I45" s="557"/>
      <c r="J45" s="557"/>
      <c r="K45" s="557">
        <f>I45+J45</f>
        <v>0</v>
      </c>
      <c r="L45" s="593">
        <f>G45*K45</f>
        <v>0</v>
      </c>
      <c r="M45" s="519">
        <f>H45*K45</f>
        <v>0</v>
      </c>
      <c r="N45" s="545"/>
      <c r="O45" s="547" t="s">
        <v>279</v>
      </c>
      <c r="P45" s="548"/>
      <c r="Q45" s="549"/>
      <c r="R45" s="569"/>
      <c r="S45" s="571"/>
      <c r="T45" s="557"/>
      <c r="U45" s="557"/>
      <c r="V45" s="557">
        <f>T45+U45</f>
        <v>0</v>
      </c>
      <c r="W45" s="593">
        <f>R45*V45</f>
        <v>0</v>
      </c>
      <c r="X45" s="519">
        <f>S45*V45</f>
        <v>0</v>
      </c>
      <c r="Y45" s="545"/>
      <c r="Z45" s="547" t="s">
        <v>279</v>
      </c>
      <c r="AA45" s="548"/>
      <c r="AB45" s="549"/>
      <c r="AC45" s="569"/>
      <c r="AD45" s="571"/>
      <c r="AE45" s="557"/>
      <c r="AF45" s="557"/>
      <c r="AG45" s="557">
        <f>AE45+AF45</f>
        <v>0</v>
      </c>
      <c r="AH45" s="593">
        <f>AC45*AG45</f>
        <v>0</v>
      </c>
      <c r="AI45" s="519">
        <f>AD45*AG45</f>
        <v>0</v>
      </c>
      <c r="AL45" s="708"/>
      <c r="AM45" s="709"/>
      <c r="AN45" s="709"/>
      <c r="AO45" s="710"/>
      <c r="AX45" s="495"/>
      <c r="AY45" s="496"/>
      <c r="AZ45" s="496"/>
      <c r="BA45" s="497"/>
      <c r="BB45" s="3"/>
      <c r="BC45" s="3"/>
      <c r="BD45" s="3"/>
      <c r="BE45" s="3"/>
      <c r="BF45" s="3"/>
      <c r="BR45" s="852" t="s">
        <v>389</v>
      </c>
      <c r="BS45" s="853"/>
      <c r="BT45" s="853"/>
      <c r="BU45" s="854"/>
      <c r="BV45" s="466">
        <v>0</v>
      </c>
      <c r="BW45" s="480">
        <v>1</v>
      </c>
      <c r="BX45" s="466">
        <v>0</v>
      </c>
      <c r="BY45" s="480">
        <v>0</v>
      </c>
      <c r="BZ45" s="478">
        <v>0</v>
      </c>
      <c r="CA45" s="480">
        <v>0</v>
      </c>
      <c r="CB45" s="480">
        <v>0</v>
      </c>
      <c r="CC45" s="466">
        <v>0</v>
      </c>
      <c r="CD45" s="478">
        <v>0</v>
      </c>
      <c r="CE45" s="865">
        <f>SUM(BV45:BZ46)</f>
        <v>1</v>
      </c>
      <c r="CF45" s="474">
        <f>BV45*35+BW45*35+BX45*35+BY45*35+BZ45*35+CA45*35+CB45*35+CC45*35+CD45*35</f>
        <v>35</v>
      </c>
      <c r="CG45" s="468" t="s">
        <v>385</v>
      </c>
      <c r="CH45" s="469"/>
      <c r="CI45" s="470"/>
      <c r="CJ45" s="474"/>
      <c r="CK45" s="474">
        <v>35</v>
      </c>
      <c r="CL45" s="468" t="s">
        <v>286</v>
      </c>
      <c r="CM45" s="470"/>
      <c r="CN45" s="464">
        <v>44938</v>
      </c>
    </row>
    <row r="46" spans="3:106" ht="15.95" customHeight="1" thickBot="1">
      <c r="C46" s="546"/>
      <c r="D46" s="550"/>
      <c r="E46" s="551"/>
      <c r="F46" s="552"/>
      <c r="G46" s="570"/>
      <c r="H46" s="572"/>
      <c r="I46" s="558"/>
      <c r="J46" s="558"/>
      <c r="K46" s="558"/>
      <c r="L46" s="558"/>
      <c r="M46" s="520"/>
      <c r="N46" s="546"/>
      <c r="O46" s="550"/>
      <c r="P46" s="551"/>
      <c r="Q46" s="552"/>
      <c r="R46" s="570"/>
      <c r="S46" s="572"/>
      <c r="T46" s="558"/>
      <c r="U46" s="558"/>
      <c r="V46" s="558"/>
      <c r="W46" s="558"/>
      <c r="X46" s="520"/>
      <c r="Y46" s="546"/>
      <c r="Z46" s="550"/>
      <c r="AA46" s="551"/>
      <c r="AB46" s="552"/>
      <c r="AC46" s="570"/>
      <c r="AD46" s="572"/>
      <c r="AE46" s="558"/>
      <c r="AF46" s="558"/>
      <c r="AG46" s="558"/>
      <c r="AH46" s="558"/>
      <c r="AI46" s="520"/>
      <c r="AL46" s="708"/>
      <c r="AM46" s="709"/>
      <c r="AN46" s="709"/>
      <c r="AO46" s="710"/>
      <c r="AP46" s="484" t="s">
        <v>329</v>
      </c>
      <c r="AQ46" s="484" t="s">
        <v>330</v>
      </c>
      <c r="AR46" s="484" t="s">
        <v>390</v>
      </c>
      <c r="AS46" s="484" t="s">
        <v>332</v>
      </c>
      <c r="AX46" s="495"/>
      <c r="AY46" s="496"/>
      <c r="AZ46" s="496"/>
      <c r="BA46" s="497"/>
      <c r="BB46" s="484" t="s">
        <v>293</v>
      </c>
      <c r="BC46" s="484" t="s">
        <v>16</v>
      </c>
      <c r="BD46" s="484" t="s">
        <v>13</v>
      </c>
      <c r="BE46" s="484" t="s">
        <v>118</v>
      </c>
      <c r="BF46" s="484" t="s">
        <v>275</v>
      </c>
      <c r="BG46" s="484" t="s">
        <v>277</v>
      </c>
      <c r="BR46" s="893"/>
      <c r="BS46" s="894"/>
      <c r="BT46" s="894"/>
      <c r="BU46" s="895"/>
      <c r="BV46" s="467"/>
      <c r="BW46" s="481"/>
      <c r="BX46" s="467"/>
      <c r="BY46" s="481"/>
      <c r="BZ46" s="479"/>
      <c r="CA46" s="481"/>
      <c r="CB46" s="481"/>
      <c r="CC46" s="467"/>
      <c r="CD46" s="479"/>
      <c r="CE46" s="866"/>
      <c r="CF46" s="475"/>
      <c r="CG46" s="471"/>
      <c r="CH46" s="472"/>
      <c r="CI46" s="473"/>
      <c r="CJ46" s="475"/>
      <c r="CK46" s="475"/>
      <c r="CL46" s="471"/>
      <c r="CM46" s="473"/>
      <c r="CN46" s="465"/>
      <c r="CP46" s="20"/>
      <c r="CQ46" s="20"/>
      <c r="CR46" s="20"/>
      <c r="CS46" s="20"/>
      <c r="CT46" s="20"/>
      <c r="CU46" s="20"/>
      <c r="CV46" s="20"/>
      <c r="CW46" s="20"/>
      <c r="CX46" s="20"/>
      <c r="CY46" s="20"/>
    </row>
    <row r="47" spans="3:106" ht="15.95" customHeight="1" thickBot="1">
      <c r="C47" s="598"/>
      <c r="D47" s="547" t="s">
        <v>283</v>
      </c>
      <c r="E47" s="548"/>
      <c r="F47" s="549"/>
      <c r="G47" s="569"/>
      <c r="H47" s="571"/>
      <c r="I47" s="557"/>
      <c r="J47" s="557"/>
      <c r="K47" s="557">
        <f>I47+J47</f>
        <v>0</v>
      </c>
      <c r="L47" s="593">
        <f>G47*K47</f>
        <v>0</v>
      </c>
      <c r="M47" s="519">
        <f>H47*K47</f>
        <v>0</v>
      </c>
      <c r="N47" s="598"/>
      <c r="O47" s="547" t="s">
        <v>283</v>
      </c>
      <c r="P47" s="548"/>
      <c r="Q47" s="549"/>
      <c r="R47" s="569"/>
      <c r="S47" s="571"/>
      <c r="T47" s="557"/>
      <c r="U47" s="557"/>
      <c r="V47" s="557">
        <f>T47+U47</f>
        <v>0</v>
      </c>
      <c r="W47" s="593">
        <f>R47*V47</f>
        <v>0</v>
      </c>
      <c r="X47" s="519">
        <f>S47*V47</f>
        <v>0</v>
      </c>
      <c r="Y47" s="598"/>
      <c r="Z47" s="547" t="s">
        <v>283</v>
      </c>
      <c r="AA47" s="548"/>
      <c r="AB47" s="549"/>
      <c r="AC47" s="569"/>
      <c r="AD47" s="571"/>
      <c r="AE47" s="557"/>
      <c r="AF47" s="557"/>
      <c r="AG47" s="557">
        <f>AE47+AF47</f>
        <v>0</v>
      </c>
      <c r="AH47" s="593">
        <f>AC47*AG47</f>
        <v>0</v>
      </c>
      <c r="AI47" s="519">
        <f>AD47*AG47</f>
        <v>0</v>
      </c>
      <c r="AL47" s="711"/>
      <c r="AM47" s="712"/>
      <c r="AN47" s="712"/>
      <c r="AO47" s="713"/>
      <c r="AP47" s="485"/>
      <c r="AQ47" s="485"/>
      <c r="AR47" s="485"/>
      <c r="AS47" s="485"/>
      <c r="AX47" s="498"/>
      <c r="AY47" s="499"/>
      <c r="AZ47" s="499"/>
      <c r="BA47" s="500"/>
      <c r="BB47" s="485"/>
      <c r="BC47" s="485"/>
      <c r="BD47" s="485"/>
      <c r="BE47" s="485"/>
      <c r="BF47" s="485"/>
      <c r="BG47" s="485"/>
      <c r="BR47" s="852" t="s">
        <v>391</v>
      </c>
      <c r="BS47" s="853"/>
      <c r="BT47" s="853"/>
      <c r="BU47" s="854"/>
      <c r="BV47" s="466">
        <v>1</v>
      </c>
      <c r="BW47" s="480">
        <v>0</v>
      </c>
      <c r="BX47" s="466">
        <v>0</v>
      </c>
      <c r="BY47" s="480">
        <v>0</v>
      </c>
      <c r="BZ47" s="478">
        <v>0</v>
      </c>
      <c r="CA47" s="480">
        <v>0</v>
      </c>
      <c r="CB47" s="480">
        <v>0</v>
      </c>
      <c r="CC47" s="466">
        <v>0</v>
      </c>
      <c r="CD47" s="478">
        <v>0</v>
      </c>
      <c r="CE47" s="865">
        <f>SUM(BV47:BZ48)</f>
        <v>1</v>
      </c>
      <c r="CF47" s="474">
        <f>BV47*35+BW47*35+BX47*35+BY47*35+BZ47*35+CA47*35+CB47*35+CC47*35+CD47*35</f>
        <v>35</v>
      </c>
      <c r="CG47" s="468" t="s">
        <v>385</v>
      </c>
      <c r="CH47" s="469"/>
      <c r="CI47" s="470"/>
      <c r="CJ47" s="474"/>
      <c r="CK47" s="474">
        <v>35</v>
      </c>
      <c r="CL47" s="468" t="s">
        <v>286</v>
      </c>
      <c r="CM47" s="470"/>
      <c r="CN47" s="464">
        <v>44994</v>
      </c>
      <c r="CQ47" s="8"/>
      <c r="CV47" s="21"/>
      <c r="CW47" s="21"/>
      <c r="DA47" s="22"/>
      <c r="DB47" s="22"/>
    </row>
    <row r="48" spans="3:106" ht="15.95" customHeight="1" thickBot="1">
      <c r="C48" s="598"/>
      <c r="D48" s="550"/>
      <c r="E48" s="551"/>
      <c r="F48" s="552"/>
      <c r="G48" s="570"/>
      <c r="H48" s="572"/>
      <c r="I48" s="558"/>
      <c r="J48" s="558"/>
      <c r="K48" s="558"/>
      <c r="L48" s="558"/>
      <c r="M48" s="520"/>
      <c r="N48" s="598"/>
      <c r="O48" s="550"/>
      <c r="P48" s="551"/>
      <c r="Q48" s="552"/>
      <c r="R48" s="570"/>
      <c r="S48" s="572"/>
      <c r="T48" s="558"/>
      <c r="U48" s="558"/>
      <c r="V48" s="558"/>
      <c r="W48" s="558"/>
      <c r="X48" s="520"/>
      <c r="Y48" s="598"/>
      <c r="Z48" s="550"/>
      <c r="AA48" s="551"/>
      <c r="AB48" s="552"/>
      <c r="AC48" s="570"/>
      <c r="AD48" s="572"/>
      <c r="AE48" s="558"/>
      <c r="AF48" s="558"/>
      <c r="AG48" s="558"/>
      <c r="AH48" s="558"/>
      <c r="AI48" s="520"/>
      <c r="AL48" s="863"/>
      <c r="AM48" s="547" t="s">
        <v>386</v>
      </c>
      <c r="AN48" s="548"/>
      <c r="AO48" s="549"/>
      <c r="AP48" s="641">
        <v>35</v>
      </c>
      <c r="AQ48" s="891">
        <f>AS32</f>
        <v>25.984827586206897</v>
      </c>
      <c r="AR48" s="891">
        <f>AP48-AQ48</f>
        <v>9.0151724137931026</v>
      </c>
      <c r="AS48" s="643">
        <f>(AP48-AQ48)/AQ48</f>
        <v>0.34693985880354578</v>
      </c>
      <c r="AX48" s="863"/>
      <c r="AY48" s="547" t="s">
        <v>386</v>
      </c>
      <c r="AZ48" s="548"/>
      <c r="BA48" s="549"/>
      <c r="BB48" s="641">
        <f>AP48</f>
        <v>35</v>
      </c>
      <c r="BC48" s="643">
        <f>BC16-BB32</f>
        <v>8</v>
      </c>
      <c r="BD48" s="643">
        <f>BD16-BC32</f>
        <v>7</v>
      </c>
      <c r="BE48" s="643">
        <f>BE16-BD32</f>
        <v>0</v>
      </c>
      <c r="BF48" s="643">
        <f>SUM(BC48:BE49)</f>
        <v>15</v>
      </c>
      <c r="BG48" s="650">
        <f>BB48*BF48</f>
        <v>525</v>
      </c>
      <c r="BR48" s="855"/>
      <c r="BS48" s="856"/>
      <c r="BT48" s="856"/>
      <c r="BU48" s="857"/>
      <c r="BV48" s="467"/>
      <c r="BW48" s="481"/>
      <c r="BX48" s="467"/>
      <c r="BY48" s="481"/>
      <c r="BZ48" s="479"/>
      <c r="CA48" s="481"/>
      <c r="CB48" s="481"/>
      <c r="CC48" s="467"/>
      <c r="CD48" s="479"/>
      <c r="CE48" s="866"/>
      <c r="CF48" s="475"/>
      <c r="CG48" s="471"/>
      <c r="CH48" s="472"/>
      <c r="CI48" s="473"/>
      <c r="CJ48" s="475"/>
      <c r="CK48" s="475"/>
      <c r="CL48" s="471"/>
      <c r="CM48" s="473"/>
      <c r="CN48" s="465"/>
      <c r="CR48" s="113"/>
      <c r="CS48" s="113"/>
      <c r="CT48" s="113"/>
      <c r="CU48" s="113"/>
      <c r="CV48" s="21"/>
      <c r="CW48" s="21"/>
      <c r="CX48" s="21"/>
      <c r="CY48" s="21"/>
      <c r="DA48" s="22"/>
      <c r="DB48" s="22"/>
    </row>
    <row r="49" spans="3:106" ht="15.95" customHeight="1" thickBot="1">
      <c r="C49" s="627"/>
      <c r="D49" s="547" t="s">
        <v>288</v>
      </c>
      <c r="E49" s="548"/>
      <c r="F49" s="549"/>
      <c r="G49" s="569"/>
      <c r="H49" s="571"/>
      <c r="I49" s="557"/>
      <c r="J49" s="557"/>
      <c r="K49" s="557">
        <f>I49+J49</f>
        <v>0</v>
      </c>
      <c r="L49" s="593">
        <f>G49*K49</f>
        <v>0</v>
      </c>
      <c r="M49" s="519">
        <f>H49*K49</f>
        <v>0</v>
      </c>
      <c r="N49" s="627"/>
      <c r="O49" s="547" t="s">
        <v>288</v>
      </c>
      <c r="P49" s="548"/>
      <c r="Q49" s="549"/>
      <c r="R49" s="569"/>
      <c r="S49" s="571"/>
      <c r="T49" s="557"/>
      <c r="U49" s="557"/>
      <c r="V49" s="557">
        <f>T49+U49</f>
        <v>0</v>
      </c>
      <c r="W49" s="593">
        <f>R49*V49</f>
        <v>0</v>
      </c>
      <c r="X49" s="519">
        <f>S49*V49</f>
        <v>0</v>
      </c>
      <c r="Y49" s="627"/>
      <c r="Z49" s="547" t="s">
        <v>288</v>
      </c>
      <c r="AA49" s="548"/>
      <c r="AB49" s="549"/>
      <c r="AC49" s="569"/>
      <c r="AD49" s="571"/>
      <c r="AE49" s="557"/>
      <c r="AF49" s="557"/>
      <c r="AG49" s="557">
        <f>AE49+AF49</f>
        <v>0</v>
      </c>
      <c r="AH49" s="593">
        <f>AC49*AG49</f>
        <v>0</v>
      </c>
      <c r="AI49" s="519">
        <f>AD49*AG49</f>
        <v>0</v>
      </c>
      <c r="AL49" s="864"/>
      <c r="AM49" s="550"/>
      <c r="AN49" s="551"/>
      <c r="AO49" s="552"/>
      <c r="AP49" s="642"/>
      <c r="AQ49" s="892"/>
      <c r="AR49" s="892"/>
      <c r="AS49" s="644"/>
      <c r="AX49" s="864"/>
      <c r="AY49" s="550"/>
      <c r="AZ49" s="551"/>
      <c r="BA49" s="552"/>
      <c r="BB49" s="642"/>
      <c r="BC49" s="644"/>
      <c r="BD49" s="644"/>
      <c r="BE49" s="644"/>
      <c r="BF49" s="644"/>
      <c r="BG49" s="651"/>
      <c r="BR49" s="852" t="s">
        <v>34</v>
      </c>
      <c r="BS49" s="853"/>
      <c r="BT49" s="853"/>
      <c r="BU49" s="854"/>
      <c r="BV49" s="466"/>
      <c r="BW49" s="480">
        <v>1</v>
      </c>
      <c r="BX49" s="849">
        <v>0</v>
      </c>
      <c r="BY49" s="480">
        <v>0</v>
      </c>
      <c r="BZ49" s="478">
        <v>0</v>
      </c>
      <c r="CA49" s="480">
        <v>0</v>
      </c>
      <c r="CB49" s="480">
        <v>0</v>
      </c>
      <c r="CC49" s="466">
        <v>0</v>
      </c>
      <c r="CD49" s="478">
        <v>0</v>
      </c>
      <c r="CE49" s="865">
        <f>SUM(BV49:BZ50)</f>
        <v>1</v>
      </c>
      <c r="CF49" s="474">
        <v>25</v>
      </c>
      <c r="CG49" s="468" t="s">
        <v>369</v>
      </c>
      <c r="CH49" s="469"/>
      <c r="CI49" s="470"/>
      <c r="CJ49" s="474"/>
      <c r="CK49" s="474">
        <v>25</v>
      </c>
      <c r="CL49" s="468" t="s">
        <v>286</v>
      </c>
      <c r="CM49" s="470"/>
      <c r="CN49" s="464">
        <v>45041</v>
      </c>
    </row>
    <row r="50" spans="3:106" ht="15.95" customHeight="1" thickBot="1">
      <c r="C50" s="627"/>
      <c r="D50" s="550"/>
      <c r="E50" s="551"/>
      <c r="F50" s="552"/>
      <c r="G50" s="570"/>
      <c r="H50" s="572"/>
      <c r="I50" s="558"/>
      <c r="J50" s="558"/>
      <c r="K50" s="558"/>
      <c r="L50" s="558"/>
      <c r="M50" s="520"/>
      <c r="N50" s="627"/>
      <c r="O50" s="550"/>
      <c r="P50" s="551"/>
      <c r="Q50" s="552"/>
      <c r="R50" s="570"/>
      <c r="S50" s="572"/>
      <c r="T50" s="558"/>
      <c r="U50" s="558"/>
      <c r="V50" s="558"/>
      <c r="W50" s="558"/>
      <c r="X50" s="520"/>
      <c r="Y50" s="627"/>
      <c r="Z50" s="550"/>
      <c r="AA50" s="551"/>
      <c r="AB50" s="552"/>
      <c r="AC50" s="570"/>
      <c r="AD50" s="572"/>
      <c r="AE50" s="558"/>
      <c r="AF50" s="558"/>
      <c r="AG50" s="558"/>
      <c r="AH50" s="558"/>
      <c r="AI50" s="520"/>
      <c r="AL50" s="858"/>
      <c r="AM50" s="547" t="s">
        <v>337</v>
      </c>
      <c r="AN50" s="548"/>
      <c r="AO50" s="549"/>
      <c r="AP50" s="755">
        <v>35</v>
      </c>
      <c r="AQ50" s="591">
        <f>AS34</f>
        <v>27.194827586206898</v>
      </c>
      <c r="AR50" s="891">
        <f>AP50-AQ50</f>
        <v>7.8051724137931018</v>
      </c>
      <c r="AS50" s="643">
        <f>(AP50-AQ50)/AQ50</f>
        <v>0.28700944652253846</v>
      </c>
      <c r="AX50" s="858"/>
      <c r="AY50" s="547" t="s">
        <v>337</v>
      </c>
      <c r="AZ50" s="548"/>
      <c r="BA50" s="549"/>
      <c r="BB50" s="641">
        <f>AP50</f>
        <v>35</v>
      </c>
      <c r="BC50" s="643">
        <f>BC18-BB34</f>
        <v>5</v>
      </c>
      <c r="BD50" s="643">
        <f>BD18-BC34</f>
        <v>4</v>
      </c>
      <c r="BE50" s="649">
        <f>BE18-BD34</f>
        <v>1</v>
      </c>
      <c r="BF50" s="643">
        <f>SUM(BC50:BE51)</f>
        <v>10</v>
      </c>
      <c r="BG50" s="650">
        <f>BB50*BF50</f>
        <v>350</v>
      </c>
      <c r="BR50" s="855"/>
      <c r="BS50" s="856"/>
      <c r="BT50" s="856"/>
      <c r="BU50" s="857"/>
      <c r="BV50" s="467"/>
      <c r="BW50" s="481"/>
      <c r="BX50" s="850"/>
      <c r="BY50" s="481"/>
      <c r="BZ50" s="479"/>
      <c r="CA50" s="481"/>
      <c r="CB50" s="481"/>
      <c r="CC50" s="467"/>
      <c r="CD50" s="479"/>
      <c r="CE50" s="866"/>
      <c r="CF50" s="475"/>
      <c r="CG50" s="471"/>
      <c r="CH50" s="472"/>
      <c r="CI50" s="473"/>
      <c r="CJ50" s="475"/>
      <c r="CK50" s="475"/>
      <c r="CL50" s="471"/>
      <c r="CM50" s="473"/>
      <c r="CN50" s="465"/>
      <c r="CP50" s="20"/>
      <c r="CQ50" s="20"/>
      <c r="CR50" s="20"/>
      <c r="CS50" s="20"/>
      <c r="CT50" s="20"/>
      <c r="CU50" s="20"/>
      <c r="CV50" s="20"/>
      <c r="CW50" s="20"/>
      <c r="CX50" s="20"/>
      <c r="CY50" s="20"/>
    </row>
    <row r="51" spans="3:106" ht="15.95" customHeight="1" thickBot="1">
      <c r="C51" s="607"/>
      <c r="D51" s="547" t="s">
        <v>290</v>
      </c>
      <c r="E51" s="548"/>
      <c r="F51" s="549"/>
      <c r="G51" s="569"/>
      <c r="H51" s="571"/>
      <c r="I51" s="557"/>
      <c r="J51" s="557"/>
      <c r="K51" s="557">
        <f>I51+J51</f>
        <v>0</v>
      </c>
      <c r="L51" s="593">
        <f>G51*K51</f>
        <v>0</v>
      </c>
      <c r="M51" s="519">
        <f>H51*K51</f>
        <v>0</v>
      </c>
      <c r="N51" s="607"/>
      <c r="O51" s="547" t="s">
        <v>290</v>
      </c>
      <c r="P51" s="548"/>
      <c r="Q51" s="549"/>
      <c r="R51" s="569"/>
      <c r="S51" s="571"/>
      <c r="T51" s="557"/>
      <c r="U51" s="557"/>
      <c r="V51" s="557">
        <f>T51+U51</f>
        <v>0</v>
      </c>
      <c r="W51" s="593">
        <f>R51*V51</f>
        <v>0</v>
      </c>
      <c r="X51" s="519">
        <f>S51*V51</f>
        <v>0</v>
      </c>
      <c r="Y51" s="607"/>
      <c r="Z51" s="547" t="s">
        <v>290</v>
      </c>
      <c r="AA51" s="548"/>
      <c r="AB51" s="549"/>
      <c r="AC51" s="569"/>
      <c r="AD51" s="571"/>
      <c r="AE51" s="557"/>
      <c r="AF51" s="557"/>
      <c r="AG51" s="557">
        <f>AE51+AF51</f>
        <v>0</v>
      </c>
      <c r="AH51" s="593">
        <f>AC51*AG51</f>
        <v>0</v>
      </c>
      <c r="AI51" s="519">
        <f>AD51*AG51</f>
        <v>0</v>
      </c>
      <c r="AL51" s="859"/>
      <c r="AM51" s="550"/>
      <c r="AN51" s="551"/>
      <c r="AO51" s="552"/>
      <c r="AP51" s="756"/>
      <c r="AQ51" s="592"/>
      <c r="AR51" s="892"/>
      <c r="AS51" s="644"/>
      <c r="AX51" s="859"/>
      <c r="AY51" s="550"/>
      <c r="AZ51" s="551"/>
      <c r="BA51" s="552"/>
      <c r="BB51" s="642"/>
      <c r="BC51" s="644"/>
      <c r="BD51" s="644"/>
      <c r="BE51" s="520"/>
      <c r="BF51" s="644"/>
      <c r="BG51" s="651"/>
      <c r="BR51" s="913" t="s">
        <v>41</v>
      </c>
      <c r="BS51" s="914"/>
      <c r="BT51" s="914"/>
      <c r="BU51" s="915"/>
      <c r="BV51" s="714">
        <v>0</v>
      </c>
      <c r="BW51" s="718">
        <v>0</v>
      </c>
      <c r="BX51" s="896">
        <v>1</v>
      </c>
      <c r="BY51" s="718"/>
      <c r="BZ51" s="716">
        <v>0</v>
      </c>
      <c r="CA51" s="718">
        <v>0</v>
      </c>
      <c r="CB51" s="718">
        <v>0</v>
      </c>
      <c r="CC51" s="714">
        <v>0</v>
      </c>
      <c r="CD51" s="716">
        <v>0</v>
      </c>
      <c r="CE51" s="901">
        <f>SUM(BV51:BZ52)</f>
        <v>1</v>
      </c>
      <c r="CF51" s="736">
        <f>BV51*35+BW51*35+BX51*35+BY51*35+BZ51*35+CA51*35+CB51*35+CC51*35+CD51*35</f>
        <v>35</v>
      </c>
      <c r="CG51" s="738"/>
      <c r="CH51" s="748"/>
      <c r="CI51" s="739"/>
      <c r="CJ51" s="736"/>
      <c r="CK51" s="736"/>
      <c r="CL51" s="909">
        <v>35</v>
      </c>
      <c r="CM51" s="910"/>
      <c r="CN51" s="898"/>
      <c r="CQ51" s="8"/>
      <c r="CV51" s="21"/>
      <c r="CW51" s="21"/>
      <c r="DA51" s="22"/>
      <c r="DB51" s="22"/>
    </row>
    <row r="52" spans="3:106" ht="15.95" customHeight="1" thickBot="1">
      <c r="C52" s="607"/>
      <c r="D52" s="550"/>
      <c r="E52" s="551"/>
      <c r="F52" s="552"/>
      <c r="G52" s="570"/>
      <c r="H52" s="572"/>
      <c r="I52" s="558"/>
      <c r="J52" s="558"/>
      <c r="K52" s="558"/>
      <c r="L52" s="558"/>
      <c r="M52" s="520"/>
      <c r="N52" s="607"/>
      <c r="O52" s="550"/>
      <c r="P52" s="551"/>
      <c r="Q52" s="552"/>
      <c r="R52" s="570"/>
      <c r="S52" s="572"/>
      <c r="T52" s="558"/>
      <c r="U52" s="558"/>
      <c r="V52" s="558"/>
      <c r="W52" s="558"/>
      <c r="X52" s="520"/>
      <c r="Y52" s="607"/>
      <c r="Z52" s="550"/>
      <c r="AA52" s="551"/>
      <c r="AB52" s="552"/>
      <c r="AC52" s="570"/>
      <c r="AD52" s="572"/>
      <c r="AE52" s="558"/>
      <c r="AF52" s="558"/>
      <c r="AG52" s="558"/>
      <c r="AH52" s="558"/>
      <c r="AI52" s="520"/>
      <c r="AL52" s="882"/>
      <c r="AM52" s="547"/>
      <c r="AN52" s="548"/>
      <c r="AO52" s="549"/>
      <c r="AP52" s="755"/>
      <c r="AQ52" s="591">
        <f>AS36</f>
        <v>30.25</v>
      </c>
      <c r="AR52" s="891">
        <f>AP52-AQ52</f>
        <v>-30.25</v>
      </c>
      <c r="AS52" s="643">
        <f>(AP52-AQ52)/AQ52</f>
        <v>-1</v>
      </c>
      <c r="AX52" s="882"/>
      <c r="AY52" s="547"/>
      <c r="AZ52" s="548"/>
      <c r="BA52" s="549"/>
      <c r="BB52" s="641">
        <f>AP52</f>
        <v>0</v>
      </c>
      <c r="BC52" s="643"/>
      <c r="BD52" s="643"/>
      <c r="BE52" s="649"/>
      <c r="BF52" s="643">
        <f>BC52+BD52</f>
        <v>0</v>
      </c>
      <c r="BG52" s="650">
        <f>BB52*BF52</f>
        <v>0</v>
      </c>
      <c r="BR52" s="916"/>
      <c r="BS52" s="917"/>
      <c r="BT52" s="917"/>
      <c r="BU52" s="918"/>
      <c r="BV52" s="715"/>
      <c r="BW52" s="719"/>
      <c r="BX52" s="897"/>
      <c r="BY52" s="719"/>
      <c r="BZ52" s="717"/>
      <c r="CA52" s="719"/>
      <c r="CB52" s="719"/>
      <c r="CC52" s="715"/>
      <c r="CD52" s="717"/>
      <c r="CE52" s="902"/>
      <c r="CF52" s="737"/>
      <c r="CG52" s="740"/>
      <c r="CH52" s="749"/>
      <c r="CI52" s="741"/>
      <c r="CJ52" s="737"/>
      <c r="CK52" s="737"/>
      <c r="CL52" s="911"/>
      <c r="CM52" s="912"/>
      <c r="CN52" s="899"/>
      <c r="CR52" s="113"/>
      <c r="CS52" s="113"/>
      <c r="CT52" s="113"/>
      <c r="CU52" s="113"/>
      <c r="CV52" s="21"/>
      <c r="CW52" s="21"/>
      <c r="CX52" s="21"/>
      <c r="CY52" s="21"/>
      <c r="DA52" s="22"/>
      <c r="DB52" s="22"/>
    </row>
    <row r="53" spans="3:106" ht="15.95" customHeight="1" thickBot="1">
      <c r="C53" s="638"/>
      <c r="D53" s="547" t="s">
        <v>294</v>
      </c>
      <c r="E53" s="548"/>
      <c r="F53" s="549"/>
      <c r="G53" s="569"/>
      <c r="H53" s="571"/>
      <c r="I53" s="557"/>
      <c r="J53" s="557"/>
      <c r="K53" s="557">
        <f>I53+J53</f>
        <v>0</v>
      </c>
      <c r="L53" s="593">
        <f>G53*K53</f>
        <v>0</v>
      </c>
      <c r="M53" s="519">
        <f>H53*K53</f>
        <v>0</v>
      </c>
      <c r="N53" s="638"/>
      <c r="O53" s="547" t="s">
        <v>294</v>
      </c>
      <c r="P53" s="548"/>
      <c r="Q53" s="549"/>
      <c r="R53" s="569"/>
      <c r="S53" s="571"/>
      <c r="T53" s="557"/>
      <c r="U53" s="557"/>
      <c r="V53" s="557">
        <f>T53+U53</f>
        <v>0</v>
      </c>
      <c r="W53" s="593">
        <f>R53*V53</f>
        <v>0</v>
      </c>
      <c r="X53" s="519">
        <f>S53*V53</f>
        <v>0</v>
      </c>
      <c r="Y53" s="638"/>
      <c r="Z53" s="547" t="s">
        <v>294</v>
      </c>
      <c r="AA53" s="548"/>
      <c r="AB53" s="549"/>
      <c r="AC53" s="569"/>
      <c r="AD53" s="571"/>
      <c r="AE53" s="557"/>
      <c r="AF53" s="557"/>
      <c r="AG53" s="557">
        <f>AE53+AF53</f>
        <v>0</v>
      </c>
      <c r="AH53" s="593">
        <f>AC53*AG53</f>
        <v>0</v>
      </c>
      <c r="AI53" s="519">
        <f>AD53*AG53</f>
        <v>0</v>
      </c>
      <c r="AL53" s="883"/>
      <c r="AM53" s="550"/>
      <c r="AN53" s="551"/>
      <c r="AO53" s="552"/>
      <c r="AP53" s="756"/>
      <c r="AQ53" s="592"/>
      <c r="AR53" s="892"/>
      <c r="AS53" s="644"/>
      <c r="AX53" s="883"/>
      <c r="AY53" s="550"/>
      <c r="AZ53" s="551"/>
      <c r="BA53" s="552"/>
      <c r="BB53" s="642"/>
      <c r="BC53" s="644"/>
      <c r="BD53" s="644"/>
      <c r="BE53" s="520"/>
      <c r="BF53" s="644"/>
      <c r="BG53" s="651"/>
      <c r="BR53" s="919"/>
      <c r="BS53" s="920"/>
      <c r="BT53" s="920"/>
      <c r="BU53" s="921"/>
      <c r="BV53" s="925"/>
      <c r="BW53" s="927"/>
      <c r="BX53" s="896"/>
      <c r="BY53" s="718"/>
      <c r="BZ53" s="716"/>
      <c r="CA53" s="718">
        <v>0</v>
      </c>
      <c r="CB53" s="718">
        <v>0</v>
      </c>
      <c r="CC53" s="714">
        <v>0</v>
      </c>
      <c r="CD53" s="716">
        <v>0</v>
      </c>
      <c r="CE53" s="901">
        <f>SUM(BV53:BZ54)</f>
        <v>0</v>
      </c>
      <c r="CF53" s="736">
        <f>BV53*35+BW53*35+BX53*35+BY53*35+BZ53*35+CA53*35+CB53*35+CC53*35+CD53*35</f>
        <v>0</v>
      </c>
      <c r="CG53" s="738"/>
      <c r="CH53" s="748"/>
      <c r="CI53" s="739"/>
      <c r="CJ53" s="736"/>
      <c r="CK53" s="736"/>
      <c r="CL53" s="738"/>
      <c r="CM53" s="739"/>
      <c r="CN53" s="898"/>
    </row>
    <row r="54" spans="3:106" ht="15.95" customHeight="1" thickBot="1">
      <c r="C54" s="638"/>
      <c r="D54" s="550"/>
      <c r="E54" s="551"/>
      <c r="F54" s="552"/>
      <c r="G54" s="570"/>
      <c r="H54" s="572"/>
      <c r="I54" s="558"/>
      <c r="J54" s="558"/>
      <c r="K54" s="558"/>
      <c r="L54" s="558"/>
      <c r="M54" s="520"/>
      <c r="N54" s="638"/>
      <c r="O54" s="550"/>
      <c r="P54" s="551"/>
      <c r="Q54" s="552"/>
      <c r="R54" s="570"/>
      <c r="S54" s="572"/>
      <c r="T54" s="558"/>
      <c r="U54" s="558"/>
      <c r="V54" s="558"/>
      <c r="W54" s="558"/>
      <c r="X54" s="520"/>
      <c r="Y54" s="638"/>
      <c r="Z54" s="550"/>
      <c r="AA54" s="551"/>
      <c r="AB54" s="552"/>
      <c r="AC54" s="570"/>
      <c r="AD54" s="572"/>
      <c r="AE54" s="558"/>
      <c r="AF54" s="558"/>
      <c r="AG54" s="558"/>
      <c r="AH54" s="558"/>
      <c r="AI54" s="520"/>
      <c r="AL54" s="880"/>
      <c r="AM54" s="547"/>
      <c r="AN54" s="548"/>
      <c r="AO54" s="549"/>
      <c r="AP54" s="755"/>
      <c r="AQ54" s="591">
        <f>AS38</f>
        <v>0</v>
      </c>
      <c r="AR54" s="891">
        <f>AP54-AQ54</f>
        <v>0</v>
      </c>
      <c r="AS54" s="643" t="e">
        <f>(AP54-AQ54)/AQ54</f>
        <v>#DIV/0!</v>
      </c>
      <c r="AX54" s="880"/>
      <c r="AY54" s="547"/>
      <c r="AZ54" s="548"/>
      <c r="BA54" s="549"/>
      <c r="BB54" s="641">
        <f>AP54</f>
        <v>0</v>
      </c>
      <c r="BC54" s="643">
        <f>BC22-BB38</f>
        <v>0</v>
      </c>
      <c r="BD54" s="643"/>
      <c r="BE54" s="649"/>
      <c r="BF54" s="643">
        <f>BC54+BD54</f>
        <v>0</v>
      </c>
      <c r="BG54" s="650">
        <f>BB54*BF54</f>
        <v>0</v>
      </c>
      <c r="BR54" s="922"/>
      <c r="BS54" s="923"/>
      <c r="BT54" s="923"/>
      <c r="BU54" s="924"/>
      <c r="BV54" s="926"/>
      <c r="BW54" s="928"/>
      <c r="BX54" s="897"/>
      <c r="BY54" s="719"/>
      <c r="BZ54" s="717"/>
      <c r="CA54" s="719"/>
      <c r="CB54" s="719"/>
      <c r="CC54" s="715"/>
      <c r="CD54" s="717"/>
      <c r="CE54" s="902"/>
      <c r="CF54" s="737"/>
      <c r="CG54" s="740"/>
      <c r="CH54" s="749"/>
      <c r="CI54" s="741"/>
      <c r="CJ54" s="737"/>
      <c r="CK54" s="737"/>
      <c r="CL54" s="740"/>
      <c r="CM54" s="741"/>
      <c r="CN54" s="899"/>
      <c r="CP54" s="20"/>
      <c r="CQ54" s="20"/>
      <c r="CR54" s="20"/>
      <c r="CS54" s="20"/>
      <c r="CT54" s="20"/>
      <c r="CU54" s="20"/>
      <c r="CV54" s="20"/>
      <c r="CW54" s="20"/>
      <c r="CX54" s="20"/>
      <c r="CY54" s="20"/>
    </row>
    <row r="55" spans="3:106" ht="15.95" customHeight="1" thickBot="1">
      <c r="C55" s="639"/>
      <c r="D55" s="547" t="s">
        <v>298</v>
      </c>
      <c r="E55" s="548"/>
      <c r="F55" s="549"/>
      <c r="G55" s="569"/>
      <c r="H55" s="571"/>
      <c r="I55" s="557"/>
      <c r="J55" s="557"/>
      <c r="K55" s="557">
        <f>I55+J55</f>
        <v>0</v>
      </c>
      <c r="L55" s="593">
        <f>G55*K55</f>
        <v>0</v>
      </c>
      <c r="M55" s="519">
        <f>H55*K55</f>
        <v>0</v>
      </c>
      <c r="N55" s="639"/>
      <c r="O55" s="547" t="s">
        <v>298</v>
      </c>
      <c r="P55" s="548"/>
      <c r="Q55" s="549"/>
      <c r="R55" s="569"/>
      <c r="S55" s="571"/>
      <c r="T55" s="557"/>
      <c r="U55" s="557"/>
      <c r="V55" s="557">
        <f>T55+U55</f>
        <v>0</v>
      </c>
      <c r="W55" s="593">
        <f>R55*V55</f>
        <v>0</v>
      </c>
      <c r="X55" s="519">
        <f>S55*V55</f>
        <v>0</v>
      </c>
      <c r="Y55" s="639"/>
      <c r="Z55" s="547" t="s">
        <v>298</v>
      </c>
      <c r="AA55" s="548"/>
      <c r="AB55" s="549"/>
      <c r="AC55" s="569"/>
      <c r="AD55" s="571"/>
      <c r="AE55" s="557"/>
      <c r="AF55" s="557"/>
      <c r="AG55" s="557">
        <f>AE55+AF55</f>
        <v>0</v>
      </c>
      <c r="AH55" s="593">
        <f>AC55*AG55</f>
        <v>0</v>
      </c>
      <c r="AI55" s="519">
        <f>AD55*AG55</f>
        <v>0</v>
      </c>
      <c r="AL55" s="881"/>
      <c r="AM55" s="550"/>
      <c r="AN55" s="551"/>
      <c r="AO55" s="552"/>
      <c r="AP55" s="757"/>
      <c r="AQ55" s="929"/>
      <c r="AR55" s="908"/>
      <c r="AS55" s="664"/>
      <c r="AX55" s="881"/>
      <c r="AY55" s="550"/>
      <c r="AZ55" s="551"/>
      <c r="BA55" s="552"/>
      <c r="BB55" s="656"/>
      <c r="BC55" s="664"/>
      <c r="BD55" s="664"/>
      <c r="BE55" s="657"/>
      <c r="BF55" s="644"/>
      <c r="BG55" s="651"/>
      <c r="BR55" s="919"/>
      <c r="BS55" s="920"/>
      <c r="BT55" s="920"/>
      <c r="BU55" s="921"/>
      <c r="BV55" s="936"/>
      <c r="BW55" s="934"/>
      <c r="BX55" s="728"/>
      <c r="BY55" s="703"/>
      <c r="BZ55" s="701"/>
      <c r="CA55" s="703">
        <v>0</v>
      </c>
      <c r="CB55" s="703">
        <v>0</v>
      </c>
      <c r="CC55" s="728">
        <v>0</v>
      </c>
      <c r="CD55" s="701">
        <v>0</v>
      </c>
      <c r="CE55" s="932">
        <f>SUM(BV55:BZ56)</f>
        <v>0</v>
      </c>
      <c r="CF55" s="736">
        <f>BV55*35+BW55*35+BX55*35+BY55*35+BZ55*35+CA55*35+CB55*35+CC55*35+CD55*35</f>
        <v>0</v>
      </c>
      <c r="CG55" s="722"/>
      <c r="CH55" s="734"/>
      <c r="CI55" s="723"/>
      <c r="CJ55" s="720"/>
      <c r="CK55" s="720"/>
      <c r="CL55" s="750"/>
      <c r="CM55" s="751"/>
      <c r="CN55" s="930"/>
      <c r="CQ55" s="8"/>
      <c r="CV55" s="21"/>
      <c r="CW55" s="21"/>
      <c r="DA55" s="22"/>
      <c r="DB55" s="22"/>
    </row>
    <row r="56" spans="3:106" ht="15.95" customHeight="1" thickBot="1">
      <c r="C56" s="639"/>
      <c r="D56" s="550"/>
      <c r="E56" s="551"/>
      <c r="F56" s="552"/>
      <c r="G56" s="570"/>
      <c r="H56" s="572"/>
      <c r="I56" s="558"/>
      <c r="J56" s="558"/>
      <c r="K56" s="558"/>
      <c r="L56" s="558"/>
      <c r="M56" s="520"/>
      <c r="N56" s="639"/>
      <c r="O56" s="550"/>
      <c r="P56" s="551"/>
      <c r="Q56" s="552"/>
      <c r="R56" s="570"/>
      <c r="S56" s="572"/>
      <c r="T56" s="558"/>
      <c r="U56" s="558"/>
      <c r="V56" s="558"/>
      <c r="W56" s="558"/>
      <c r="X56" s="520"/>
      <c r="Y56" s="639"/>
      <c r="Z56" s="550"/>
      <c r="AA56" s="551"/>
      <c r="AB56" s="552"/>
      <c r="AC56" s="570"/>
      <c r="AD56" s="572"/>
      <c r="AE56" s="558"/>
      <c r="AF56" s="558"/>
      <c r="AG56" s="558"/>
      <c r="AH56" s="558"/>
      <c r="AI56" s="520"/>
      <c r="AQ56" s="30"/>
      <c r="AR56" s="30"/>
      <c r="BB56" s="3"/>
      <c r="BC56" s="3"/>
      <c r="BD56" s="3"/>
      <c r="BF56" s="643">
        <f>SUM(BF48:BF55)</f>
        <v>25</v>
      </c>
      <c r="BG56" s="650">
        <f>SUM(BG48:BG55)</f>
        <v>875</v>
      </c>
      <c r="BR56" s="922"/>
      <c r="BS56" s="923"/>
      <c r="BT56" s="923"/>
      <c r="BU56" s="924"/>
      <c r="BV56" s="937"/>
      <c r="BW56" s="935"/>
      <c r="BX56" s="729"/>
      <c r="BY56" s="704"/>
      <c r="BZ56" s="702"/>
      <c r="CA56" s="704"/>
      <c r="CB56" s="704"/>
      <c r="CC56" s="729"/>
      <c r="CD56" s="702"/>
      <c r="CE56" s="933"/>
      <c r="CF56" s="737"/>
      <c r="CG56" s="724"/>
      <c r="CH56" s="735"/>
      <c r="CI56" s="725"/>
      <c r="CJ56" s="721"/>
      <c r="CK56" s="721"/>
      <c r="CL56" s="750"/>
      <c r="CM56" s="751"/>
      <c r="CN56" s="931"/>
      <c r="CR56" s="113"/>
      <c r="CS56" s="113"/>
      <c r="CT56" s="113"/>
      <c r="CU56" s="113"/>
      <c r="CV56" s="21"/>
      <c r="CW56" s="21"/>
      <c r="CX56" s="21"/>
      <c r="CY56" s="21"/>
      <c r="DA56" s="22"/>
      <c r="DB56" s="22"/>
    </row>
    <row r="57" spans="3:106" ht="15.95" customHeight="1" thickBot="1">
      <c r="C57" s="652"/>
      <c r="D57" s="547" t="s">
        <v>300</v>
      </c>
      <c r="E57" s="548"/>
      <c r="F57" s="549"/>
      <c r="G57" s="569"/>
      <c r="H57" s="571"/>
      <c r="I57" s="557"/>
      <c r="J57" s="557"/>
      <c r="K57" s="557">
        <f>I57+J57</f>
        <v>0</v>
      </c>
      <c r="L57" s="593">
        <f>G57*K57</f>
        <v>0</v>
      </c>
      <c r="M57" s="519">
        <f>H57*K57</f>
        <v>0</v>
      </c>
      <c r="N57" s="652"/>
      <c r="O57" s="547" t="s">
        <v>300</v>
      </c>
      <c r="P57" s="548"/>
      <c r="Q57" s="549"/>
      <c r="R57" s="569"/>
      <c r="S57" s="571"/>
      <c r="T57" s="557"/>
      <c r="U57" s="557"/>
      <c r="V57" s="557">
        <f>T57+U57</f>
        <v>0</v>
      </c>
      <c r="W57" s="593">
        <f>R57*V57</f>
        <v>0</v>
      </c>
      <c r="X57" s="519">
        <f>S57*V57</f>
        <v>0</v>
      </c>
      <c r="Y57" s="652"/>
      <c r="Z57" s="547" t="s">
        <v>300</v>
      </c>
      <c r="AA57" s="548"/>
      <c r="AB57" s="549"/>
      <c r="AC57" s="569"/>
      <c r="AD57" s="571"/>
      <c r="AE57" s="557"/>
      <c r="AF57" s="557"/>
      <c r="AG57" s="557">
        <f>AE57+AF57</f>
        <v>0</v>
      </c>
      <c r="AH57" s="593">
        <f>AC57*AG57</f>
        <v>0</v>
      </c>
      <c r="AI57" s="519">
        <f>AD57*AG57</f>
        <v>0</v>
      </c>
      <c r="AQ57" s="30"/>
      <c r="BB57" s="3"/>
      <c r="BC57" s="3"/>
      <c r="BD57" s="3"/>
      <c r="BF57" s="664"/>
      <c r="BG57" s="665"/>
      <c r="BR57" s="919"/>
      <c r="BS57" s="920"/>
      <c r="BT57" s="920"/>
      <c r="BU57" s="921"/>
      <c r="BV57" s="925"/>
      <c r="BW57" s="927"/>
      <c r="BX57" s="896"/>
      <c r="BY57" s="718"/>
      <c r="BZ57" s="716"/>
      <c r="CA57" s="718">
        <v>0</v>
      </c>
      <c r="CB57" s="718">
        <v>0</v>
      </c>
      <c r="CC57" s="714">
        <v>0</v>
      </c>
      <c r="CD57" s="716">
        <v>0</v>
      </c>
      <c r="CE57" s="901">
        <f>SUM(BV57:BZ58)</f>
        <v>0</v>
      </c>
      <c r="CF57" s="736">
        <f>BV57*35+BW57*35+BX57*35+BY57*35+BZ57*35+CA57*35+CB57*35+CC57*35+CD57*35</f>
        <v>0</v>
      </c>
      <c r="CG57" s="738"/>
      <c r="CH57" s="748"/>
      <c r="CI57" s="739"/>
      <c r="CJ57" s="736"/>
      <c r="CK57" s="736"/>
      <c r="CL57" s="738"/>
      <c r="CM57" s="739"/>
      <c r="CN57" s="898"/>
    </row>
    <row r="58" spans="3:106" ht="15.95" customHeight="1" thickBot="1">
      <c r="C58" s="652"/>
      <c r="D58" s="550"/>
      <c r="E58" s="551"/>
      <c r="F58" s="552"/>
      <c r="G58" s="570"/>
      <c r="H58" s="572"/>
      <c r="I58" s="558"/>
      <c r="J58" s="558"/>
      <c r="K58" s="558"/>
      <c r="L58" s="558"/>
      <c r="M58" s="520"/>
      <c r="N58" s="652"/>
      <c r="O58" s="550"/>
      <c r="P58" s="551"/>
      <c r="Q58" s="552"/>
      <c r="R58" s="570"/>
      <c r="S58" s="572"/>
      <c r="T58" s="558"/>
      <c r="U58" s="558"/>
      <c r="V58" s="558"/>
      <c r="W58" s="558"/>
      <c r="X58" s="520"/>
      <c r="Y58" s="652"/>
      <c r="Z58" s="550"/>
      <c r="AA58" s="551"/>
      <c r="AB58" s="552"/>
      <c r="AC58" s="570"/>
      <c r="AD58" s="572"/>
      <c r="AE58" s="558"/>
      <c r="AF58" s="558"/>
      <c r="AG58" s="558"/>
      <c r="AH58" s="558"/>
      <c r="AI58" s="520"/>
      <c r="BB58" s="3"/>
      <c r="BC58" s="3"/>
      <c r="BD58" s="3"/>
      <c r="BE58" s="3"/>
      <c r="BF58" s="3"/>
      <c r="BR58" s="922"/>
      <c r="BS58" s="923"/>
      <c r="BT58" s="923"/>
      <c r="BU58" s="924"/>
      <c r="BV58" s="926"/>
      <c r="BW58" s="928"/>
      <c r="BX58" s="897"/>
      <c r="BY58" s="719"/>
      <c r="BZ58" s="717"/>
      <c r="CA58" s="719"/>
      <c r="CB58" s="719"/>
      <c r="CC58" s="715"/>
      <c r="CD58" s="717"/>
      <c r="CE58" s="902"/>
      <c r="CF58" s="737"/>
      <c r="CG58" s="740"/>
      <c r="CH58" s="749"/>
      <c r="CI58" s="741"/>
      <c r="CJ58" s="737"/>
      <c r="CK58" s="737"/>
      <c r="CL58" s="740"/>
      <c r="CM58" s="741"/>
      <c r="CN58" s="899"/>
      <c r="CP58" s="20"/>
      <c r="CQ58" s="20"/>
      <c r="CR58" s="20"/>
      <c r="CS58" s="20"/>
      <c r="CT58" s="20"/>
      <c r="CU58" s="20"/>
      <c r="CV58" s="20"/>
      <c r="CW58" s="20"/>
      <c r="CX58" s="20"/>
      <c r="CY58" s="20"/>
    </row>
    <row r="59" spans="3:106" ht="15.95" customHeight="1">
      <c r="C59" s="653"/>
      <c r="D59" s="547" t="s">
        <v>302</v>
      </c>
      <c r="E59" s="548"/>
      <c r="F59" s="549"/>
      <c r="G59" s="569"/>
      <c r="H59" s="571"/>
      <c r="I59" s="557"/>
      <c r="J59" s="557"/>
      <c r="K59" s="557">
        <f>I59+J59</f>
        <v>0</v>
      </c>
      <c r="L59" s="593">
        <f>G59*K59</f>
        <v>0</v>
      </c>
      <c r="M59" s="519">
        <f>H59*K59</f>
        <v>0</v>
      </c>
      <c r="N59" s="653"/>
      <c r="O59" s="547" t="s">
        <v>302</v>
      </c>
      <c r="P59" s="548"/>
      <c r="Q59" s="549"/>
      <c r="R59" s="569"/>
      <c r="S59" s="571"/>
      <c r="T59" s="557"/>
      <c r="U59" s="557"/>
      <c r="V59" s="557">
        <f>T59+U59</f>
        <v>0</v>
      </c>
      <c r="W59" s="593">
        <f>R59*V59</f>
        <v>0</v>
      </c>
      <c r="X59" s="519">
        <f>S59*V59</f>
        <v>0</v>
      </c>
      <c r="Y59" s="653"/>
      <c r="Z59" s="547" t="s">
        <v>302</v>
      </c>
      <c r="AA59" s="548"/>
      <c r="AB59" s="549"/>
      <c r="AC59" s="569"/>
      <c r="AD59" s="571"/>
      <c r="AE59" s="557"/>
      <c r="AF59" s="557"/>
      <c r="AG59" s="557">
        <f>AE59+AF59</f>
        <v>0</v>
      </c>
      <c r="AH59" s="593">
        <f>AC59*AG59</f>
        <v>0</v>
      </c>
      <c r="AI59" s="519">
        <f>AD59*AG59</f>
        <v>0</v>
      </c>
      <c r="BR59" s="919"/>
      <c r="BS59" s="920"/>
      <c r="BT59" s="920"/>
      <c r="BU59" s="921"/>
      <c r="BV59" s="936"/>
      <c r="BW59" s="934"/>
      <c r="BX59" s="728"/>
      <c r="BY59" s="703"/>
      <c r="BZ59" s="701"/>
      <c r="CA59" s="703">
        <v>0</v>
      </c>
      <c r="CB59" s="703">
        <v>0</v>
      </c>
      <c r="CC59" s="728">
        <v>0</v>
      </c>
      <c r="CD59" s="701">
        <v>0</v>
      </c>
      <c r="CE59" s="932">
        <f>SUM(BV59:BZ60)</f>
        <v>0</v>
      </c>
      <c r="CF59" s="736">
        <f>BV59*35+BW59*35+BX59*35+BY59*35+BZ59*35+CA59*35+CB59*35+CC59*35+CD59*35</f>
        <v>0</v>
      </c>
      <c r="CG59" s="722"/>
      <c r="CH59" s="734"/>
      <c r="CI59" s="723"/>
      <c r="CJ59" s="720"/>
      <c r="CK59" s="720"/>
      <c r="CL59" s="750"/>
      <c r="CM59" s="751"/>
      <c r="CN59" s="930"/>
      <c r="CQ59" s="8"/>
      <c r="CV59" s="21"/>
      <c r="CW59" s="21"/>
      <c r="DA59" s="22"/>
      <c r="DB59" s="22"/>
    </row>
    <row r="60" spans="3:106" ht="15.95" customHeight="1" thickBot="1">
      <c r="C60" s="653"/>
      <c r="D60" s="550"/>
      <c r="E60" s="551"/>
      <c r="F60" s="552"/>
      <c r="G60" s="570"/>
      <c r="H60" s="572"/>
      <c r="I60" s="558"/>
      <c r="J60" s="558"/>
      <c r="K60" s="558"/>
      <c r="L60" s="558"/>
      <c r="M60" s="520"/>
      <c r="N60" s="653"/>
      <c r="O60" s="550"/>
      <c r="P60" s="551"/>
      <c r="Q60" s="552"/>
      <c r="R60" s="570"/>
      <c r="S60" s="572"/>
      <c r="T60" s="558"/>
      <c r="U60" s="558"/>
      <c r="V60" s="558"/>
      <c r="W60" s="558"/>
      <c r="X60" s="520"/>
      <c r="Y60" s="653"/>
      <c r="Z60" s="550"/>
      <c r="AA60" s="551"/>
      <c r="AB60" s="552"/>
      <c r="AC60" s="570"/>
      <c r="AD60" s="572"/>
      <c r="AE60" s="558"/>
      <c r="AF60" s="558"/>
      <c r="AG60" s="558"/>
      <c r="AH60" s="558"/>
      <c r="AI60" s="520"/>
      <c r="BR60" s="922"/>
      <c r="BS60" s="923"/>
      <c r="BT60" s="923"/>
      <c r="BU60" s="924"/>
      <c r="BV60" s="937"/>
      <c r="BW60" s="935"/>
      <c r="BX60" s="729"/>
      <c r="BY60" s="704"/>
      <c r="BZ60" s="702"/>
      <c r="CA60" s="704"/>
      <c r="CB60" s="704"/>
      <c r="CC60" s="729"/>
      <c r="CD60" s="702"/>
      <c r="CE60" s="933"/>
      <c r="CF60" s="737"/>
      <c r="CG60" s="724"/>
      <c r="CH60" s="735"/>
      <c r="CI60" s="725"/>
      <c r="CJ60" s="721"/>
      <c r="CK60" s="721"/>
      <c r="CL60" s="750"/>
      <c r="CM60" s="751"/>
      <c r="CN60" s="931"/>
      <c r="CR60" s="113"/>
      <c r="CS60" s="113"/>
      <c r="CT60" s="113"/>
      <c r="CU60" s="113"/>
      <c r="CV60" s="21"/>
      <c r="CW60" s="21"/>
      <c r="CX60" s="21"/>
      <c r="CY60" s="21"/>
      <c r="DA60" s="22"/>
      <c r="DB60" s="22"/>
    </row>
    <row r="61" spans="3:106" ht="15.95" customHeight="1">
      <c r="C61" s="658"/>
      <c r="D61" s="547" t="s">
        <v>305</v>
      </c>
      <c r="E61" s="548"/>
      <c r="F61" s="549"/>
      <c r="G61" s="569"/>
      <c r="H61" s="571"/>
      <c r="I61" s="557"/>
      <c r="J61" s="557"/>
      <c r="K61" s="557">
        <f>I61+J61</f>
        <v>0</v>
      </c>
      <c r="L61" s="593">
        <f>G61*K61</f>
        <v>0</v>
      </c>
      <c r="M61" s="519">
        <f>H61*K61</f>
        <v>0</v>
      </c>
      <c r="N61" s="658"/>
      <c r="O61" s="547" t="s">
        <v>305</v>
      </c>
      <c r="P61" s="548"/>
      <c r="Q61" s="549"/>
      <c r="R61" s="569"/>
      <c r="S61" s="571"/>
      <c r="T61" s="557"/>
      <c r="U61" s="557"/>
      <c r="V61" s="557">
        <f>T61+U61</f>
        <v>0</v>
      </c>
      <c r="W61" s="593">
        <f>R61*V61</f>
        <v>0</v>
      </c>
      <c r="X61" s="519">
        <f>S61*V61</f>
        <v>0</v>
      </c>
      <c r="Y61" s="658"/>
      <c r="Z61" s="547" t="s">
        <v>305</v>
      </c>
      <c r="AA61" s="548"/>
      <c r="AB61" s="549"/>
      <c r="AC61" s="569"/>
      <c r="AD61" s="571"/>
      <c r="AE61" s="557"/>
      <c r="AF61" s="557"/>
      <c r="AG61" s="557">
        <f>AE61+AF61</f>
        <v>0</v>
      </c>
      <c r="AH61" s="593">
        <f>AC61*AG61</f>
        <v>0</v>
      </c>
      <c r="AI61" s="519">
        <f>AD61*AG61</f>
        <v>0</v>
      </c>
      <c r="BR61" s="919"/>
      <c r="BS61" s="920"/>
      <c r="BT61" s="920"/>
      <c r="BU61" s="921"/>
      <c r="BV61" s="925"/>
      <c r="BW61" s="927"/>
      <c r="BX61" s="896"/>
      <c r="BY61" s="718"/>
      <c r="BZ61" s="716"/>
      <c r="CA61" s="718">
        <v>0</v>
      </c>
      <c r="CB61" s="718">
        <v>0</v>
      </c>
      <c r="CC61" s="714">
        <v>0</v>
      </c>
      <c r="CD61" s="716">
        <v>0</v>
      </c>
      <c r="CE61" s="901">
        <f>SUM(BV61:BZ62)</f>
        <v>0</v>
      </c>
      <c r="CF61" s="736">
        <f>BV61*35+BW61*35+BX61*35+BY61*35+BZ61*35+CA61*35+CB61*35+CC61*35+CD61*35</f>
        <v>0</v>
      </c>
      <c r="CG61" s="738"/>
      <c r="CH61" s="748"/>
      <c r="CI61" s="739"/>
      <c r="CJ61" s="736"/>
      <c r="CK61" s="736"/>
      <c r="CL61" s="738"/>
      <c r="CM61" s="739"/>
      <c r="CN61" s="898"/>
    </row>
    <row r="62" spans="3:106" ht="15.95" customHeight="1" thickBot="1">
      <c r="C62" s="658"/>
      <c r="D62" s="550"/>
      <c r="E62" s="551"/>
      <c r="F62" s="552"/>
      <c r="G62" s="570"/>
      <c r="H62" s="572"/>
      <c r="I62" s="558"/>
      <c r="J62" s="558"/>
      <c r="K62" s="558"/>
      <c r="L62" s="558"/>
      <c r="M62" s="520"/>
      <c r="N62" s="658"/>
      <c r="O62" s="550"/>
      <c r="P62" s="551"/>
      <c r="Q62" s="552"/>
      <c r="R62" s="570"/>
      <c r="S62" s="572"/>
      <c r="T62" s="558"/>
      <c r="U62" s="558"/>
      <c r="V62" s="558"/>
      <c r="W62" s="558"/>
      <c r="X62" s="520"/>
      <c r="Y62" s="658"/>
      <c r="Z62" s="550"/>
      <c r="AA62" s="551"/>
      <c r="AB62" s="552"/>
      <c r="AC62" s="570"/>
      <c r="AD62" s="572"/>
      <c r="AE62" s="558"/>
      <c r="AF62" s="558"/>
      <c r="AG62" s="558"/>
      <c r="AH62" s="558"/>
      <c r="AI62" s="520"/>
      <c r="BR62" s="922"/>
      <c r="BS62" s="923"/>
      <c r="BT62" s="923"/>
      <c r="BU62" s="924"/>
      <c r="BV62" s="926"/>
      <c r="BW62" s="928"/>
      <c r="BX62" s="897"/>
      <c r="BY62" s="719"/>
      <c r="BZ62" s="717"/>
      <c r="CA62" s="719"/>
      <c r="CB62" s="719"/>
      <c r="CC62" s="715"/>
      <c r="CD62" s="717"/>
      <c r="CE62" s="902"/>
      <c r="CF62" s="737"/>
      <c r="CG62" s="740"/>
      <c r="CH62" s="749"/>
      <c r="CI62" s="741"/>
      <c r="CJ62" s="737"/>
      <c r="CK62" s="737"/>
      <c r="CL62" s="740"/>
      <c r="CM62" s="741"/>
      <c r="CN62" s="899"/>
      <c r="CP62" s="20"/>
      <c r="CQ62" s="20"/>
      <c r="CR62" s="20"/>
      <c r="CS62" s="20"/>
      <c r="CT62" s="20"/>
      <c r="CU62" s="20"/>
      <c r="CV62" s="20"/>
      <c r="CW62" s="20"/>
      <c r="CX62" s="20"/>
      <c r="CY62" s="20"/>
    </row>
    <row r="63" spans="3:106" ht="15.95" customHeight="1">
      <c r="C63" s="659"/>
      <c r="D63" s="547" t="s">
        <v>306</v>
      </c>
      <c r="E63" s="548"/>
      <c r="F63" s="549"/>
      <c r="G63" s="569"/>
      <c r="H63" s="571"/>
      <c r="I63" s="557"/>
      <c r="J63" s="557"/>
      <c r="K63" s="557">
        <f>I63+J63</f>
        <v>0</v>
      </c>
      <c r="L63" s="593">
        <f>G63*K63</f>
        <v>0</v>
      </c>
      <c r="M63" s="519">
        <f>H63*K63</f>
        <v>0</v>
      </c>
      <c r="N63" s="659"/>
      <c r="O63" s="547" t="s">
        <v>306</v>
      </c>
      <c r="P63" s="548"/>
      <c r="Q63" s="549"/>
      <c r="R63" s="569"/>
      <c r="S63" s="571"/>
      <c r="T63" s="557"/>
      <c r="U63" s="557"/>
      <c r="V63" s="557">
        <f>T63+U63</f>
        <v>0</v>
      </c>
      <c r="W63" s="593">
        <f>R63*V63</f>
        <v>0</v>
      </c>
      <c r="X63" s="519">
        <f>S63*V63</f>
        <v>0</v>
      </c>
      <c r="Y63" s="659"/>
      <c r="Z63" s="547" t="s">
        <v>306</v>
      </c>
      <c r="AA63" s="548"/>
      <c r="AB63" s="549"/>
      <c r="AC63" s="569"/>
      <c r="AD63" s="571"/>
      <c r="AE63" s="557"/>
      <c r="AF63" s="557"/>
      <c r="AG63" s="557">
        <f>AE63+AF63</f>
        <v>0</v>
      </c>
      <c r="AH63" s="593">
        <f>AC63*AG63</f>
        <v>0</v>
      </c>
      <c r="AI63" s="519">
        <f>AD63*AG63</f>
        <v>0</v>
      </c>
      <c r="BR63" s="919"/>
      <c r="BS63" s="920"/>
      <c r="BT63" s="920"/>
      <c r="BU63" s="921"/>
      <c r="BV63" s="936"/>
      <c r="BW63" s="934"/>
      <c r="BX63" s="728"/>
      <c r="BY63" s="703"/>
      <c r="BZ63" s="701"/>
      <c r="CA63" s="703">
        <v>0</v>
      </c>
      <c r="CB63" s="703">
        <v>0</v>
      </c>
      <c r="CC63" s="728">
        <v>0</v>
      </c>
      <c r="CD63" s="701">
        <v>0</v>
      </c>
      <c r="CE63" s="932">
        <f>SUM(BV63:BZ64)</f>
        <v>0</v>
      </c>
      <c r="CF63" s="736">
        <f>BV63*35+BW63*35+BX63*35+BY63*35+BZ63*35+CA63*35+CB63*35+CC63*35+CD63*35</f>
        <v>0</v>
      </c>
      <c r="CG63" s="722"/>
      <c r="CH63" s="734"/>
      <c r="CI63" s="723"/>
      <c r="CJ63" s="720"/>
      <c r="CK63" s="720"/>
      <c r="CL63" s="750"/>
      <c r="CM63" s="751"/>
      <c r="CN63" s="930"/>
      <c r="CQ63" s="8"/>
      <c r="CV63" s="21"/>
      <c r="CW63" s="21"/>
      <c r="DA63" s="22"/>
      <c r="DB63" s="22"/>
    </row>
    <row r="64" spans="3:106" ht="15.95" customHeight="1" thickBot="1">
      <c r="C64" s="659"/>
      <c r="D64" s="550"/>
      <c r="E64" s="551"/>
      <c r="F64" s="552"/>
      <c r="G64" s="570"/>
      <c r="H64" s="572"/>
      <c r="I64" s="558"/>
      <c r="J64" s="558"/>
      <c r="K64" s="558"/>
      <c r="L64" s="558"/>
      <c r="M64" s="520"/>
      <c r="N64" s="659"/>
      <c r="O64" s="550"/>
      <c r="P64" s="551"/>
      <c r="Q64" s="552"/>
      <c r="R64" s="570"/>
      <c r="S64" s="572"/>
      <c r="T64" s="558"/>
      <c r="U64" s="558"/>
      <c r="V64" s="558"/>
      <c r="W64" s="558"/>
      <c r="X64" s="520"/>
      <c r="Y64" s="659"/>
      <c r="Z64" s="550"/>
      <c r="AA64" s="551"/>
      <c r="AB64" s="552"/>
      <c r="AC64" s="570"/>
      <c r="AD64" s="572"/>
      <c r="AE64" s="558"/>
      <c r="AF64" s="558"/>
      <c r="AG64" s="558"/>
      <c r="AH64" s="558"/>
      <c r="AI64" s="520"/>
      <c r="BR64" s="922"/>
      <c r="BS64" s="923"/>
      <c r="BT64" s="923"/>
      <c r="BU64" s="924"/>
      <c r="BV64" s="937"/>
      <c r="BW64" s="935"/>
      <c r="BX64" s="729"/>
      <c r="BY64" s="704"/>
      <c r="BZ64" s="702"/>
      <c r="CA64" s="704"/>
      <c r="CB64" s="704"/>
      <c r="CC64" s="729"/>
      <c r="CD64" s="702"/>
      <c r="CE64" s="933"/>
      <c r="CF64" s="737"/>
      <c r="CG64" s="724"/>
      <c r="CH64" s="735"/>
      <c r="CI64" s="725"/>
      <c r="CJ64" s="721"/>
      <c r="CK64" s="721"/>
      <c r="CL64" s="750"/>
      <c r="CM64" s="751"/>
      <c r="CN64" s="931"/>
      <c r="CR64" s="113"/>
      <c r="CS64" s="113"/>
      <c r="CT64" s="113"/>
      <c r="CU64" s="113"/>
      <c r="CV64" s="21"/>
      <c r="CW64" s="21"/>
      <c r="CX64" s="21"/>
      <c r="CY64" s="21"/>
      <c r="DA64" s="22"/>
      <c r="DB64" s="22"/>
    </row>
    <row r="65" spans="3:106" ht="15.95" customHeight="1">
      <c r="C65" s="670"/>
      <c r="D65" s="547" t="s">
        <v>307</v>
      </c>
      <c r="E65" s="548"/>
      <c r="F65" s="549"/>
      <c r="G65" s="569"/>
      <c r="H65" s="571"/>
      <c r="I65" s="557"/>
      <c r="J65" s="557"/>
      <c r="K65" s="557">
        <f>I65+J65</f>
        <v>0</v>
      </c>
      <c r="L65" s="593">
        <f>G65*K65</f>
        <v>0</v>
      </c>
      <c r="M65" s="519">
        <f>H65*K65</f>
        <v>0</v>
      </c>
      <c r="N65" s="670"/>
      <c r="O65" s="547" t="s">
        <v>307</v>
      </c>
      <c r="P65" s="548"/>
      <c r="Q65" s="549"/>
      <c r="R65" s="569"/>
      <c r="S65" s="571"/>
      <c r="T65" s="557"/>
      <c r="U65" s="557"/>
      <c r="V65" s="557">
        <f>T65+U65</f>
        <v>0</v>
      </c>
      <c r="W65" s="593">
        <f>R65*V65</f>
        <v>0</v>
      </c>
      <c r="X65" s="519">
        <f>S65*V65</f>
        <v>0</v>
      </c>
      <c r="Y65" s="670"/>
      <c r="Z65" s="547" t="s">
        <v>307</v>
      </c>
      <c r="AA65" s="548"/>
      <c r="AB65" s="549"/>
      <c r="AC65" s="569"/>
      <c r="AD65" s="571"/>
      <c r="AE65" s="557"/>
      <c r="AF65" s="557"/>
      <c r="AG65" s="557">
        <f>AE65+AF65</f>
        <v>0</v>
      </c>
      <c r="AH65" s="593">
        <f>AC65*AG65</f>
        <v>0</v>
      </c>
      <c r="AI65" s="519">
        <f>AD65*AG65</f>
        <v>0</v>
      </c>
      <c r="BR65" s="919"/>
      <c r="BS65" s="920"/>
      <c r="BT65" s="920"/>
      <c r="BU65" s="921"/>
      <c r="BV65" s="925"/>
      <c r="BW65" s="927"/>
      <c r="BX65" s="896"/>
      <c r="BY65" s="718"/>
      <c r="BZ65" s="716"/>
      <c r="CA65" s="718">
        <v>0</v>
      </c>
      <c r="CB65" s="718">
        <v>0</v>
      </c>
      <c r="CC65" s="714">
        <v>0</v>
      </c>
      <c r="CD65" s="716">
        <v>0</v>
      </c>
      <c r="CE65" s="901">
        <f>SUM(BV65:BZ66)</f>
        <v>0</v>
      </c>
      <c r="CF65" s="736">
        <f>BV65*35+BW65*35+BX65*35+BY65*35+BZ65*35+CA65*35+CB65*35+CC65*35+CD65*35</f>
        <v>0</v>
      </c>
      <c r="CG65" s="738"/>
      <c r="CH65" s="748"/>
      <c r="CI65" s="739"/>
      <c r="CJ65" s="736"/>
      <c r="CK65" s="736"/>
      <c r="CL65" s="738"/>
      <c r="CM65" s="739"/>
      <c r="CN65" s="898"/>
    </row>
    <row r="66" spans="3:106" ht="15.95" customHeight="1" thickBot="1">
      <c r="C66" s="670"/>
      <c r="D66" s="550"/>
      <c r="E66" s="551"/>
      <c r="F66" s="552"/>
      <c r="G66" s="570"/>
      <c r="H66" s="572"/>
      <c r="I66" s="558"/>
      <c r="J66" s="558"/>
      <c r="K66" s="558"/>
      <c r="L66" s="558"/>
      <c r="M66" s="520"/>
      <c r="N66" s="670"/>
      <c r="O66" s="550"/>
      <c r="P66" s="551"/>
      <c r="Q66" s="552"/>
      <c r="R66" s="570"/>
      <c r="S66" s="572"/>
      <c r="T66" s="558"/>
      <c r="U66" s="558"/>
      <c r="V66" s="558"/>
      <c r="W66" s="558"/>
      <c r="X66" s="520"/>
      <c r="Y66" s="670"/>
      <c r="Z66" s="550"/>
      <c r="AA66" s="551"/>
      <c r="AB66" s="552"/>
      <c r="AC66" s="570"/>
      <c r="AD66" s="572"/>
      <c r="AE66" s="558"/>
      <c r="AF66" s="558"/>
      <c r="AG66" s="558"/>
      <c r="AH66" s="558"/>
      <c r="AI66" s="520"/>
      <c r="BR66" s="922"/>
      <c r="BS66" s="923"/>
      <c r="BT66" s="923"/>
      <c r="BU66" s="924"/>
      <c r="BV66" s="926"/>
      <c r="BW66" s="928"/>
      <c r="BX66" s="897"/>
      <c r="BY66" s="719"/>
      <c r="BZ66" s="717"/>
      <c r="CA66" s="719"/>
      <c r="CB66" s="719"/>
      <c r="CC66" s="715"/>
      <c r="CD66" s="717"/>
      <c r="CE66" s="902"/>
      <c r="CF66" s="737"/>
      <c r="CG66" s="740"/>
      <c r="CH66" s="749"/>
      <c r="CI66" s="741"/>
      <c r="CJ66" s="737"/>
      <c r="CK66" s="737"/>
      <c r="CL66" s="740"/>
      <c r="CM66" s="741"/>
      <c r="CN66" s="899"/>
      <c r="CP66" s="20"/>
      <c r="CQ66" s="20"/>
      <c r="CR66" s="20"/>
      <c r="CS66" s="20"/>
      <c r="CT66" s="20"/>
      <c r="CU66" s="20"/>
      <c r="CV66" s="20"/>
      <c r="CW66" s="20"/>
      <c r="CX66" s="20"/>
      <c r="CY66" s="20"/>
    </row>
    <row r="67" spans="3:106" ht="15.95" customHeight="1">
      <c r="C67" s="683"/>
      <c r="D67" s="547" t="s">
        <v>310</v>
      </c>
      <c r="E67" s="548"/>
      <c r="F67" s="549"/>
      <c r="G67" s="569"/>
      <c r="H67" s="571"/>
      <c r="I67" s="557"/>
      <c r="J67" s="557"/>
      <c r="K67" s="557">
        <f>I67+J67</f>
        <v>0</v>
      </c>
      <c r="L67" s="593">
        <f>G67*K67</f>
        <v>0</v>
      </c>
      <c r="M67" s="519">
        <f>H67*K67</f>
        <v>0</v>
      </c>
      <c r="N67" s="683"/>
      <c r="O67" s="547" t="s">
        <v>310</v>
      </c>
      <c r="P67" s="548"/>
      <c r="Q67" s="549"/>
      <c r="R67" s="569"/>
      <c r="S67" s="571"/>
      <c r="T67" s="557"/>
      <c r="U67" s="557"/>
      <c r="V67" s="557">
        <f>T67+U67</f>
        <v>0</v>
      </c>
      <c r="W67" s="593">
        <f>R67*V67</f>
        <v>0</v>
      </c>
      <c r="X67" s="519">
        <f>S67*V67</f>
        <v>0</v>
      </c>
      <c r="Y67" s="683"/>
      <c r="Z67" s="547" t="s">
        <v>310</v>
      </c>
      <c r="AA67" s="548"/>
      <c r="AB67" s="549"/>
      <c r="AC67" s="569"/>
      <c r="AD67" s="571"/>
      <c r="AE67" s="557"/>
      <c r="AF67" s="557"/>
      <c r="AG67" s="557">
        <f>AE67+AF67</f>
        <v>0</v>
      </c>
      <c r="AH67" s="593">
        <f>AC67*AG67</f>
        <v>0</v>
      </c>
      <c r="AI67" s="519">
        <f>AD67*AG67</f>
        <v>0</v>
      </c>
      <c r="BR67" s="919"/>
      <c r="BS67" s="920"/>
      <c r="BT67" s="920"/>
      <c r="BU67" s="921"/>
      <c r="BV67" s="936"/>
      <c r="BW67" s="934"/>
      <c r="BX67" s="728"/>
      <c r="BY67" s="703"/>
      <c r="BZ67" s="701"/>
      <c r="CA67" s="703">
        <v>0</v>
      </c>
      <c r="CB67" s="703">
        <v>0</v>
      </c>
      <c r="CC67" s="728">
        <v>0</v>
      </c>
      <c r="CD67" s="701">
        <v>0</v>
      </c>
      <c r="CE67" s="932">
        <f>SUM(BV67:BZ68)</f>
        <v>0</v>
      </c>
      <c r="CF67" s="736">
        <f>BV67*35+BW67*35+BX67*35+BY67*35+BZ67*35+CA67*35+CB67*35+CC67*35+CD67*35</f>
        <v>0</v>
      </c>
      <c r="CG67" s="722"/>
      <c r="CH67" s="734"/>
      <c r="CI67" s="723"/>
      <c r="CJ67" s="720"/>
      <c r="CK67" s="720"/>
      <c r="CL67" s="750"/>
      <c r="CM67" s="751"/>
      <c r="CN67" s="930"/>
      <c r="CQ67" s="8"/>
      <c r="CV67" s="21"/>
      <c r="CW67" s="21"/>
      <c r="DA67" s="22"/>
      <c r="DB67" s="22"/>
    </row>
    <row r="68" spans="3:106" ht="15.95" customHeight="1" thickBot="1">
      <c r="C68" s="683"/>
      <c r="D68" s="550"/>
      <c r="E68" s="551"/>
      <c r="F68" s="552"/>
      <c r="G68" s="570"/>
      <c r="H68" s="572"/>
      <c r="I68" s="558"/>
      <c r="J68" s="558"/>
      <c r="K68" s="558"/>
      <c r="L68" s="558"/>
      <c r="M68" s="520"/>
      <c r="N68" s="683"/>
      <c r="O68" s="550"/>
      <c r="P68" s="551"/>
      <c r="Q68" s="552"/>
      <c r="R68" s="570"/>
      <c r="S68" s="572"/>
      <c r="T68" s="558"/>
      <c r="U68" s="558"/>
      <c r="V68" s="558"/>
      <c r="W68" s="558"/>
      <c r="X68" s="520"/>
      <c r="Y68" s="683"/>
      <c r="Z68" s="550"/>
      <c r="AA68" s="551"/>
      <c r="AB68" s="552"/>
      <c r="AC68" s="570"/>
      <c r="AD68" s="572"/>
      <c r="AE68" s="558"/>
      <c r="AF68" s="558"/>
      <c r="AG68" s="558"/>
      <c r="AH68" s="558"/>
      <c r="AI68" s="520"/>
      <c r="BR68" s="922"/>
      <c r="BS68" s="923"/>
      <c r="BT68" s="923"/>
      <c r="BU68" s="924"/>
      <c r="BV68" s="937"/>
      <c r="BW68" s="935"/>
      <c r="BX68" s="729"/>
      <c r="BY68" s="704"/>
      <c r="BZ68" s="702"/>
      <c r="CA68" s="704"/>
      <c r="CB68" s="704"/>
      <c r="CC68" s="729"/>
      <c r="CD68" s="702"/>
      <c r="CE68" s="933"/>
      <c r="CF68" s="737"/>
      <c r="CG68" s="724"/>
      <c r="CH68" s="735"/>
      <c r="CI68" s="725"/>
      <c r="CJ68" s="721"/>
      <c r="CK68" s="721"/>
      <c r="CL68" s="750"/>
      <c r="CM68" s="751"/>
      <c r="CN68" s="931"/>
      <c r="CR68" s="113"/>
      <c r="CS68" s="113"/>
      <c r="CT68" s="113"/>
      <c r="CU68" s="113"/>
      <c r="CV68" s="21"/>
      <c r="CW68" s="21"/>
      <c r="CX68" s="21"/>
      <c r="CY68" s="21"/>
      <c r="DA68" s="22"/>
      <c r="DB68" s="22"/>
    </row>
    <row r="69" spans="3:106" ht="15.95" customHeight="1">
      <c r="C69" s="682"/>
      <c r="D69" s="547" t="s">
        <v>315</v>
      </c>
      <c r="E69" s="548"/>
      <c r="F69" s="549"/>
      <c r="G69" s="569"/>
      <c r="H69" s="571"/>
      <c r="I69" s="557"/>
      <c r="J69" s="557"/>
      <c r="K69" s="557">
        <f>I69+J69</f>
        <v>0</v>
      </c>
      <c r="L69" s="593">
        <f>G69*K69</f>
        <v>0</v>
      </c>
      <c r="M69" s="519">
        <f>H69*K69</f>
        <v>0</v>
      </c>
      <c r="N69" s="682"/>
      <c r="O69" s="547" t="s">
        <v>315</v>
      </c>
      <c r="P69" s="548"/>
      <c r="Q69" s="549"/>
      <c r="R69" s="569"/>
      <c r="S69" s="571"/>
      <c r="T69" s="557"/>
      <c r="U69" s="557"/>
      <c r="V69" s="557">
        <f>T69+U69</f>
        <v>0</v>
      </c>
      <c r="W69" s="593">
        <f>R69*V69</f>
        <v>0</v>
      </c>
      <c r="X69" s="519">
        <f>S69*V69</f>
        <v>0</v>
      </c>
      <c r="Y69" s="682"/>
      <c r="Z69" s="547" t="s">
        <v>315</v>
      </c>
      <c r="AA69" s="548"/>
      <c r="AB69" s="549"/>
      <c r="AC69" s="569"/>
      <c r="AD69" s="571"/>
      <c r="AE69" s="557"/>
      <c r="AF69" s="557"/>
      <c r="AG69" s="557">
        <f>AE69+AF69</f>
        <v>0</v>
      </c>
      <c r="AH69" s="593">
        <f>AC69*AG69</f>
        <v>0</v>
      </c>
      <c r="AI69" s="519">
        <f>AD69*AG69</f>
        <v>0</v>
      </c>
      <c r="BR69" s="919"/>
      <c r="BS69" s="920"/>
      <c r="BT69" s="920"/>
      <c r="BU69" s="921"/>
      <c r="BV69" s="925"/>
      <c r="BW69" s="927"/>
      <c r="BX69" s="896"/>
      <c r="BY69" s="718"/>
      <c r="BZ69" s="716"/>
      <c r="CA69" s="718">
        <v>0</v>
      </c>
      <c r="CB69" s="718">
        <v>0</v>
      </c>
      <c r="CC69" s="714">
        <v>0</v>
      </c>
      <c r="CD69" s="716">
        <v>0</v>
      </c>
      <c r="CE69" s="901">
        <f>SUM(BV69:BZ70)</f>
        <v>0</v>
      </c>
      <c r="CF69" s="736">
        <f>BV69*35+BW69*35+BX69*35+BY69*35+BZ69*35+CA69*35+CB69*35+CC69*35+CD69*35</f>
        <v>0</v>
      </c>
      <c r="CG69" s="738"/>
      <c r="CH69" s="748"/>
      <c r="CI69" s="739"/>
      <c r="CJ69" s="736"/>
      <c r="CK69" s="736"/>
      <c r="CL69" s="738"/>
      <c r="CM69" s="739"/>
      <c r="CN69" s="898"/>
    </row>
    <row r="70" spans="3:106" ht="15.95" customHeight="1" thickBot="1">
      <c r="C70" s="682"/>
      <c r="D70" s="550"/>
      <c r="E70" s="551"/>
      <c r="F70" s="552"/>
      <c r="G70" s="570"/>
      <c r="H70" s="572"/>
      <c r="I70" s="558"/>
      <c r="J70" s="558"/>
      <c r="K70" s="558"/>
      <c r="L70" s="558"/>
      <c r="M70" s="520"/>
      <c r="N70" s="682"/>
      <c r="O70" s="550"/>
      <c r="P70" s="551"/>
      <c r="Q70" s="552"/>
      <c r="R70" s="570"/>
      <c r="S70" s="572"/>
      <c r="T70" s="558"/>
      <c r="U70" s="558"/>
      <c r="V70" s="558"/>
      <c r="W70" s="558"/>
      <c r="X70" s="520"/>
      <c r="Y70" s="682"/>
      <c r="Z70" s="550"/>
      <c r="AA70" s="551"/>
      <c r="AB70" s="552"/>
      <c r="AC70" s="570"/>
      <c r="AD70" s="572"/>
      <c r="AE70" s="558"/>
      <c r="AF70" s="558"/>
      <c r="AG70" s="558"/>
      <c r="AH70" s="558"/>
      <c r="AI70" s="520"/>
      <c r="BR70" s="938"/>
      <c r="BS70" s="939"/>
      <c r="BT70" s="939"/>
      <c r="BU70" s="940"/>
      <c r="BV70" s="926"/>
      <c r="BW70" s="928"/>
      <c r="BX70" s="897"/>
      <c r="BY70" s="719"/>
      <c r="BZ70" s="717"/>
      <c r="CA70" s="719"/>
      <c r="CB70" s="719"/>
      <c r="CC70" s="715"/>
      <c r="CD70" s="717"/>
      <c r="CE70" s="902"/>
      <c r="CF70" s="737"/>
      <c r="CG70" s="740"/>
      <c r="CH70" s="749"/>
      <c r="CI70" s="741"/>
      <c r="CJ70" s="737"/>
      <c r="CK70" s="737"/>
      <c r="CL70" s="740"/>
      <c r="CM70" s="741"/>
      <c r="CN70" s="899"/>
    </row>
    <row r="71" spans="3:106" ht="15.95" customHeight="1" thickBot="1">
      <c r="C71" s="689"/>
      <c r="D71" s="547" t="s">
        <v>317</v>
      </c>
      <c r="E71" s="548"/>
      <c r="F71" s="549"/>
      <c r="G71" s="569"/>
      <c r="H71" s="571"/>
      <c r="I71" s="557"/>
      <c r="J71" s="557"/>
      <c r="K71" s="557">
        <f>I71+J71</f>
        <v>0</v>
      </c>
      <c r="L71" s="593">
        <f>G71*K71</f>
        <v>0</v>
      </c>
      <c r="M71" s="519">
        <f>H71*K71</f>
        <v>0</v>
      </c>
      <c r="N71" s="689"/>
      <c r="O71" s="547" t="s">
        <v>317</v>
      </c>
      <c r="P71" s="548"/>
      <c r="Q71" s="549"/>
      <c r="R71" s="569"/>
      <c r="S71" s="571"/>
      <c r="T71" s="557"/>
      <c r="U71" s="557"/>
      <c r="V71" s="557">
        <f>T71+U71</f>
        <v>0</v>
      </c>
      <c r="W71" s="593">
        <f>R71*V71</f>
        <v>0</v>
      </c>
      <c r="X71" s="519">
        <f>S71*V71</f>
        <v>0</v>
      </c>
      <c r="Y71" s="689"/>
      <c r="Z71" s="547" t="s">
        <v>317</v>
      </c>
      <c r="AA71" s="548"/>
      <c r="AB71" s="549"/>
      <c r="AC71" s="569"/>
      <c r="AD71" s="571"/>
      <c r="AE71" s="557"/>
      <c r="AF71" s="557"/>
      <c r="AG71" s="557">
        <f>AE71+AF71</f>
        <v>0</v>
      </c>
      <c r="AH71" s="593">
        <f>AC71*AG71</f>
        <v>0</v>
      </c>
      <c r="AI71" s="519">
        <f>AD71*AG71</f>
        <v>0</v>
      </c>
      <c r="BV71" s="3"/>
      <c r="BW71" s="3"/>
      <c r="BX71" s="3"/>
      <c r="BY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3:106" ht="15.95" customHeight="1" thickBot="1">
      <c r="C72" s="689"/>
      <c r="D72" s="550"/>
      <c r="E72" s="551"/>
      <c r="F72" s="552"/>
      <c r="G72" s="570"/>
      <c r="H72" s="572"/>
      <c r="I72" s="558"/>
      <c r="J72" s="558"/>
      <c r="K72" s="558"/>
      <c r="L72" s="558"/>
      <c r="M72" s="520"/>
      <c r="N72" s="689"/>
      <c r="O72" s="550"/>
      <c r="P72" s="551"/>
      <c r="Q72" s="552"/>
      <c r="R72" s="570"/>
      <c r="S72" s="572"/>
      <c r="T72" s="558"/>
      <c r="U72" s="558"/>
      <c r="V72" s="558"/>
      <c r="W72" s="558"/>
      <c r="X72" s="520"/>
      <c r="Y72" s="689"/>
      <c r="Z72" s="550"/>
      <c r="AA72" s="551"/>
      <c r="AB72" s="552"/>
      <c r="AC72" s="570"/>
      <c r="AD72" s="572"/>
      <c r="AE72" s="558"/>
      <c r="AF72" s="558"/>
      <c r="AG72" s="558"/>
      <c r="AH72" s="558"/>
      <c r="AI72" s="520"/>
      <c r="BT72" s="523" t="s">
        <v>136</v>
      </c>
      <c r="BU72" s="525"/>
      <c r="BV72" s="943">
        <f>SUM(BV9:BV70)</f>
        <v>8</v>
      </c>
      <c r="BW72" s="943">
        <f t="shared" ref="BW72:BZ72" si="2">SUM(BW9:BW70)</f>
        <v>7</v>
      </c>
      <c r="BX72" s="943">
        <f t="shared" si="2"/>
        <v>5</v>
      </c>
      <c r="BY72" s="943">
        <f t="shared" si="2"/>
        <v>4</v>
      </c>
      <c r="BZ72" s="943">
        <f t="shared" si="2"/>
        <v>1</v>
      </c>
      <c r="CA72" s="5"/>
      <c r="CB72" s="5"/>
      <c r="CC72" s="5"/>
      <c r="CD72" s="5"/>
      <c r="CE72" s="763">
        <f>SUM(CE9:CE70)</f>
        <v>25</v>
      </c>
      <c r="CF72" s="762">
        <f>SUM(CF9:CF70)</f>
        <v>865</v>
      </c>
      <c r="CG72" s="3"/>
      <c r="CH72" s="3"/>
      <c r="CI72" s="3"/>
      <c r="CJ72" s="762">
        <f>SUM(CJ9:CJ70)</f>
        <v>0</v>
      </c>
      <c r="CK72" s="762">
        <f>SUM(CK9:CK70)</f>
        <v>830</v>
      </c>
      <c r="CL72" s="762">
        <f>SUM(CL9:CM70)</f>
        <v>35</v>
      </c>
      <c r="CM72" s="3"/>
      <c r="CN72" s="3"/>
    </row>
    <row r="73" spans="3:106" ht="15.95" customHeight="1" thickBot="1">
      <c r="C73" s="684"/>
      <c r="D73" s="547" t="s">
        <v>318</v>
      </c>
      <c r="E73" s="548"/>
      <c r="F73" s="549"/>
      <c r="G73" s="569"/>
      <c r="H73" s="571"/>
      <c r="I73" s="557"/>
      <c r="J73" s="557"/>
      <c r="K73" s="649">
        <f>I73+J73</f>
        <v>0</v>
      </c>
      <c r="L73" s="693">
        <f>G73*K73</f>
        <v>0</v>
      </c>
      <c r="M73" s="519">
        <f>H73*K73</f>
        <v>0</v>
      </c>
      <c r="N73" s="684"/>
      <c r="O73" s="547" t="s">
        <v>318</v>
      </c>
      <c r="P73" s="548"/>
      <c r="Q73" s="549"/>
      <c r="R73" s="569"/>
      <c r="S73" s="571"/>
      <c r="T73" s="557"/>
      <c r="U73" s="557"/>
      <c r="V73" s="649">
        <f>T73+U73</f>
        <v>0</v>
      </c>
      <c r="W73" s="693">
        <f>R73*V73</f>
        <v>0</v>
      </c>
      <c r="X73" s="519">
        <f>S73*V73</f>
        <v>0</v>
      </c>
      <c r="Y73" s="684"/>
      <c r="Z73" s="547" t="s">
        <v>318</v>
      </c>
      <c r="AA73" s="548"/>
      <c r="AB73" s="549"/>
      <c r="AC73" s="569"/>
      <c r="AD73" s="571"/>
      <c r="AE73" s="557"/>
      <c r="AF73" s="557"/>
      <c r="AG73" s="649">
        <f>AE73+AF73</f>
        <v>0</v>
      </c>
      <c r="AH73" s="693">
        <f>AC73*AG73</f>
        <v>0</v>
      </c>
      <c r="AI73" s="519">
        <f>AD73*AG73</f>
        <v>0</v>
      </c>
      <c r="BT73" s="526"/>
      <c r="BU73" s="528"/>
      <c r="BV73" s="942"/>
      <c r="BW73" s="942"/>
      <c r="BX73" s="942"/>
      <c r="BY73" s="942"/>
      <c r="BZ73" s="942"/>
      <c r="CA73" s="5"/>
      <c r="CB73" s="5"/>
      <c r="CC73" s="5"/>
      <c r="CD73" s="5"/>
      <c r="CE73" s="761"/>
      <c r="CF73" s="761"/>
      <c r="CG73" s="3"/>
      <c r="CH73" s="3"/>
      <c r="CI73" s="3"/>
      <c r="CJ73" s="761"/>
      <c r="CK73" s="761"/>
      <c r="CL73" s="761"/>
      <c r="CM73" s="3"/>
      <c r="CN73" s="3"/>
    </row>
    <row r="74" spans="3:106" ht="15.95" customHeight="1" thickBot="1">
      <c r="C74" s="685"/>
      <c r="D74" s="550"/>
      <c r="E74" s="551"/>
      <c r="F74" s="552"/>
      <c r="G74" s="698"/>
      <c r="H74" s="699"/>
      <c r="I74" s="668"/>
      <c r="J74" s="668"/>
      <c r="K74" s="657"/>
      <c r="L74" s="657"/>
      <c r="M74" s="657"/>
      <c r="N74" s="685"/>
      <c r="O74" s="550"/>
      <c r="P74" s="551"/>
      <c r="Q74" s="552"/>
      <c r="R74" s="698"/>
      <c r="S74" s="699"/>
      <c r="T74" s="668"/>
      <c r="U74" s="668"/>
      <c r="V74" s="657"/>
      <c r="W74" s="657"/>
      <c r="X74" s="657"/>
      <c r="Y74" s="685"/>
      <c r="Z74" s="550"/>
      <c r="AA74" s="551"/>
      <c r="AB74" s="552"/>
      <c r="AC74" s="698"/>
      <c r="AD74" s="699"/>
      <c r="AE74" s="668"/>
      <c r="AF74" s="668"/>
      <c r="AG74" s="657"/>
      <c r="AH74" s="657"/>
      <c r="AI74" s="657"/>
      <c r="BT74" s="523" t="s">
        <v>137</v>
      </c>
      <c r="BU74" s="525"/>
      <c r="BV74" s="941">
        <f>BV5-BV72</f>
        <v>0</v>
      </c>
      <c r="BW74" s="941">
        <f>BW5-BW72</f>
        <v>0</v>
      </c>
      <c r="BX74" s="941">
        <f>BX5-BX72</f>
        <v>0</v>
      </c>
      <c r="BY74" s="944">
        <f>BY5-BY72</f>
        <v>0</v>
      </c>
      <c r="BZ74" s="941">
        <f>BZ5-BZ72</f>
        <v>0</v>
      </c>
      <c r="CA74" s="5"/>
      <c r="CB74" s="5"/>
      <c r="CC74" s="5"/>
      <c r="CD74" s="5"/>
      <c r="CE74" s="763">
        <f>CE5-CE72</f>
        <v>0</v>
      </c>
      <c r="CF74" s="5"/>
      <c r="CG74" s="3"/>
      <c r="CH74" s="3"/>
      <c r="CI74" s="3"/>
      <c r="CJ74" s="3"/>
      <c r="CK74" s="474">
        <f>CJ72+CK72+CL72</f>
        <v>865</v>
      </c>
      <c r="CL74" s="3"/>
      <c r="CM74" s="3"/>
      <c r="CN74" s="3"/>
    </row>
    <row r="75" spans="3:106" ht="15.95" customHeight="1" thickBot="1">
      <c r="G75" s="3"/>
      <c r="H75" s="3"/>
      <c r="I75" s="660">
        <f>SUM(I45:I74)</f>
        <v>0</v>
      </c>
      <c r="J75" s="660">
        <f>SUM(J45:J74)</f>
        <v>0</v>
      </c>
      <c r="K75" s="660">
        <f>SUM(K45:K74)</f>
        <v>0</v>
      </c>
      <c r="L75" s="696">
        <f>SUM(L45:L74)</f>
        <v>0</v>
      </c>
      <c r="M75" s="662">
        <f>SUM(M45:M74)</f>
        <v>0</v>
      </c>
      <c r="R75" s="3"/>
      <c r="S75" s="3"/>
      <c r="T75" s="660">
        <f>SUM(T45:T74)</f>
        <v>0</v>
      </c>
      <c r="U75" s="660">
        <f>SUM(U45:U74)</f>
        <v>0</v>
      </c>
      <c r="V75" s="660">
        <f>SUM(V45:V74)</f>
        <v>0</v>
      </c>
      <c r="W75" s="696">
        <f>SUM(W45:W74)</f>
        <v>0</v>
      </c>
      <c r="X75" s="662">
        <f>SUM(X45:X74)</f>
        <v>0</v>
      </c>
      <c r="AC75" s="3"/>
      <c r="AD75" s="3"/>
      <c r="AE75" s="660">
        <f>SUM(AE45:AE74)</f>
        <v>0</v>
      </c>
      <c r="AF75" s="660">
        <f>SUM(AF45:AF74)</f>
        <v>0</v>
      </c>
      <c r="AG75" s="660">
        <f>SUM(AG45:AG74)</f>
        <v>0</v>
      </c>
      <c r="AH75" s="696">
        <f>SUM(AH45:AH74)</f>
        <v>0</v>
      </c>
      <c r="AI75" s="662">
        <f>SUM(AI45:AI74)</f>
        <v>0</v>
      </c>
      <c r="BT75" s="526"/>
      <c r="BU75" s="528"/>
      <c r="BV75" s="942"/>
      <c r="BW75" s="942"/>
      <c r="BX75" s="942"/>
      <c r="BY75" s="945"/>
      <c r="BZ75" s="942"/>
      <c r="CA75" s="5"/>
      <c r="CB75" s="5"/>
      <c r="CC75" s="5"/>
      <c r="CD75" s="5"/>
      <c r="CE75" s="761"/>
      <c r="CF75" s="5"/>
      <c r="CG75" s="3"/>
      <c r="CH75" s="3"/>
      <c r="CI75" s="3"/>
      <c r="CJ75" s="3"/>
      <c r="CK75" s="764"/>
      <c r="CL75" s="3"/>
      <c r="CM75" s="3"/>
      <c r="CN75" s="3"/>
    </row>
    <row r="76" spans="3:106" ht="15.95" customHeight="1" thickBot="1">
      <c r="G76" s="3"/>
      <c r="H76" s="3"/>
      <c r="I76" s="661"/>
      <c r="J76" s="661"/>
      <c r="K76" s="661"/>
      <c r="L76" s="661"/>
      <c r="M76" s="697"/>
      <c r="R76" s="3"/>
      <c r="S76" s="3"/>
      <c r="T76" s="661"/>
      <c r="U76" s="661"/>
      <c r="V76" s="661"/>
      <c r="W76" s="661"/>
      <c r="X76" s="697"/>
      <c r="AC76" s="3"/>
      <c r="AD76" s="3"/>
      <c r="AE76" s="661"/>
      <c r="AF76" s="661"/>
      <c r="AG76" s="661"/>
      <c r="AH76" s="661"/>
      <c r="AI76" s="697"/>
      <c r="BV76" s="3"/>
      <c r="BW76" s="3"/>
      <c r="BX76" s="3"/>
      <c r="BY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3:106" ht="15.95" customHeight="1" thickBot="1">
      <c r="BV77" s="3"/>
      <c r="BW77" s="3"/>
      <c r="BX77" s="3"/>
      <c r="BY77" s="3"/>
      <c r="CA77" s="3"/>
      <c r="CB77" s="3"/>
      <c r="CC77" s="3"/>
      <c r="CD77" s="3"/>
      <c r="CE77" s="3"/>
      <c r="CF77" s="3"/>
      <c r="CG77" s="3"/>
      <c r="CH77" s="533" t="s">
        <v>98</v>
      </c>
      <c r="CI77" s="534"/>
      <c r="CJ77" s="534"/>
      <c r="CK77" s="534"/>
      <c r="CL77" s="535"/>
      <c r="CM77" s="488">
        <f>CK74</f>
        <v>865</v>
      </c>
      <c r="CN77" s="489"/>
    </row>
    <row r="78" spans="3:106" ht="15.95" customHeight="1" thickBot="1">
      <c r="BT78" s="523" t="s">
        <v>136</v>
      </c>
      <c r="BU78" s="525"/>
      <c r="BV78" s="763">
        <f>CE72</f>
        <v>25</v>
      </c>
      <c r="BW78" s="3"/>
      <c r="BX78" s="3"/>
      <c r="BY78" s="3"/>
      <c r="CA78" s="3"/>
      <c r="CB78" s="3"/>
      <c r="CC78" s="3"/>
      <c r="CD78" s="3"/>
      <c r="CE78" s="3"/>
      <c r="CF78" s="3"/>
      <c r="CG78" s="3"/>
      <c r="CH78" s="536"/>
      <c r="CI78" s="537"/>
      <c r="CJ78" s="537"/>
      <c r="CK78" s="537"/>
      <c r="CL78" s="538"/>
      <c r="CM78" s="490"/>
      <c r="CN78" s="491"/>
    </row>
    <row r="79" spans="3:106" ht="15.95" customHeight="1" thickBot="1">
      <c r="BT79" s="526"/>
      <c r="BU79" s="528"/>
      <c r="BV79" s="761"/>
      <c r="BW79" s="3"/>
      <c r="BX79" s="3"/>
      <c r="BY79" s="3"/>
      <c r="CA79" s="3"/>
      <c r="CB79" s="3"/>
      <c r="CC79" s="3"/>
      <c r="CD79" s="3"/>
      <c r="CE79" s="3"/>
      <c r="CF79" s="3"/>
      <c r="CG79" s="3"/>
      <c r="CM79" s="1"/>
      <c r="CN79" s="1"/>
    </row>
    <row r="80" spans="3:106" ht="15.95" customHeight="1">
      <c r="BT80" s="523" t="s">
        <v>137</v>
      </c>
      <c r="BU80" s="525"/>
      <c r="BV80" s="763">
        <f>CE74</f>
        <v>0</v>
      </c>
      <c r="BW80" s="3"/>
      <c r="BX80" s="3"/>
      <c r="BY80" s="3"/>
      <c r="CA80" s="3"/>
      <c r="CB80" s="3"/>
      <c r="CC80" s="3"/>
      <c r="CD80" s="3"/>
      <c r="CE80" s="3"/>
      <c r="CF80" s="3"/>
      <c r="CG80" s="3"/>
      <c r="CH80" s="583" t="s">
        <v>278</v>
      </c>
      <c r="CI80" s="594"/>
      <c r="CJ80" s="594"/>
      <c r="CK80" s="594"/>
      <c r="CL80" s="584"/>
      <c r="CM80" s="427">
        <f>BN6</f>
        <v>578.11</v>
      </c>
      <c r="CN80" s="428"/>
    </row>
    <row r="81" spans="4:92" ht="15.95" customHeight="1" thickBot="1">
      <c r="BT81" s="526"/>
      <c r="BU81" s="528"/>
      <c r="BV81" s="761"/>
      <c r="BW81" s="3"/>
      <c r="BX81" s="3"/>
      <c r="BY81" s="3"/>
      <c r="CA81" s="3"/>
      <c r="CB81" s="3"/>
      <c r="CC81" s="3"/>
      <c r="CD81" s="3"/>
      <c r="CE81" s="3"/>
      <c r="CF81" s="3"/>
      <c r="CG81" s="3"/>
      <c r="CH81" s="529"/>
      <c r="CI81" s="530"/>
      <c r="CJ81" s="530"/>
      <c r="CK81" s="530"/>
      <c r="CL81" s="531"/>
      <c r="CM81" s="429"/>
      <c r="CN81" s="430"/>
    </row>
    <row r="82" spans="4:92" ht="15.95" customHeight="1">
      <c r="CH82" s="529" t="s">
        <v>141</v>
      </c>
      <c r="CI82" s="530"/>
      <c r="CJ82" s="530"/>
      <c r="CK82" s="530"/>
      <c r="CL82" s="531"/>
      <c r="CM82" s="532">
        <f>BN8</f>
        <v>212.715</v>
      </c>
      <c r="CN82" s="430"/>
    </row>
    <row r="83" spans="4:92" ht="15.95" customHeight="1">
      <c r="CH83" s="529"/>
      <c r="CI83" s="530"/>
      <c r="CJ83" s="530"/>
      <c r="CK83" s="530"/>
      <c r="CL83" s="531"/>
      <c r="CM83" s="429"/>
      <c r="CN83" s="430"/>
    </row>
    <row r="84" spans="4:92" ht="15.95" customHeight="1">
      <c r="O84" t="s">
        <v>392</v>
      </c>
      <c r="P84" t="s">
        <v>393</v>
      </c>
      <c r="Q84" t="s">
        <v>394</v>
      </c>
      <c r="CH84" s="529"/>
      <c r="CI84" s="530"/>
      <c r="CJ84" s="530"/>
      <c r="CK84" s="530"/>
      <c r="CL84" s="531"/>
      <c r="CM84" s="532"/>
      <c r="CN84" s="430"/>
    </row>
    <row r="85" spans="4:92" ht="15.95" customHeight="1">
      <c r="G85" s="10"/>
      <c r="H85" s="10"/>
      <c r="I85" s="10"/>
      <c r="J85" s="10"/>
      <c r="K85" s="10"/>
      <c r="L85" s="10"/>
      <c r="N85" s="32" t="s">
        <v>395</v>
      </c>
      <c r="O85">
        <v>2</v>
      </c>
      <c r="P85">
        <v>1</v>
      </c>
      <c r="Q85">
        <f>O85+P85</f>
        <v>3</v>
      </c>
      <c r="S85" s="33">
        <v>17.5</v>
      </c>
      <c r="T85" s="6">
        <f>W86/2</f>
        <v>-5.1289425000000222</v>
      </c>
      <c r="U85" s="33">
        <f>S85-T85</f>
        <v>22.628942500000022</v>
      </c>
      <c r="V85" s="6">
        <f>29*S15</f>
        <v>297.47866499999998</v>
      </c>
      <c r="AC85" s="10"/>
      <c r="AD85" s="10"/>
      <c r="AE85" s="10"/>
      <c r="AF85" s="10"/>
      <c r="AG85" s="10"/>
      <c r="AH85" s="10"/>
      <c r="AI85" s="10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I85" s="13"/>
      <c r="BJ85" s="13"/>
      <c r="BK85" s="13"/>
      <c r="BL85" s="13"/>
      <c r="BM85" s="13"/>
      <c r="BN85" s="14"/>
      <c r="BO85" s="1"/>
      <c r="CH85" s="529"/>
      <c r="CI85" s="530"/>
      <c r="CJ85" s="530"/>
      <c r="CK85" s="530"/>
      <c r="CL85" s="531"/>
      <c r="CM85" s="429"/>
      <c r="CN85" s="430"/>
    </row>
    <row r="86" spans="4:92" ht="15.95" customHeight="1">
      <c r="G86" s="10"/>
      <c r="H86" s="10"/>
      <c r="I86" s="10"/>
      <c r="J86" s="10"/>
      <c r="K86" s="10"/>
      <c r="L86" s="10"/>
      <c r="N86" s="32" t="s">
        <v>118</v>
      </c>
      <c r="O86">
        <v>3</v>
      </c>
      <c r="P86">
        <v>2</v>
      </c>
      <c r="Q86">
        <f>O86+P86</f>
        <v>5</v>
      </c>
      <c r="V86" s="31">
        <f>30*S15</f>
        <v>307.73655000000002</v>
      </c>
      <c r="W86" s="6">
        <f>V85-V86</f>
        <v>-10.257885000000044</v>
      </c>
      <c r="AC86" s="10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I86" s="13"/>
      <c r="BJ86" s="13"/>
      <c r="BK86" s="13"/>
      <c r="BL86" s="13"/>
      <c r="BM86" s="13"/>
      <c r="BN86" s="1"/>
      <c r="BO86" s="1"/>
      <c r="CH86" s="529"/>
      <c r="CI86" s="530"/>
      <c r="CJ86" s="530"/>
      <c r="CK86" s="530"/>
      <c r="CL86" s="531"/>
      <c r="CM86" s="532"/>
      <c r="CN86" s="430"/>
    </row>
    <row r="87" spans="4:92" ht="15.95" customHeight="1">
      <c r="G87" s="5"/>
      <c r="H87" s="5"/>
      <c r="I87" s="5"/>
      <c r="J87" s="5"/>
      <c r="K87" s="5"/>
      <c r="L87" s="5"/>
      <c r="N87" s="32" t="s">
        <v>13</v>
      </c>
      <c r="O87">
        <v>18</v>
      </c>
      <c r="P87">
        <v>10</v>
      </c>
      <c r="Q87">
        <f>O87-U15+P87-U21</f>
        <v>15</v>
      </c>
      <c r="Y87">
        <f>59/2</f>
        <v>29.5</v>
      </c>
      <c r="AC87" s="5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N87" s="1"/>
      <c r="BO87" s="1"/>
      <c r="CH87" s="529"/>
      <c r="CI87" s="530"/>
      <c r="CJ87" s="530"/>
      <c r="CK87" s="530"/>
      <c r="CL87" s="531"/>
      <c r="CM87" s="429"/>
      <c r="CN87" s="430"/>
    </row>
    <row r="88" spans="4:92" ht="15.95" customHeight="1">
      <c r="G88" s="5"/>
      <c r="H88" s="5"/>
      <c r="I88" s="5"/>
      <c r="J88" s="5"/>
      <c r="K88" s="5"/>
      <c r="L88" s="5"/>
      <c r="N88" s="32" t="s">
        <v>16</v>
      </c>
      <c r="O88">
        <v>14</v>
      </c>
      <c r="P88">
        <v>9</v>
      </c>
      <c r="Q88">
        <f>O88-T15+P88-T21</f>
        <v>8</v>
      </c>
      <c r="AC88" s="5"/>
      <c r="AD88" s="5"/>
      <c r="AE88" s="5"/>
      <c r="AF88" s="5"/>
      <c r="AG88" s="5"/>
      <c r="AH88" s="5"/>
      <c r="AI88" s="5"/>
      <c r="AL88" s="35"/>
      <c r="AM88" s="36"/>
      <c r="AN88" s="36"/>
      <c r="AO88" s="37"/>
      <c r="AP88" s="36"/>
      <c r="AQ88" s="36"/>
      <c r="AR88" s="38"/>
      <c r="AS88" s="38"/>
      <c r="AT88" s="38"/>
      <c r="AU88" s="35"/>
      <c r="AV88" s="36"/>
      <c r="AW88" s="36"/>
      <c r="AX88" s="36"/>
      <c r="AY88" s="36"/>
      <c r="AZ88" s="36"/>
      <c r="BA88" s="36"/>
      <c r="BB88" s="36"/>
      <c r="BC88" s="36"/>
      <c r="BD88" s="37"/>
      <c r="BE88" s="37"/>
      <c r="BF88" s="37"/>
      <c r="BI88" s="23"/>
      <c r="BJ88" s="23"/>
      <c r="BK88" s="23"/>
      <c r="BL88" s="23"/>
      <c r="BM88" s="23"/>
      <c r="BN88" s="14"/>
      <c r="BO88" s="1"/>
      <c r="CH88" s="529"/>
      <c r="CI88" s="530"/>
      <c r="CJ88" s="530"/>
      <c r="CK88" s="530"/>
      <c r="CL88" s="531"/>
      <c r="CM88" s="532"/>
      <c r="CN88" s="430"/>
    </row>
    <row r="89" spans="4:92" ht="15.95" customHeight="1">
      <c r="D89" s="10"/>
      <c r="E89" s="10"/>
      <c r="F89" s="10"/>
      <c r="G89" s="15"/>
      <c r="H89" s="15"/>
      <c r="I89" s="5"/>
      <c r="J89" s="5"/>
      <c r="K89" s="5"/>
      <c r="L89" s="17"/>
      <c r="Q89">
        <f>SUM(Q85:Q88)</f>
        <v>31</v>
      </c>
      <c r="U89">
        <f>Q89*35</f>
        <v>1085</v>
      </c>
      <c r="AC89" s="17"/>
      <c r="AD89" s="18"/>
      <c r="AE89" s="5"/>
      <c r="AF89" s="5"/>
      <c r="AG89" s="5"/>
      <c r="AH89" s="15"/>
      <c r="AI89" s="18"/>
      <c r="AL89" s="36"/>
      <c r="AM89" s="36"/>
      <c r="AN89" s="36"/>
      <c r="AO89" s="36"/>
      <c r="AP89" s="36"/>
      <c r="AQ89" s="36"/>
      <c r="AR89" s="38"/>
      <c r="AS89" s="38"/>
      <c r="AT89" s="38"/>
      <c r="AU89" s="36"/>
      <c r="AV89" s="36"/>
      <c r="AW89" s="36"/>
      <c r="AX89" s="36"/>
      <c r="AY89" s="36"/>
      <c r="AZ89" s="36"/>
      <c r="BA89" s="36"/>
      <c r="BB89" s="36"/>
      <c r="BC89" s="36"/>
      <c r="BD89" s="37"/>
      <c r="BE89" s="37"/>
      <c r="BF89" s="37"/>
      <c r="BI89" s="23"/>
      <c r="BJ89" s="23"/>
      <c r="BK89" s="23"/>
      <c r="BL89" s="23"/>
      <c r="BM89" s="23"/>
      <c r="BN89" s="1"/>
      <c r="BO89" s="1"/>
      <c r="CH89" s="529"/>
      <c r="CI89" s="530"/>
      <c r="CJ89" s="530"/>
      <c r="CK89" s="530"/>
      <c r="CL89" s="531"/>
      <c r="CM89" s="429"/>
      <c r="CN89" s="430"/>
    </row>
    <row r="90" spans="4:92" ht="15.95" customHeight="1">
      <c r="D90" s="10"/>
      <c r="E90" s="10"/>
      <c r="F90" s="10"/>
      <c r="G90" s="15"/>
      <c r="H90" s="15"/>
      <c r="I90" s="5"/>
      <c r="J90" s="5"/>
      <c r="K90" s="5"/>
      <c r="L90" s="5"/>
      <c r="S90" s="30">
        <f>211.75/59</f>
        <v>3.5889830508474576</v>
      </c>
      <c r="T90">
        <f>S90*29</f>
        <v>104.08050847457628</v>
      </c>
      <c r="U90">
        <f>29*35</f>
        <v>1015</v>
      </c>
      <c r="AC90" s="17"/>
      <c r="AD90" s="18"/>
      <c r="AE90" s="5"/>
      <c r="AF90" s="5"/>
      <c r="AG90" s="5"/>
      <c r="AH90" s="15"/>
      <c r="AI90" s="5"/>
      <c r="AL90" s="36"/>
      <c r="AM90" s="36"/>
      <c r="AN90" s="36"/>
      <c r="AO90" s="36"/>
      <c r="AP90" s="36"/>
      <c r="AQ90" s="36"/>
      <c r="AR90" s="38"/>
      <c r="AS90" s="38"/>
      <c r="AT90" s="38"/>
      <c r="AU90" s="36"/>
      <c r="AV90" s="36"/>
      <c r="AW90" s="36"/>
      <c r="AX90" s="36"/>
      <c r="AY90" s="36"/>
      <c r="AZ90" s="36"/>
      <c r="BA90" s="36"/>
      <c r="BB90" s="36"/>
      <c r="BC90" s="36"/>
      <c r="BD90" s="37"/>
      <c r="BE90" s="37"/>
      <c r="BF90" s="37"/>
      <c r="BI90" s="23"/>
      <c r="BJ90" s="23"/>
      <c r="BK90" s="23"/>
      <c r="BL90" s="23"/>
      <c r="BM90" s="23"/>
      <c r="BN90" s="14"/>
      <c r="BO90" s="1"/>
      <c r="CH90" s="529"/>
      <c r="CI90" s="530"/>
      <c r="CJ90" s="530"/>
      <c r="CK90" s="530"/>
      <c r="CL90" s="531"/>
      <c r="CM90" s="532"/>
      <c r="CN90" s="600"/>
    </row>
    <row r="91" spans="4:92" ht="15.95" customHeight="1" thickBot="1">
      <c r="D91" s="10"/>
      <c r="E91" s="10"/>
      <c r="F91" s="10"/>
      <c r="G91" s="15"/>
      <c r="H91" s="15"/>
      <c r="I91" s="5"/>
      <c r="J91" s="5"/>
      <c r="K91" s="5"/>
      <c r="L91" s="17"/>
      <c r="AC91" s="17"/>
      <c r="AD91" s="18"/>
      <c r="AE91" s="5"/>
      <c r="AF91" s="5"/>
      <c r="AG91" s="5"/>
      <c r="AH91" s="17"/>
      <c r="AI91" s="18"/>
      <c r="BI91" s="23"/>
      <c r="BJ91" s="23"/>
      <c r="BK91" s="23"/>
      <c r="BL91" s="23"/>
      <c r="BM91" s="23"/>
      <c r="BN91" s="1"/>
      <c r="BO91" s="1"/>
      <c r="CH91" s="585"/>
      <c r="CI91" s="595"/>
      <c r="CJ91" s="595"/>
      <c r="CK91" s="595"/>
      <c r="CL91" s="586"/>
      <c r="CM91" s="601"/>
      <c r="CN91" s="602"/>
    </row>
    <row r="92" spans="4:92" ht="15.95" customHeight="1">
      <c r="D92" s="10"/>
      <c r="E92" s="10"/>
      <c r="F92" s="10"/>
      <c r="G92" s="15"/>
      <c r="H92" s="15"/>
      <c r="I92" s="5"/>
      <c r="J92" s="5"/>
      <c r="K92" s="5"/>
      <c r="L92" s="5"/>
      <c r="AC92" s="17"/>
      <c r="AD92" s="18"/>
      <c r="AE92" s="5"/>
      <c r="AF92" s="5"/>
      <c r="AG92" s="5"/>
      <c r="AH92" s="5"/>
      <c r="AI92" s="5"/>
      <c r="BI92" s="23"/>
      <c r="BJ92" s="23"/>
      <c r="BK92" s="23"/>
      <c r="BL92" s="23"/>
      <c r="BM92" s="23"/>
      <c r="BN92" s="14"/>
      <c r="BO92" s="1"/>
      <c r="CH92" s="617" t="s">
        <v>145</v>
      </c>
      <c r="CI92" s="618"/>
      <c r="CJ92" s="618"/>
      <c r="CK92" s="618"/>
      <c r="CL92" s="619"/>
      <c r="CM92" s="623">
        <f>SUM(CM80:CN91)</f>
        <v>790.82500000000005</v>
      </c>
      <c r="CN92" s="624"/>
    </row>
    <row r="93" spans="4:92" ht="15.95" customHeight="1" thickBot="1">
      <c r="D93" s="10"/>
      <c r="E93" s="10"/>
      <c r="F93" s="10"/>
      <c r="G93" s="15"/>
      <c r="H93" s="15"/>
      <c r="I93" s="5"/>
      <c r="J93" s="5"/>
      <c r="K93" s="5"/>
      <c r="L93" s="17"/>
      <c r="M93" s="18"/>
      <c r="O93" s="10"/>
      <c r="P93" s="10"/>
      <c r="Q93" s="10"/>
      <c r="R93" s="26"/>
      <c r="S93" s="18"/>
      <c r="T93" s="5"/>
      <c r="U93" s="5"/>
      <c r="V93" s="5"/>
      <c r="W93" s="17"/>
      <c r="X93" s="18"/>
      <c r="Z93" s="10"/>
      <c r="AA93" s="10"/>
      <c r="AB93" s="10"/>
      <c r="AC93" s="17"/>
      <c r="AD93" s="18"/>
      <c r="AE93" s="5"/>
      <c r="AF93" s="5"/>
      <c r="AG93" s="5"/>
      <c r="AH93" s="17"/>
      <c r="AI93" s="18"/>
      <c r="BI93" s="23"/>
      <c r="BJ93" s="23"/>
      <c r="BK93" s="23"/>
      <c r="BL93" s="23"/>
      <c r="BM93" s="23"/>
      <c r="BN93" s="1"/>
      <c r="BO93" s="1"/>
      <c r="CH93" s="620"/>
      <c r="CI93" s="621"/>
      <c r="CJ93" s="621"/>
      <c r="CK93" s="621"/>
      <c r="CL93" s="622"/>
      <c r="CM93" s="625"/>
      <c r="CN93" s="626"/>
    </row>
    <row r="94" spans="4:92" ht="15.95" customHeight="1" thickBot="1">
      <c r="D94" s="10"/>
      <c r="E94" s="10"/>
      <c r="F94" s="10"/>
      <c r="G94" s="15"/>
      <c r="H94" s="15"/>
      <c r="I94" s="5"/>
      <c r="J94" s="5"/>
      <c r="K94" s="5"/>
      <c r="L94" s="5"/>
      <c r="M94" s="5"/>
      <c r="O94" s="10"/>
      <c r="P94" s="10"/>
      <c r="Q94" s="10"/>
      <c r="R94" s="26"/>
      <c r="S94" s="18"/>
      <c r="T94" s="5"/>
      <c r="U94" s="5"/>
      <c r="V94" s="5"/>
      <c r="W94" s="5"/>
      <c r="X94" s="5"/>
      <c r="Z94" s="10"/>
      <c r="AA94" s="10"/>
      <c r="AB94" s="10"/>
      <c r="AC94" s="17"/>
      <c r="AD94" s="18"/>
      <c r="AE94" s="5"/>
      <c r="AF94" s="5"/>
      <c r="AG94" s="5"/>
      <c r="AH94" s="5"/>
      <c r="AI94" s="5"/>
      <c r="AL94" s="7"/>
      <c r="AM94" s="7"/>
      <c r="AN94" s="7"/>
      <c r="AO94" s="7"/>
      <c r="AX94" s="19"/>
      <c r="AY94" s="19"/>
      <c r="AZ94" s="19"/>
      <c r="BA94" s="19"/>
      <c r="BI94" s="23"/>
      <c r="BJ94" s="23"/>
      <c r="BK94" s="23"/>
      <c r="BL94" s="23"/>
      <c r="BM94" s="23"/>
      <c r="BN94" s="14"/>
      <c r="BO94" s="1"/>
      <c r="CM94" s="1"/>
      <c r="CN94" s="1"/>
    </row>
    <row r="95" spans="4:92" ht="15.95" customHeight="1">
      <c r="D95" s="10"/>
      <c r="E95" s="10"/>
      <c r="F95" s="10"/>
      <c r="G95" s="15"/>
      <c r="H95" s="15"/>
      <c r="I95" s="5"/>
      <c r="J95" s="5"/>
      <c r="K95" s="5"/>
      <c r="L95" s="17"/>
      <c r="M95" s="18"/>
      <c r="O95" s="10"/>
      <c r="P95" s="10"/>
      <c r="Q95" s="10"/>
      <c r="R95" s="26"/>
      <c r="S95" s="18"/>
      <c r="T95" s="5"/>
      <c r="U95" s="5"/>
      <c r="V95" s="5"/>
      <c r="W95" s="17"/>
      <c r="X95" s="18"/>
      <c r="Z95" s="10"/>
      <c r="AA95" s="10"/>
      <c r="AB95" s="10"/>
      <c r="AC95" s="17"/>
      <c r="AD95" s="18"/>
      <c r="AE95" s="5"/>
      <c r="AF95" s="5"/>
      <c r="AG95" s="5"/>
      <c r="AH95" s="17"/>
      <c r="AI95" s="18"/>
      <c r="AL95" s="7"/>
      <c r="AM95" s="7"/>
      <c r="AN95" s="7"/>
      <c r="AO95" s="7"/>
      <c r="AX95" s="19"/>
      <c r="AY95" s="19"/>
      <c r="AZ95" s="19"/>
      <c r="BA95" s="19"/>
      <c r="BI95" s="23"/>
      <c r="BJ95" s="23"/>
      <c r="BK95" s="23"/>
      <c r="BL95" s="23"/>
      <c r="BM95" s="23"/>
      <c r="BN95" s="1"/>
      <c r="BO95" s="1"/>
      <c r="CH95" s="628" t="s">
        <v>295</v>
      </c>
      <c r="CI95" s="629"/>
      <c r="CJ95" s="629"/>
      <c r="CK95" s="629"/>
      <c r="CL95" s="630"/>
      <c r="CM95" s="634">
        <f>CM77-CM92</f>
        <v>74.174999999999955</v>
      </c>
      <c r="CN95" s="635"/>
    </row>
    <row r="96" spans="4:92" ht="15.95" customHeight="1" thickBot="1">
      <c r="D96" s="10"/>
      <c r="E96" s="10"/>
      <c r="F96" s="10"/>
      <c r="G96" s="15"/>
      <c r="H96" s="15"/>
      <c r="I96" s="5"/>
      <c r="J96" s="5"/>
      <c r="K96" s="5"/>
      <c r="L96" s="5"/>
      <c r="M96" s="5"/>
      <c r="O96" s="10"/>
      <c r="P96" s="10"/>
      <c r="Q96" s="10"/>
      <c r="R96" s="26"/>
      <c r="S96" s="18"/>
      <c r="T96" s="5"/>
      <c r="U96" s="5"/>
      <c r="V96" s="5"/>
      <c r="W96" s="5"/>
      <c r="X96" s="5"/>
      <c r="Z96" s="10"/>
      <c r="AA96" s="10"/>
      <c r="AB96" s="10"/>
      <c r="AC96" s="17"/>
      <c r="AD96" s="18"/>
      <c r="AE96" s="5"/>
      <c r="AF96" s="5"/>
      <c r="AG96" s="5"/>
      <c r="AH96" s="5"/>
      <c r="AI96" s="5"/>
      <c r="AL96" s="7"/>
      <c r="AM96" s="7"/>
      <c r="AN96" s="7"/>
      <c r="AO96" s="7"/>
      <c r="AP96" s="5"/>
      <c r="AQ96" s="5"/>
      <c r="AR96" s="5"/>
      <c r="AS96" s="39"/>
      <c r="AT96" s="5"/>
      <c r="AX96" s="19"/>
      <c r="AY96" s="19"/>
      <c r="AZ96" s="19"/>
      <c r="BA96" s="19"/>
      <c r="BB96" s="5"/>
      <c r="BC96" s="5"/>
      <c r="BD96" s="5"/>
      <c r="BE96" s="5"/>
      <c r="BF96" s="5"/>
      <c r="BI96" s="23"/>
      <c r="BJ96" s="23"/>
      <c r="BK96" s="23"/>
      <c r="BL96" s="23"/>
      <c r="BM96" s="23"/>
      <c r="BN96" s="14"/>
      <c r="BO96" s="1"/>
      <c r="CH96" s="631"/>
      <c r="CI96" s="632"/>
      <c r="CJ96" s="632"/>
      <c r="CK96" s="632"/>
      <c r="CL96" s="633"/>
      <c r="CM96" s="636"/>
      <c r="CN96" s="637"/>
    </row>
    <row r="97" spans="4:67" ht="15.95" customHeight="1">
      <c r="D97" s="10"/>
      <c r="E97" s="10"/>
      <c r="F97" s="10"/>
      <c r="G97" s="15"/>
      <c r="H97" s="15"/>
      <c r="I97" s="5"/>
      <c r="J97" s="5"/>
      <c r="K97" s="5"/>
      <c r="L97" s="17"/>
      <c r="M97" s="18"/>
      <c r="O97" s="10"/>
      <c r="P97" s="10"/>
      <c r="Q97" s="10"/>
      <c r="R97" s="26"/>
      <c r="S97" s="18"/>
      <c r="T97" s="5"/>
      <c r="U97" s="5"/>
      <c r="AL97" s="7"/>
      <c r="AM97" s="7"/>
      <c r="AN97" s="7"/>
      <c r="AO97" s="7"/>
      <c r="AP97" s="5"/>
      <c r="AQ97" s="5"/>
      <c r="AR97" s="5"/>
      <c r="AS97" s="39"/>
      <c r="AT97" s="5"/>
      <c r="AX97" s="19"/>
      <c r="AY97" s="19"/>
      <c r="AZ97" s="19"/>
      <c r="BA97" s="19"/>
      <c r="BB97" s="5"/>
      <c r="BC97" s="5"/>
      <c r="BD97" s="5"/>
      <c r="BE97" s="5"/>
      <c r="BF97" s="5"/>
      <c r="BI97" s="23"/>
      <c r="BJ97" s="23"/>
      <c r="BK97" s="23"/>
      <c r="BL97" s="23"/>
      <c r="BM97" s="23"/>
      <c r="BN97" s="1"/>
      <c r="BO97" s="1"/>
    </row>
    <row r="98" spans="4:67" ht="15.95" customHeight="1">
      <c r="D98" s="10"/>
      <c r="E98" s="10"/>
      <c r="F98" s="10"/>
      <c r="G98" s="15"/>
      <c r="H98" s="15"/>
      <c r="I98" s="5"/>
      <c r="J98" s="5"/>
      <c r="K98" s="5"/>
      <c r="L98" s="5"/>
      <c r="M98" s="5"/>
      <c r="O98" s="10"/>
      <c r="P98" s="10"/>
      <c r="Q98" s="10"/>
      <c r="R98" s="26"/>
      <c r="S98" s="18"/>
      <c r="T98" s="5"/>
      <c r="U98" s="5"/>
      <c r="AM98" s="10"/>
      <c r="AN98" s="10"/>
      <c r="AO98" s="10"/>
      <c r="AP98" s="11"/>
      <c r="AQ98" s="12"/>
      <c r="AR98" s="18"/>
      <c r="AS98" s="18"/>
      <c r="AT98" s="18"/>
      <c r="AY98" s="10"/>
      <c r="AZ98" s="10"/>
      <c r="BA98" s="10"/>
      <c r="BB98" s="11"/>
      <c r="BC98" s="12"/>
      <c r="BD98" s="12"/>
      <c r="BE98" s="12"/>
      <c r="BF98" s="11"/>
      <c r="BI98" s="23"/>
      <c r="BJ98" s="23"/>
      <c r="BK98" s="23"/>
      <c r="BL98" s="23"/>
      <c r="BM98" s="23"/>
      <c r="BN98" s="14"/>
      <c r="BO98" s="14"/>
    </row>
    <row r="99" spans="4:67" ht="15.95" customHeight="1">
      <c r="D99" s="10"/>
      <c r="E99" s="10"/>
      <c r="F99" s="10"/>
      <c r="G99" s="15"/>
      <c r="H99" s="15"/>
      <c r="I99" s="5"/>
      <c r="J99" s="5"/>
      <c r="K99" s="5"/>
      <c r="L99" s="17"/>
      <c r="M99" s="18"/>
      <c r="O99" s="10"/>
      <c r="P99" s="10"/>
      <c r="Q99" s="10"/>
      <c r="R99" s="26"/>
      <c r="S99" s="18"/>
      <c r="T99" s="5"/>
      <c r="U99" s="5"/>
      <c r="AM99" s="10"/>
      <c r="AN99" s="10"/>
      <c r="AO99" s="10"/>
      <c r="AP99" s="11"/>
      <c r="AQ99" s="12"/>
      <c r="AR99" s="18"/>
      <c r="AS99" s="18"/>
      <c r="AT99" s="18"/>
      <c r="AY99" s="10"/>
      <c r="AZ99" s="10"/>
      <c r="BA99" s="10"/>
      <c r="BB99" s="11"/>
      <c r="BC99" s="12"/>
      <c r="BD99" s="12"/>
      <c r="BE99" s="12"/>
      <c r="BF99" s="11"/>
      <c r="BI99" s="23"/>
      <c r="BJ99" s="23"/>
      <c r="BK99" s="23"/>
      <c r="BL99" s="23"/>
      <c r="BM99" s="23"/>
      <c r="BN99" s="14"/>
      <c r="BO99" s="14"/>
    </row>
    <row r="100" spans="4:67" ht="15.95" customHeight="1">
      <c r="D100" s="10"/>
      <c r="E100" s="10"/>
      <c r="F100" s="10"/>
      <c r="G100" s="15"/>
      <c r="H100" s="15"/>
      <c r="I100" s="5"/>
      <c r="J100" s="5"/>
      <c r="K100" s="5"/>
      <c r="L100" s="5"/>
      <c r="M100" s="5"/>
      <c r="O100" s="10"/>
      <c r="P100" s="10"/>
      <c r="Q100" s="10"/>
      <c r="R100" s="26"/>
      <c r="S100" s="18"/>
      <c r="T100" s="5"/>
      <c r="U100" s="5"/>
      <c r="AM100" s="10"/>
      <c r="AN100" s="10"/>
      <c r="AO100" s="10"/>
      <c r="AP100" s="11"/>
      <c r="AQ100" s="12"/>
      <c r="AR100" s="18"/>
      <c r="AS100" s="18"/>
      <c r="AT100" s="18"/>
      <c r="AY100" s="10"/>
      <c r="AZ100" s="10"/>
      <c r="BA100" s="10"/>
      <c r="BB100" s="11"/>
      <c r="BC100" s="5"/>
      <c r="BD100" s="5"/>
      <c r="BE100" s="12"/>
      <c r="BF100" s="11"/>
      <c r="BI100" s="13"/>
      <c r="BJ100" s="13"/>
      <c r="BK100" s="13"/>
      <c r="BL100" s="13"/>
      <c r="BM100" s="13"/>
      <c r="BN100" s="14"/>
      <c r="BO100" s="1"/>
    </row>
    <row r="101" spans="4:67" ht="15.95" customHeight="1">
      <c r="D101" s="10"/>
      <c r="E101" s="10"/>
      <c r="F101" s="10"/>
      <c r="G101" s="15"/>
      <c r="H101" s="15"/>
      <c r="I101" s="5"/>
      <c r="J101" s="5"/>
      <c r="K101" s="5"/>
      <c r="L101" s="17"/>
      <c r="M101" s="18"/>
      <c r="O101" s="10"/>
      <c r="P101" s="10"/>
      <c r="Q101" s="10"/>
      <c r="R101" s="26"/>
      <c r="S101" s="18"/>
      <c r="T101" s="5"/>
      <c r="U101" s="5"/>
      <c r="AM101" s="10"/>
      <c r="AN101" s="10"/>
      <c r="AO101" s="10"/>
      <c r="AP101" s="11"/>
      <c r="AQ101" s="12"/>
      <c r="AR101" s="18"/>
      <c r="AS101" s="18"/>
      <c r="AT101" s="18"/>
      <c r="AY101" s="10"/>
      <c r="AZ101" s="10"/>
      <c r="BA101" s="10"/>
      <c r="BB101" s="11"/>
      <c r="BC101" s="5"/>
      <c r="BD101" s="5"/>
      <c r="BE101" s="12"/>
      <c r="BF101" s="11"/>
      <c r="BI101" s="13"/>
      <c r="BJ101" s="13"/>
      <c r="BK101" s="13"/>
      <c r="BL101" s="13"/>
      <c r="BM101" s="13"/>
      <c r="BN101" s="1"/>
      <c r="BO101" s="1"/>
    </row>
    <row r="102" spans="4:67" ht="15.95" customHeight="1">
      <c r="D102" s="10"/>
      <c r="E102" s="10"/>
      <c r="F102" s="10"/>
      <c r="G102" s="15"/>
      <c r="H102" s="15"/>
      <c r="I102" s="5"/>
      <c r="J102" s="5"/>
      <c r="K102" s="5"/>
      <c r="L102" s="5"/>
      <c r="M102" s="5"/>
      <c r="O102" s="10"/>
      <c r="P102" s="10"/>
      <c r="Q102" s="10"/>
      <c r="R102" s="26"/>
      <c r="S102" s="18"/>
      <c r="T102" s="5"/>
      <c r="U102" s="5"/>
      <c r="AM102" s="10"/>
      <c r="AN102" s="10"/>
      <c r="AO102" s="10"/>
      <c r="AP102" s="18"/>
      <c r="AQ102" s="12"/>
      <c r="AR102" s="5"/>
      <c r="AS102" s="18"/>
      <c r="AT102" s="18"/>
      <c r="AV102" s="6"/>
      <c r="AY102" s="10"/>
      <c r="AZ102" s="10"/>
      <c r="BA102" s="10"/>
      <c r="BB102" s="11"/>
      <c r="BC102" s="5"/>
      <c r="BD102" s="5"/>
      <c r="BE102" s="12"/>
      <c r="BF102" s="11"/>
      <c r="BN102" s="1"/>
      <c r="BO102" s="1"/>
    </row>
    <row r="103" spans="4:67" ht="15.95" customHeight="1">
      <c r="D103" s="10"/>
      <c r="E103" s="10"/>
      <c r="F103" s="10"/>
      <c r="G103" s="15"/>
      <c r="H103" s="15"/>
      <c r="I103" s="5"/>
      <c r="J103" s="5"/>
      <c r="K103" s="5"/>
      <c r="L103" s="17"/>
      <c r="M103" s="18"/>
      <c r="O103" s="10"/>
      <c r="P103" s="10"/>
      <c r="Q103" s="10"/>
      <c r="R103" s="26"/>
      <c r="S103" s="18"/>
      <c r="T103" s="5"/>
      <c r="U103" s="5"/>
      <c r="AM103" s="10"/>
      <c r="AN103" s="10"/>
      <c r="AO103" s="10"/>
      <c r="AP103" s="18"/>
      <c r="AQ103" s="12"/>
      <c r="AR103" s="18"/>
      <c r="AS103" s="18"/>
      <c r="AT103" s="18"/>
      <c r="AV103" s="6"/>
      <c r="AY103" s="10"/>
      <c r="AZ103" s="10"/>
      <c r="BA103" s="10"/>
      <c r="BB103" s="11"/>
      <c r="BC103" s="5"/>
      <c r="BD103" s="5"/>
      <c r="BE103" s="12"/>
      <c r="BF103" s="11"/>
      <c r="BI103" s="13"/>
      <c r="BJ103" s="13"/>
      <c r="BK103" s="13"/>
      <c r="BL103" s="13"/>
      <c r="BM103" s="13"/>
      <c r="BN103" s="14"/>
      <c r="BO103" s="1"/>
    </row>
    <row r="104" spans="4:67" ht="15.95" customHeight="1">
      <c r="D104" s="10"/>
      <c r="E104" s="10"/>
      <c r="F104" s="10"/>
      <c r="G104" s="15"/>
      <c r="H104" s="15"/>
      <c r="I104" s="5"/>
      <c r="J104" s="5"/>
      <c r="K104" s="5"/>
      <c r="L104" s="5"/>
      <c r="M104" s="5"/>
      <c r="O104" s="10"/>
      <c r="P104" s="10"/>
      <c r="Q104" s="10"/>
      <c r="R104" s="26"/>
      <c r="S104" s="18"/>
      <c r="T104" s="5"/>
      <c r="U104" s="5"/>
      <c r="AM104" s="10"/>
      <c r="AN104" s="10"/>
      <c r="AO104" s="10"/>
      <c r="AP104" s="18"/>
      <c r="AQ104" s="12"/>
      <c r="AR104" s="18"/>
      <c r="AS104" s="18"/>
      <c r="AT104" s="18"/>
      <c r="AU104" s="2"/>
      <c r="AY104" s="10"/>
      <c r="AZ104" s="10"/>
      <c r="BA104" s="10"/>
      <c r="BB104" s="11"/>
      <c r="BC104" s="5"/>
      <c r="BD104" s="5"/>
      <c r="BE104" s="12"/>
      <c r="BF104" s="11"/>
      <c r="BI104" s="13"/>
      <c r="BJ104" s="13"/>
      <c r="BK104" s="13"/>
      <c r="BL104" s="13"/>
      <c r="BM104" s="13"/>
      <c r="BN104" s="1"/>
      <c r="BO104" s="1"/>
    </row>
    <row r="105" spans="4:67" ht="15.95" customHeight="1">
      <c r="D105" s="10"/>
      <c r="E105" s="10"/>
      <c r="F105" s="10"/>
      <c r="G105" s="15"/>
      <c r="H105" s="15"/>
      <c r="I105" s="5"/>
      <c r="J105" s="5"/>
      <c r="K105" s="5"/>
      <c r="L105" s="17"/>
      <c r="M105" s="18"/>
      <c r="O105" s="10"/>
      <c r="P105" s="10"/>
      <c r="Q105" s="10"/>
      <c r="R105" s="26"/>
      <c r="S105" s="18"/>
      <c r="T105" s="5"/>
      <c r="U105" s="5"/>
      <c r="AM105" s="10"/>
      <c r="AN105" s="10"/>
      <c r="AO105" s="10"/>
      <c r="AP105" s="18"/>
      <c r="AQ105" s="12"/>
      <c r="AR105" s="18"/>
      <c r="AS105" s="18"/>
      <c r="AT105" s="18"/>
      <c r="AY105" s="10"/>
      <c r="AZ105" s="10"/>
      <c r="BA105" s="10"/>
      <c r="BB105" s="11"/>
      <c r="BC105" s="5"/>
      <c r="BD105" s="5"/>
      <c r="BE105" s="12"/>
      <c r="BF105" s="11"/>
    </row>
    <row r="106" spans="4:67" ht="15.95" customHeight="1">
      <c r="D106" s="10"/>
      <c r="E106" s="10"/>
      <c r="F106" s="10"/>
      <c r="G106" s="15"/>
      <c r="H106" s="15"/>
      <c r="I106" s="5"/>
      <c r="J106" s="5"/>
      <c r="K106" s="5"/>
      <c r="L106" s="5"/>
      <c r="M106" s="5"/>
      <c r="O106" s="10"/>
      <c r="P106" s="10"/>
      <c r="Q106" s="10"/>
      <c r="R106" s="26"/>
      <c r="S106" s="18"/>
      <c r="T106" s="5"/>
      <c r="U106" s="5"/>
      <c r="AP106" s="3"/>
      <c r="AQ106" s="27"/>
      <c r="AR106" s="27"/>
      <c r="AS106" s="4"/>
      <c r="AT106" s="29"/>
      <c r="BB106" s="3"/>
      <c r="BC106" s="3"/>
      <c r="BD106" s="3"/>
      <c r="BE106" s="12"/>
      <c r="BF106" s="11"/>
    </row>
    <row r="107" spans="4:67" ht="15.95" customHeight="1">
      <c r="D107" s="10"/>
      <c r="E107" s="10"/>
      <c r="F107" s="10"/>
      <c r="G107" s="15"/>
      <c r="H107" s="15"/>
      <c r="I107" s="5"/>
      <c r="J107" s="5"/>
      <c r="K107" s="5"/>
      <c r="L107" s="17"/>
      <c r="M107" s="18"/>
      <c r="O107" s="10"/>
      <c r="P107" s="10"/>
      <c r="Q107" s="10"/>
      <c r="R107" s="26"/>
      <c r="S107" s="18"/>
      <c r="T107" s="5"/>
      <c r="U107" s="5"/>
      <c r="AP107" s="3"/>
      <c r="AQ107" s="27"/>
      <c r="AR107" s="27"/>
      <c r="AS107" s="4"/>
      <c r="AT107" s="27"/>
      <c r="BB107" s="3"/>
      <c r="BC107" s="3"/>
      <c r="BD107" s="3"/>
      <c r="BE107" s="12"/>
      <c r="BF107" s="11"/>
    </row>
    <row r="108" spans="4:67" ht="15.95" customHeight="1">
      <c r="D108" s="10"/>
      <c r="E108" s="10"/>
      <c r="F108" s="10"/>
      <c r="G108" s="15"/>
      <c r="H108" s="15"/>
      <c r="I108" s="5"/>
      <c r="J108" s="5"/>
      <c r="K108" s="5"/>
      <c r="L108" s="5"/>
      <c r="M108" s="5"/>
      <c r="O108" s="10"/>
      <c r="P108" s="10"/>
      <c r="Q108" s="10"/>
      <c r="R108" s="26"/>
      <c r="S108" s="18"/>
      <c r="T108" s="5"/>
      <c r="U108" s="5"/>
      <c r="AP108" s="6"/>
      <c r="BB108" s="3"/>
      <c r="BC108" s="3"/>
      <c r="BD108" s="3"/>
      <c r="BE108" s="3"/>
      <c r="BF108" s="3"/>
    </row>
    <row r="109" spans="4:67" ht="15.95" customHeight="1">
      <c r="D109" s="10"/>
      <c r="E109" s="10"/>
      <c r="F109" s="10"/>
      <c r="G109" s="15"/>
      <c r="H109" s="15"/>
      <c r="I109" s="5"/>
      <c r="J109" s="5"/>
      <c r="K109" s="5"/>
      <c r="L109" s="17"/>
      <c r="M109" s="18"/>
      <c r="O109" s="10"/>
      <c r="P109" s="10"/>
      <c r="Q109" s="10"/>
      <c r="R109" s="26"/>
      <c r="S109" s="18"/>
      <c r="T109" s="5"/>
      <c r="U109" s="5"/>
      <c r="BB109" s="3"/>
      <c r="BC109" s="3"/>
      <c r="BD109" s="3"/>
      <c r="BE109" s="3"/>
      <c r="BF109" s="3"/>
    </row>
    <row r="110" spans="4:67" ht="15.95" customHeight="1">
      <c r="D110" s="10"/>
      <c r="E110" s="10"/>
      <c r="F110" s="10"/>
      <c r="G110" s="15"/>
      <c r="H110" s="15"/>
      <c r="I110" s="5"/>
      <c r="J110" s="5"/>
      <c r="K110" s="5"/>
      <c r="L110" s="5"/>
      <c r="M110" s="5"/>
      <c r="O110" s="10"/>
      <c r="P110" s="10"/>
      <c r="Q110" s="10"/>
      <c r="R110" s="26"/>
      <c r="S110" s="18"/>
      <c r="T110" s="5"/>
      <c r="U110" s="5"/>
      <c r="AL110" s="7"/>
      <c r="AM110" s="7"/>
      <c r="AN110" s="7"/>
      <c r="AO110" s="7"/>
      <c r="AX110" s="40"/>
      <c r="AY110" s="40"/>
      <c r="AZ110" s="40"/>
      <c r="BA110" s="40"/>
      <c r="BB110" s="3"/>
      <c r="BC110" s="3"/>
      <c r="BD110" s="3"/>
      <c r="BE110" s="3"/>
      <c r="BF110" s="3"/>
    </row>
    <row r="111" spans="4:67" ht="15.95" customHeight="1">
      <c r="D111" s="10"/>
      <c r="E111" s="10"/>
      <c r="F111" s="10"/>
      <c r="G111" s="15"/>
      <c r="H111" s="15"/>
      <c r="I111" s="5"/>
      <c r="J111" s="5"/>
      <c r="K111" s="5"/>
      <c r="L111" s="17"/>
      <c r="M111" s="18"/>
      <c r="O111" s="10"/>
      <c r="P111" s="10"/>
      <c r="Q111" s="10"/>
      <c r="R111" s="26"/>
      <c r="S111" s="18"/>
      <c r="T111" s="5"/>
      <c r="U111" s="5"/>
      <c r="AL111" s="7"/>
      <c r="AM111" s="7"/>
      <c r="AN111" s="7"/>
      <c r="AO111" s="7"/>
      <c r="AX111" s="40"/>
      <c r="AY111" s="40"/>
      <c r="AZ111" s="40"/>
      <c r="BA111" s="40"/>
      <c r="BB111" s="3"/>
      <c r="BC111" s="3"/>
      <c r="BD111" s="3"/>
      <c r="BE111" s="3"/>
      <c r="BF111" s="3"/>
    </row>
    <row r="112" spans="4:67" ht="15.95" customHeight="1">
      <c r="D112" s="10"/>
      <c r="E112" s="10"/>
      <c r="F112" s="10"/>
      <c r="G112" s="15"/>
      <c r="H112" s="15"/>
      <c r="I112" s="5"/>
      <c r="J112" s="5"/>
      <c r="K112" s="5"/>
      <c r="L112" s="5"/>
      <c r="M112" s="5"/>
      <c r="O112" s="10"/>
      <c r="P112" s="10"/>
      <c r="Q112" s="10"/>
      <c r="R112" s="26"/>
      <c r="S112" s="18"/>
      <c r="T112" s="5"/>
      <c r="U112" s="5"/>
      <c r="AL112" s="7"/>
      <c r="AM112" s="7"/>
      <c r="AN112" s="7"/>
      <c r="AO112" s="7"/>
      <c r="AP112" s="5"/>
      <c r="AQ112" s="41"/>
      <c r="AR112" s="5"/>
      <c r="AS112" s="5"/>
      <c r="AX112" s="40"/>
      <c r="AY112" s="40"/>
      <c r="AZ112" s="40"/>
      <c r="BA112" s="40"/>
      <c r="BB112" s="5"/>
      <c r="BC112" s="5"/>
      <c r="BD112" s="5"/>
      <c r="BE112" s="5"/>
      <c r="BF112" s="5"/>
    </row>
    <row r="113" spans="4:58" ht="15.95" customHeight="1">
      <c r="D113" s="10"/>
      <c r="E113" s="10"/>
      <c r="F113" s="10"/>
      <c r="G113" s="15"/>
      <c r="H113" s="15"/>
      <c r="I113" s="5"/>
      <c r="J113" s="5"/>
      <c r="K113" s="5"/>
      <c r="L113" s="17"/>
      <c r="M113" s="18"/>
      <c r="O113" s="10"/>
      <c r="P113" s="10"/>
      <c r="Q113" s="10"/>
      <c r="R113" s="26"/>
      <c r="S113" s="18"/>
      <c r="T113" s="5"/>
      <c r="U113" s="5"/>
      <c r="AL113" s="7"/>
      <c r="AM113" s="7"/>
      <c r="AN113" s="7"/>
      <c r="AO113" s="7"/>
      <c r="AP113" s="5"/>
      <c r="AQ113" s="41"/>
      <c r="AR113" s="5"/>
      <c r="AS113" s="5"/>
      <c r="AX113" s="40"/>
      <c r="AY113" s="40"/>
      <c r="AZ113" s="40"/>
      <c r="BA113" s="40"/>
      <c r="BB113" s="5"/>
      <c r="BC113" s="5"/>
      <c r="BD113" s="5"/>
      <c r="BE113" s="5"/>
      <c r="BF113" s="5"/>
    </row>
    <row r="114" spans="4:58" ht="15.95" customHeight="1">
      <c r="D114" s="10"/>
      <c r="E114" s="10"/>
      <c r="F114" s="10"/>
      <c r="G114" s="15"/>
      <c r="H114" s="15"/>
      <c r="I114" s="5"/>
      <c r="J114" s="5"/>
      <c r="K114" s="5"/>
      <c r="L114" s="5"/>
      <c r="M114" s="5"/>
      <c r="O114" s="10"/>
      <c r="P114" s="10"/>
      <c r="Q114" s="10"/>
      <c r="R114" s="26"/>
      <c r="S114" s="18"/>
      <c r="T114" s="5"/>
      <c r="U114" s="5"/>
      <c r="AM114" s="10"/>
      <c r="AN114" s="10"/>
      <c r="AO114" s="10"/>
      <c r="AP114" s="11"/>
      <c r="AQ114" s="11"/>
      <c r="AR114" s="26"/>
      <c r="AS114" s="26"/>
      <c r="AY114" s="10"/>
      <c r="AZ114" s="10"/>
      <c r="BA114" s="10"/>
      <c r="BB114" s="12"/>
      <c r="BC114" s="12"/>
      <c r="BD114" s="12"/>
      <c r="BE114" s="12"/>
      <c r="BF114" s="12"/>
    </row>
    <row r="115" spans="4:58" ht="15.95" customHeight="1">
      <c r="D115" s="10"/>
      <c r="E115" s="10"/>
      <c r="F115" s="10"/>
      <c r="G115" s="15"/>
      <c r="H115" s="15"/>
      <c r="I115" s="5"/>
      <c r="J115" s="5"/>
      <c r="K115" s="5"/>
      <c r="L115" s="17"/>
      <c r="M115" s="18"/>
      <c r="O115" s="10"/>
      <c r="P115" s="10"/>
      <c r="Q115" s="10"/>
      <c r="R115" s="26"/>
      <c r="S115" s="18"/>
      <c r="T115" s="5"/>
      <c r="U115" s="5"/>
      <c r="AM115" s="10"/>
      <c r="AN115" s="10"/>
      <c r="AO115" s="10"/>
      <c r="AP115" s="11"/>
      <c r="AQ115" s="12"/>
      <c r="AR115" s="26"/>
      <c r="AS115" s="26"/>
      <c r="AY115" s="10"/>
      <c r="AZ115" s="10"/>
      <c r="BA115" s="10"/>
      <c r="BB115" s="12"/>
      <c r="BC115" s="12"/>
      <c r="BD115" s="12"/>
      <c r="BE115" s="12"/>
      <c r="BF115" s="12"/>
    </row>
    <row r="116" spans="4:58" ht="15.95" customHeight="1">
      <c r="D116" s="10"/>
      <c r="E116" s="10"/>
      <c r="F116" s="10"/>
      <c r="G116" s="15"/>
      <c r="H116" s="15"/>
      <c r="I116" s="5"/>
      <c r="J116" s="5"/>
      <c r="K116" s="5"/>
      <c r="L116" s="5"/>
      <c r="M116" s="5"/>
      <c r="O116" s="10"/>
      <c r="P116" s="10"/>
      <c r="Q116" s="10"/>
      <c r="R116" s="26"/>
      <c r="S116" s="18"/>
      <c r="T116" s="5"/>
      <c r="U116" s="5"/>
      <c r="AM116" s="10"/>
      <c r="AN116" s="10"/>
      <c r="AO116" s="10"/>
      <c r="AP116" s="18"/>
      <c r="AQ116" s="18"/>
      <c r="AR116" s="26"/>
      <c r="AS116" s="26"/>
      <c r="AY116" s="10"/>
      <c r="AZ116" s="10"/>
      <c r="BA116" s="10"/>
      <c r="BB116" s="5"/>
      <c r="BC116" s="5"/>
      <c r="BD116" s="12"/>
      <c r="BE116" s="11"/>
      <c r="BF116" s="12"/>
    </row>
    <row r="117" spans="4:58" ht="15.95" customHeight="1">
      <c r="D117" s="10"/>
      <c r="E117" s="10"/>
      <c r="F117" s="10"/>
      <c r="G117" s="15"/>
      <c r="H117" s="15"/>
      <c r="I117" s="5"/>
      <c r="J117" s="5"/>
      <c r="K117" s="5"/>
      <c r="L117" s="17"/>
      <c r="M117" s="18"/>
      <c r="O117" s="10"/>
      <c r="P117" s="10"/>
      <c r="Q117" s="10"/>
      <c r="R117" s="26"/>
      <c r="S117" s="18"/>
      <c r="T117" s="5"/>
      <c r="U117" s="5"/>
      <c r="AM117" s="10"/>
      <c r="AN117" s="10"/>
      <c r="AO117" s="10"/>
      <c r="AP117" s="18"/>
      <c r="AQ117" s="18"/>
      <c r="AR117" s="26"/>
      <c r="AS117" s="26"/>
      <c r="AY117" s="10"/>
      <c r="AZ117" s="10"/>
      <c r="BA117" s="10"/>
      <c r="BB117" s="5"/>
      <c r="BC117" s="5"/>
      <c r="BD117" s="12"/>
      <c r="BE117" s="12"/>
      <c r="BF117" s="12"/>
    </row>
    <row r="118" spans="4:58" ht="15.95" customHeight="1">
      <c r="D118" s="10"/>
      <c r="E118" s="10"/>
      <c r="F118" s="10"/>
      <c r="G118" s="15"/>
      <c r="H118" s="15"/>
      <c r="I118" s="5"/>
      <c r="J118" s="5"/>
      <c r="K118" s="5"/>
      <c r="L118" s="5"/>
      <c r="M118" s="5"/>
      <c r="O118" s="10"/>
      <c r="P118" s="10"/>
      <c r="Q118" s="10"/>
      <c r="R118" s="26"/>
      <c r="S118" s="18"/>
      <c r="T118" s="5"/>
      <c r="U118" s="5"/>
      <c r="AM118" s="10"/>
      <c r="AN118" s="10"/>
      <c r="AO118" s="10"/>
      <c r="AP118" s="18"/>
      <c r="AQ118" s="18"/>
      <c r="AR118" s="18"/>
      <c r="AS118" s="26"/>
      <c r="AY118" s="10"/>
      <c r="AZ118" s="10"/>
      <c r="BA118" s="10"/>
      <c r="BB118" s="5"/>
      <c r="BC118" s="5"/>
      <c r="BD118" s="12"/>
      <c r="BE118" s="11"/>
      <c r="BF118" s="12"/>
    </row>
    <row r="119" spans="4:58" ht="15.95" customHeight="1">
      <c r="G119" s="3"/>
      <c r="H119" s="3"/>
      <c r="I119" s="27"/>
      <c r="J119" s="27"/>
      <c r="K119" s="27"/>
      <c r="L119" s="28"/>
      <c r="M119" s="29"/>
      <c r="R119" s="3"/>
      <c r="S119" s="3"/>
      <c r="T119" s="27"/>
      <c r="U119" s="27"/>
      <c r="AM119" s="10"/>
      <c r="AN119" s="10"/>
      <c r="AO119" s="10"/>
      <c r="AP119" s="18"/>
      <c r="AQ119" s="18"/>
      <c r="AR119" s="18"/>
      <c r="AS119" s="26"/>
      <c r="AY119" s="10"/>
      <c r="AZ119" s="10"/>
      <c r="BA119" s="10"/>
      <c r="BB119" s="5"/>
      <c r="BC119" s="5"/>
      <c r="BD119" s="12"/>
      <c r="BE119" s="12"/>
      <c r="BF119" s="12"/>
    </row>
    <row r="120" spans="4:58" ht="15.95" customHeight="1">
      <c r="G120" s="3"/>
      <c r="H120" s="3"/>
      <c r="I120" s="27"/>
      <c r="J120" s="27"/>
      <c r="K120" s="27"/>
      <c r="L120" s="27"/>
      <c r="M120" s="27"/>
      <c r="R120" s="3"/>
      <c r="S120" s="3"/>
      <c r="T120" s="27"/>
      <c r="U120" s="27"/>
      <c r="AM120" s="10"/>
      <c r="AN120" s="10"/>
      <c r="AO120" s="10"/>
      <c r="AP120" s="18"/>
      <c r="AQ120" s="18"/>
      <c r="AR120" s="18"/>
      <c r="AS120" s="26"/>
      <c r="AY120" s="10"/>
      <c r="AZ120" s="10"/>
      <c r="BA120" s="10"/>
      <c r="BB120" s="5"/>
      <c r="BC120" s="5"/>
      <c r="BD120" s="12"/>
      <c r="BE120" s="11"/>
      <c r="BF120" s="12"/>
    </row>
    <row r="121" spans="4:58" ht="15.95" customHeight="1">
      <c r="AM121" s="10"/>
      <c r="AN121" s="10"/>
      <c r="AO121" s="10"/>
      <c r="AP121" s="18"/>
      <c r="AQ121" s="18"/>
      <c r="AR121" s="18"/>
      <c r="AS121" s="26"/>
      <c r="AY121" s="10"/>
      <c r="AZ121" s="10"/>
      <c r="BA121" s="10"/>
      <c r="BB121" s="5"/>
      <c r="BC121" s="5"/>
      <c r="BD121" s="12"/>
      <c r="BE121" s="12"/>
      <c r="BF121" s="12"/>
    </row>
    <row r="122" spans="4:58" ht="15.95" customHeight="1">
      <c r="BB122" s="3"/>
      <c r="BC122" s="3"/>
      <c r="BD122" s="12"/>
      <c r="BE122" s="3"/>
      <c r="BF122" s="11"/>
    </row>
    <row r="123" spans="4:58" ht="15.95" customHeight="1">
      <c r="G123" s="10"/>
      <c r="H123" s="10"/>
      <c r="I123" s="10"/>
      <c r="J123" s="10"/>
      <c r="K123" s="10"/>
      <c r="L123" s="10"/>
      <c r="M123" s="10"/>
      <c r="R123" s="10"/>
      <c r="S123" s="10"/>
      <c r="T123" s="10"/>
      <c r="U123" s="10"/>
      <c r="BB123" s="3"/>
      <c r="BC123" s="3"/>
      <c r="BD123" s="12"/>
      <c r="BE123" s="3"/>
      <c r="BF123" s="12"/>
    </row>
    <row r="124" spans="4:58" ht="15.95" customHeight="1">
      <c r="G124" s="10"/>
      <c r="H124" s="10"/>
      <c r="I124" s="10"/>
      <c r="J124" s="10"/>
      <c r="K124" s="10"/>
      <c r="L124" s="10"/>
      <c r="M124" s="10"/>
      <c r="R124" s="10"/>
      <c r="S124" s="10"/>
      <c r="T124" s="10"/>
      <c r="U124" s="10"/>
      <c r="BB124" s="3"/>
      <c r="BC124" s="3"/>
      <c r="BD124" s="3"/>
      <c r="BE124" s="3"/>
      <c r="BF124" s="3"/>
    </row>
    <row r="125" spans="4:58" ht="15.95" customHeight="1">
      <c r="G125" s="5"/>
      <c r="H125" s="5"/>
      <c r="I125" s="5"/>
      <c r="J125" s="5"/>
      <c r="K125" s="5"/>
      <c r="L125" s="5"/>
      <c r="M125" s="5"/>
      <c r="R125" s="5"/>
      <c r="S125" s="5"/>
      <c r="T125" s="5"/>
      <c r="U125" s="5"/>
      <c r="BB125" s="3"/>
      <c r="BC125" s="3"/>
      <c r="BD125" s="3"/>
      <c r="BE125" s="3"/>
      <c r="BF125" s="3"/>
    </row>
    <row r="126" spans="4:58" ht="15.95" customHeight="1">
      <c r="G126" s="5"/>
      <c r="H126" s="5"/>
      <c r="I126" s="5"/>
      <c r="J126" s="5"/>
      <c r="K126" s="5"/>
      <c r="L126" s="5"/>
      <c r="M126" s="5"/>
      <c r="R126" s="5"/>
      <c r="S126" s="5"/>
      <c r="T126" s="5"/>
      <c r="U126" s="5"/>
      <c r="AL126" s="42"/>
      <c r="AM126" s="42"/>
      <c r="AN126" s="42"/>
      <c r="AO126" s="42"/>
      <c r="AX126" s="19"/>
      <c r="AY126" s="19"/>
      <c r="AZ126" s="19"/>
      <c r="BA126" s="19"/>
      <c r="BB126" s="3"/>
      <c r="BC126" s="3"/>
      <c r="BD126" s="3"/>
      <c r="BE126" s="3"/>
      <c r="BF126" s="3"/>
    </row>
    <row r="127" spans="4:58" ht="15.95" customHeight="1">
      <c r="D127" s="10"/>
      <c r="E127" s="10"/>
      <c r="F127" s="10"/>
      <c r="G127" s="17"/>
      <c r="H127" s="18"/>
      <c r="I127" s="5"/>
      <c r="J127" s="5"/>
      <c r="K127" s="5"/>
      <c r="L127" s="17"/>
      <c r="M127" s="18"/>
      <c r="O127" s="10"/>
      <c r="P127" s="10"/>
      <c r="Q127" s="10"/>
      <c r="R127" s="17"/>
      <c r="S127" s="18"/>
      <c r="T127" s="5"/>
      <c r="U127" s="5"/>
      <c r="AL127" s="42"/>
      <c r="AM127" s="42"/>
      <c r="AN127" s="42"/>
      <c r="AO127" s="42"/>
      <c r="AX127" s="19"/>
      <c r="AY127" s="19"/>
      <c r="AZ127" s="19"/>
      <c r="BA127" s="19"/>
      <c r="BB127" s="3"/>
      <c r="BC127" s="3"/>
      <c r="BD127" s="3"/>
      <c r="BE127" s="3"/>
      <c r="BF127" s="3"/>
    </row>
    <row r="128" spans="4:58" ht="15.95" customHeight="1">
      <c r="D128" s="10"/>
      <c r="E128" s="10"/>
      <c r="F128" s="10"/>
      <c r="G128" s="17"/>
      <c r="H128" s="18"/>
      <c r="I128" s="5"/>
      <c r="J128" s="5"/>
      <c r="K128" s="5"/>
      <c r="L128" s="5"/>
      <c r="M128" s="5"/>
      <c r="O128" s="10"/>
      <c r="P128" s="10"/>
      <c r="Q128" s="10"/>
      <c r="R128" s="17"/>
      <c r="S128" s="18"/>
      <c r="T128" s="5"/>
      <c r="U128" s="5"/>
      <c r="AL128" s="42"/>
      <c r="AM128" s="42"/>
      <c r="AN128" s="42"/>
      <c r="AO128" s="42"/>
      <c r="AP128" s="5"/>
      <c r="AQ128" s="5"/>
      <c r="AR128" s="5"/>
      <c r="AS128" s="5"/>
      <c r="AX128" s="19"/>
      <c r="AY128" s="19"/>
      <c r="AZ128" s="19"/>
      <c r="BA128" s="19"/>
      <c r="BB128" s="5"/>
      <c r="BC128" s="5"/>
      <c r="BD128" s="5"/>
      <c r="BE128" s="5"/>
      <c r="BF128" s="5"/>
    </row>
    <row r="129" spans="4:58" ht="15.95" customHeight="1">
      <c r="D129" s="10"/>
      <c r="E129" s="10"/>
      <c r="F129" s="10"/>
      <c r="G129" s="17"/>
      <c r="H129" s="18"/>
      <c r="I129" s="5"/>
      <c r="J129" s="5"/>
      <c r="K129" s="5"/>
      <c r="L129" s="17"/>
      <c r="M129" s="18"/>
      <c r="O129" s="10"/>
      <c r="P129" s="10"/>
      <c r="Q129" s="10"/>
      <c r="R129" s="17"/>
      <c r="S129" s="18"/>
      <c r="T129" s="5"/>
      <c r="U129" s="5"/>
      <c r="AL129" s="42"/>
      <c r="AM129" s="42"/>
      <c r="AN129" s="42"/>
      <c r="AO129" s="42"/>
      <c r="AP129" s="5"/>
      <c r="AQ129" s="5"/>
      <c r="AR129" s="5"/>
      <c r="AS129" s="5"/>
      <c r="AX129" s="19"/>
      <c r="AY129" s="19"/>
      <c r="AZ129" s="19"/>
      <c r="BA129" s="19"/>
      <c r="BB129" s="5"/>
      <c r="BC129" s="5"/>
      <c r="BD129" s="5"/>
      <c r="BE129" s="5"/>
      <c r="BF129" s="5"/>
    </row>
    <row r="130" spans="4:58" ht="15.95" customHeight="1">
      <c r="D130" s="10"/>
      <c r="E130" s="10"/>
      <c r="F130" s="10"/>
      <c r="G130" s="17"/>
      <c r="H130" s="18"/>
      <c r="I130" s="5"/>
      <c r="J130" s="5"/>
      <c r="K130" s="5"/>
      <c r="L130" s="5"/>
      <c r="M130" s="5"/>
      <c r="O130" s="10"/>
      <c r="P130" s="10"/>
      <c r="Q130" s="10"/>
      <c r="R130" s="17"/>
      <c r="S130" s="18"/>
      <c r="T130" s="5"/>
      <c r="U130" s="5"/>
      <c r="AM130" s="10"/>
      <c r="AN130" s="10"/>
      <c r="AO130" s="10"/>
      <c r="AP130" s="11"/>
      <c r="AQ130" s="26"/>
      <c r="AR130" s="26"/>
      <c r="AS130" s="12"/>
      <c r="AY130" s="10"/>
      <c r="AZ130" s="10"/>
      <c r="BA130" s="10"/>
      <c r="BB130" s="11"/>
      <c r="BC130" s="12"/>
      <c r="BD130" s="12"/>
      <c r="BE130" s="12"/>
      <c r="BF130" s="11"/>
    </row>
    <row r="131" spans="4:58" ht="15.95" customHeight="1">
      <c r="D131" s="10"/>
      <c r="E131" s="10"/>
      <c r="F131" s="10"/>
      <c r="G131" s="17"/>
      <c r="H131" s="18"/>
      <c r="I131" s="5"/>
      <c r="J131" s="5"/>
      <c r="K131" s="5"/>
      <c r="L131" s="17"/>
      <c r="M131" s="18"/>
      <c r="O131" s="10"/>
      <c r="P131" s="10"/>
      <c r="Q131" s="10"/>
      <c r="R131" s="17"/>
      <c r="S131" s="18"/>
      <c r="T131" s="5"/>
      <c r="U131" s="5"/>
      <c r="V131" s="5"/>
      <c r="W131" s="17"/>
      <c r="X131" s="18"/>
      <c r="Z131" s="10"/>
      <c r="AA131" s="10"/>
      <c r="AB131" s="10"/>
      <c r="AC131" s="17"/>
      <c r="AD131" s="18"/>
      <c r="AE131" s="5"/>
      <c r="AF131" s="5"/>
      <c r="AG131" s="5"/>
      <c r="AH131" s="17"/>
      <c r="AI131" s="18"/>
      <c r="AM131" s="10"/>
      <c r="AN131" s="10"/>
      <c r="AO131" s="10"/>
      <c r="AP131" s="11"/>
      <c r="AQ131" s="26"/>
      <c r="AR131" s="26"/>
      <c r="AS131" s="12"/>
      <c r="AY131" s="10"/>
      <c r="AZ131" s="10"/>
      <c r="BA131" s="10"/>
      <c r="BB131" s="11"/>
      <c r="BC131" s="12"/>
      <c r="BD131" s="12"/>
      <c r="BE131" s="12"/>
      <c r="BF131" s="11"/>
    </row>
    <row r="132" spans="4:58" ht="15.95" customHeight="1">
      <c r="D132" s="10"/>
      <c r="E132" s="10"/>
      <c r="F132" s="10"/>
      <c r="G132" s="17"/>
      <c r="H132" s="18"/>
      <c r="I132" s="5"/>
      <c r="J132" s="5"/>
      <c r="K132" s="5"/>
      <c r="L132" s="5"/>
      <c r="M132" s="5"/>
      <c r="O132" s="10"/>
      <c r="P132" s="10"/>
      <c r="Q132" s="10"/>
      <c r="R132" s="17"/>
      <c r="S132" s="18"/>
      <c r="T132" s="5"/>
      <c r="U132" s="5"/>
      <c r="V132" s="5"/>
      <c r="W132" s="5"/>
      <c r="X132" s="5"/>
      <c r="Z132" s="10"/>
      <c r="AA132" s="10"/>
      <c r="AB132" s="10"/>
      <c r="AC132" s="17"/>
      <c r="AD132" s="18"/>
      <c r="AE132" s="5"/>
      <c r="AF132" s="5"/>
      <c r="AG132" s="5"/>
      <c r="AH132" s="5"/>
      <c r="AI132" s="5"/>
      <c r="AM132" s="10"/>
      <c r="AN132" s="10"/>
      <c r="AO132" s="10"/>
      <c r="AP132" s="18"/>
      <c r="AQ132" s="26"/>
      <c r="AR132" s="26"/>
      <c r="AS132" s="12"/>
      <c r="AY132" s="10"/>
      <c r="AZ132" s="10"/>
      <c r="BA132" s="10"/>
      <c r="BB132" s="11"/>
      <c r="BC132" s="12"/>
      <c r="BD132" s="12"/>
      <c r="BE132" s="12"/>
      <c r="BF132" s="11"/>
    </row>
    <row r="133" spans="4:58" ht="15.95" customHeight="1">
      <c r="D133" s="10"/>
      <c r="E133" s="10"/>
      <c r="F133" s="10"/>
      <c r="G133" s="17"/>
      <c r="H133" s="18"/>
      <c r="I133" s="5"/>
      <c r="J133" s="5"/>
      <c r="K133" s="5"/>
      <c r="L133" s="17"/>
      <c r="M133" s="18"/>
      <c r="O133" s="10"/>
      <c r="P133" s="10"/>
      <c r="Q133" s="10"/>
      <c r="R133" s="17"/>
      <c r="S133" s="18"/>
      <c r="T133" s="5"/>
      <c r="U133" s="5"/>
      <c r="V133" s="5"/>
      <c r="W133" s="17"/>
      <c r="X133" s="18"/>
      <c r="Z133" s="10"/>
      <c r="AA133" s="10"/>
      <c r="AB133" s="10"/>
      <c r="AC133" s="17"/>
      <c r="AD133" s="18"/>
      <c r="AE133" s="5"/>
      <c r="AF133" s="5"/>
      <c r="AG133" s="5"/>
      <c r="AH133" s="17"/>
      <c r="AI133" s="18"/>
      <c r="AM133" s="10"/>
      <c r="AN133" s="10"/>
      <c r="AO133" s="10"/>
      <c r="AP133" s="18"/>
      <c r="AQ133" s="26"/>
      <c r="AR133" s="26"/>
      <c r="AS133" s="12"/>
      <c r="AY133" s="10"/>
      <c r="AZ133" s="10"/>
      <c r="BA133" s="10"/>
      <c r="BB133" s="11"/>
      <c r="BC133" s="12"/>
      <c r="BD133" s="12"/>
      <c r="BE133" s="12"/>
      <c r="BF133" s="11"/>
    </row>
    <row r="134" spans="4:58" ht="15.95" customHeight="1">
      <c r="D134" s="10"/>
      <c r="E134" s="10"/>
      <c r="F134" s="10"/>
      <c r="G134" s="17"/>
      <c r="H134" s="18"/>
      <c r="I134" s="5"/>
      <c r="J134" s="5"/>
      <c r="K134" s="5"/>
      <c r="L134" s="5"/>
      <c r="M134" s="5"/>
      <c r="O134" s="10"/>
      <c r="P134" s="10"/>
      <c r="Q134" s="10"/>
      <c r="R134" s="17"/>
      <c r="S134" s="18"/>
      <c r="T134" s="5"/>
      <c r="U134" s="5"/>
      <c r="V134" s="5"/>
      <c r="W134" s="5"/>
      <c r="X134" s="5"/>
      <c r="Z134" s="10"/>
      <c r="AA134" s="10"/>
      <c r="AB134" s="10"/>
      <c r="AC134" s="17"/>
      <c r="AD134" s="18"/>
      <c r="AE134" s="5"/>
      <c r="AF134" s="5"/>
      <c r="AG134" s="5"/>
      <c r="AH134" s="5"/>
      <c r="AI134" s="5"/>
      <c r="AM134" s="10"/>
      <c r="AN134" s="10"/>
      <c r="AO134" s="10"/>
      <c r="AP134" s="18"/>
      <c r="AQ134" s="26"/>
      <c r="AR134" s="26"/>
      <c r="AS134" s="12"/>
      <c r="AY134" s="10"/>
      <c r="AZ134" s="10"/>
      <c r="BA134" s="10"/>
      <c r="BB134" s="11"/>
      <c r="BC134" s="12"/>
      <c r="BD134" s="12"/>
      <c r="BE134" s="12"/>
      <c r="BF134" s="11"/>
    </row>
    <row r="135" spans="4:58" ht="15.95" customHeight="1">
      <c r="D135" s="10"/>
      <c r="E135" s="10"/>
      <c r="F135" s="10"/>
      <c r="G135" s="17"/>
      <c r="H135" s="18"/>
      <c r="I135" s="5"/>
      <c r="J135" s="5"/>
      <c r="K135" s="5"/>
      <c r="L135" s="17"/>
      <c r="M135" s="18"/>
      <c r="O135" s="10"/>
      <c r="P135" s="10"/>
      <c r="Q135" s="10"/>
      <c r="R135" s="17"/>
      <c r="S135" s="18"/>
      <c r="T135" s="5"/>
      <c r="U135" s="5"/>
      <c r="V135" s="5"/>
      <c r="W135" s="17"/>
      <c r="X135" s="18"/>
      <c r="Z135" s="10"/>
      <c r="AA135" s="10"/>
      <c r="AB135" s="10"/>
      <c r="AC135" s="17"/>
      <c r="AD135" s="18"/>
      <c r="AE135" s="5"/>
      <c r="AF135" s="5"/>
      <c r="AG135" s="5"/>
      <c r="AH135" s="17"/>
      <c r="AI135" s="18"/>
      <c r="AM135" s="10"/>
      <c r="AN135" s="10"/>
      <c r="AO135" s="10"/>
      <c r="AP135" s="18"/>
      <c r="AQ135" s="26"/>
      <c r="AR135" s="26"/>
      <c r="AS135" s="12"/>
      <c r="AY135" s="10"/>
      <c r="AZ135" s="10"/>
      <c r="BA135" s="10"/>
      <c r="BB135" s="11"/>
      <c r="BC135" s="12"/>
      <c r="BD135" s="12"/>
      <c r="BE135" s="12"/>
      <c r="BF135" s="11"/>
    </row>
    <row r="136" spans="4:58" ht="15.95" customHeight="1">
      <c r="D136" s="10"/>
      <c r="E136" s="10"/>
      <c r="F136" s="10"/>
      <c r="G136" s="17"/>
      <c r="H136" s="18"/>
      <c r="I136" s="5"/>
      <c r="J136" s="5"/>
      <c r="K136" s="5"/>
      <c r="L136" s="5"/>
      <c r="M136" s="5"/>
      <c r="O136" s="10"/>
      <c r="P136" s="10"/>
      <c r="Q136" s="10"/>
      <c r="R136" s="17"/>
      <c r="S136" s="18"/>
      <c r="T136" s="5"/>
      <c r="U136" s="5"/>
      <c r="V136" s="5"/>
      <c r="W136" s="5"/>
      <c r="X136" s="5"/>
      <c r="Z136" s="10"/>
      <c r="AA136" s="10"/>
      <c r="AB136" s="10"/>
      <c r="AC136" s="17"/>
      <c r="AD136" s="18"/>
      <c r="AE136" s="5"/>
      <c r="AF136" s="5"/>
      <c r="AG136" s="5"/>
      <c r="AH136" s="5"/>
      <c r="AI136" s="5"/>
      <c r="AM136" s="10"/>
      <c r="AN136" s="10"/>
      <c r="AO136" s="10"/>
      <c r="AP136" s="18"/>
      <c r="AQ136" s="26"/>
      <c r="AR136" s="26"/>
      <c r="AS136" s="12"/>
      <c r="AY136" s="10"/>
      <c r="AZ136" s="10"/>
      <c r="BA136" s="10"/>
      <c r="BB136" s="11"/>
      <c r="BC136" s="12"/>
      <c r="BD136" s="12"/>
      <c r="BE136" s="12"/>
      <c r="BF136" s="11"/>
    </row>
    <row r="137" spans="4:58" ht="15.95" customHeight="1">
      <c r="D137" s="10"/>
      <c r="E137" s="10"/>
      <c r="F137" s="10"/>
      <c r="G137" s="17"/>
      <c r="H137" s="18"/>
      <c r="I137" s="5"/>
      <c r="J137" s="5"/>
      <c r="K137" s="5"/>
      <c r="L137" s="17"/>
      <c r="M137" s="18"/>
      <c r="O137" s="10"/>
      <c r="P137" s="10"/>
      <c r="Q137" s="10"/>
      <c r="R137" s="17"/>
      <c r="S137" s="18"/>
      <c r="T137" s="5"/>
      <c r="U137" s="5"/>
      <c r="V137" s="5"/>
      <c r="W137" s="17"/>
      <c r="X137" s="18"/>
      <c r="Z137" s="10"/>
      <c r="AA137" s="10"/>
      <c r="AB137" s="10"/>
      <c r="AC137" s="17"/>
      <c r="AD137" s="18"/>
      <c r="AE137" s="5"/>
      <c r="AF137" s="5"/>
      <c r="AG137" s="5"/>
      <c r="AH137" s="17"/>
      <c r="AI137" s="18"/>
      <c r="AM137" s="10"/>
      <c r="AN137" s="10"/>
      <c r="AO137" s="10"/>
      <c r="AP137" s="18"/>
      <c r="AQ137" s="26"/>
      <c r="AR137" s="26"/>
      <c r="AS137" s="12"/>
      <c r="AY137" s="10"/>
      <c r="AZ137" s="10"/>
      <c r="BA137" s="10"/>
      <c r="BB137" s="11"/>
      <c r="BC137" s="12"/>
      <c r="BD137" s="12"/>
      <c r="BE137" s="12"/>
      <c r="BF137" s="11"/>
    </row>
    <row r="138" spans="4:58" ht="15.95" customHeight="1">
      <c r="D138" s="10"/>
      <c r="E138" s="10"/>
      <c r="F138" s="10"/>
      <c r="G138" s="17"/>
      <c r="H138" s="18"/>
      <c r="I138" s="5"/>
      <c r="J138" s="5"/>
      <c r="K138" s="5"/>
      <c r="L138" s="5"/>
      <c r="M138" s="5"/>
      <c r="O138" s="10"/>
      <c r="P138" s="10"/>
      <c r="Q138" s="10"/>
      <c r="R138" s="17"/>
      <c r="S138" s="18"/>
      <c r="T138" s="5"/>
      <c r="U138" s="5"/>
      <c r="V138" s="5"/>
      <c r="W138" s="5"/>
      <c r="X138" s="5"/>
      <c r="Z138" s="10"/>
      <c r="AA138" s="10"/>
      <c r="AB138" s="10"/>
      <c r="AC138" s="17"/>
      <c r="AD138" s="18"/>
      <c r="AE138" s="5"/>
      <c r="AF138" s="5"/>
      <c r="AG138" s="5"/>
      <c r="AH138" s="5"/>
      <c r="AI138" s="5"/>
      <c r="AQ138" s="43"/>
      <c r="AR138" s="43"/>
      <c r="BB138" s="3"/>
      <c r="BC138" s="3"/>
      <c r="BD138" s="3"/>
      <c r="BE138" s="12"/>
      <c r="BF138" s="11"/>
    </row>
    <row r="139" spans="4:58" ht="15.95" customHeight="1">
      <c r="D139" s="10"/>
      <c r="E139" s="10"/>
      <c r="F139" s="10"/>
      <c r="G139" s="17"/>
      <c r="H139" s="18"/>
      <c r="I139" s="5"/>
      <c r="J139" s="5"/>
      <c r="K139" s="5"/>
      <c r="L139" s="17"/>
      <c r="M139" s="18"/>
      <c r="O139" s="10"/>
      <c r="P139" s="10"/>
      <c r="Q139" s="10"/>
      <c r="R139" s="17"/>
      <c r="S139" s="18"/>
      <c r="T139" s="5"/>
      <c r="U139" s="5"/>
      <c r="V139" s="5"/>
      <c r="W139" s="17"/>
      <c r="X139" s="18"/>
      <c r="Z139" s="10"/>
      <c r="AA139" s="10"/>
      <c r="AB139" s="10"/>
      <c r="AC139" s="17"/>
      <c r="AD139" s="18"/>
      <c r="AE139" s="5"/>
      <c r="AF139" s="5"/>
      <c r="AG139" s="5"/>
      <c r="AH139" s="17"/>
      <c r="AI139" s="18"/>
      <c r="AQ139" s="43"/>
      <c r="BB139" s="3"/>
      <c r="BC139" s="3"/>
      <c r="BD139" s="3"/>
      <c r="BE139" s="12"/>
      <c r="BF139" s="11"/>
    </row>
    <row r="140" spans="4:58" ht="15.95" customHeight="1">
      <c r="D140" s="10"/>
      <c r="E140" s="10"/>
      <c r="F140" s="10"/>
      <c r="G140" s="17"/>
      <c r="H140" s="18"/>
      <c r="I140" s="5"/>
      <c r="J140" s="5"/>
      <c r="K140" s="5"/>
      <c r="L140" s="5"/>
      <c r="M140" s="5"/>
      <c r="O140" s="10"/>
      <c r="P140" s="10"/>
      <c r="Q140" s="10"/>
      <c r="R140" s="17"/>
      <c r="S140" s="18"/>
      <c r="T140" s="5"/>
      <c r="U140" s="5"/>
      <c r="V140" s="5"/>
      <c r="W140" s="5"/>
      <c r="X140" s="5"/>
      <c r="Z140" s="10"/>
      <c r="AA140" s="10"/>
      <c r="AB140" s="10"/>
      <c r="AC140" s="17"/>
      <c r="AD140" s="18"/>
      <c r="AE140" s="5"/>
      <c r="AF140" s="5"/>
      <c r="AG140" s="5"/>
      <c r="AH140" s="5"/>
      <c r="AI140" s="5"/>
      <c r="BB140" s="3"/>
      <c r="BC140" s="3"/>
      <c r="BD140" s="3"/>
      <c r="BE140" s="3"/>
      <c r="BF140" s="3"/>
    </row>
    <row r="141" spans="4:58" ht="15.95" customHeight="1">
      <c r="D141" s="10"/>
      <c r="E141" s="10"/>
      <c r="F141" s="10"/>
      <c r="G141" s="17"/>
      <c r="H141" s="18"/>
      <c r="I141" s="5"/>
      <c r="J141" s="5"/>
      <c r="K141" s="5"/>
      <c r="L141" s="17"/>
      <c r="M141" s="18"/>
      <c r="O141" s="10"/>
      <c r="P141" s="10"/>
      <c r="Q141" s="10"/>
      <c r="R141" s="17"/>
      <c r="S141" s="18"/>
      <c r="T141" s="5"/>
      <c r="U141" s="5"/>
      <c r="V141" s="5"/>
      <c r="W141" s="17"/>
      <c r="X141" s="18"/>
      <c r="Z141" s="10"/>
      <c r="AA141" s="10"/>
      <c r="AB141" s="10"/>
      <c r="AC141" s="17"/>
      <c r="AD141" s="18"/>
      <c r="AE141" s="5"/>
      <c r="AF141" s="5"/>
      <c r="AG141" s="5"/>
      <c r="AH141" s="17"/>
      <c r="AI141" s="18"/>
    </row>
    <row r="142" spans="4:58" ht="15.95" customHeight="1">
      <c r="D142" s="10"/>
      <c r="E142" s="10"/>
      <c r="F142" s="10"/>
      <c r="G142" s="17"/>
      <c r="H142" s="18"/>
      <c r="I142" s="5"/>
      <c r="J142" s="5"/>
      <c r="K142" s="5"/>
      <c r="L142" s="5"/>
      <c r="M142" s="5"/>
      <c r="O142" s="10"/>
      <c r="P142" s="10"/>
      <c r="Q142" s="10"/>
      <c r="R142" s="17"/>
      <c r="S142" s="18"/>
      <c r="T142" s="5"/>
      <c r="U142" s="5"/>
      <c r="V142" s="5"/>
      <c r="W142" s="5"/>
      <c r="X142" s="5"/>
      <c r="Z142" s="10"/>
      <c r="AA142" s="10"/>
      <c r="AB142" s="10"/>
      <c r="AC142" s="17"/>
      <c r="AD142" s="18"/>
      <c r="AE142" s="5"/>
      <c r="AF142" s="5"/>
      <c r="AG142" s="5"/>
      <c r="AH142" s="5"/>
      <c r="AI142" s="5"/>
    </row>
    <row r="143" spans="4:58" ht="15.95" customHeight="1">
      <c r="D143" s="10"/>
      <c r="E143" s="10"/>
      <c r="F143" s="10"/>
      <c r="G143" s="17"/>
      <c r="H143" s="18"/>
      <c r="I143" s="5"/>
      <c r="J143" s="5"/>
      <c r="K143" s="5"/>
      <c r="L143" s="17"/>
      <c r="M143" s="18"/>
      <c r="O143" s="10"/>
      <c r="P143" s="10"/>
      <c r="Q143" s="10"/>
      <c r="R143" s="17"/>
      <c r="S143" s="18"/>
      <c r="T143" s="5"/>
      <c r="U143" s="5"/>
      <c r="V143" s="5"/>
      <c r="W143" s="17"/>
      <c r="X143" s="18"/>
      <c r="Z143" s="10"/>
      <c r="AA143" s="10"/>
      <c r="AB143" s="10"/>
      <c r="AC143" s="17"/>
      <c r="AD143" s="18"/>
      <c r="AE143" s="5"/>
      <c r="AF143" s="5"/>
      <c r="AG143" s="5"/>
      <c r="AH143" s="17"/>
      <c r="AI143" s="18"/>
    </row>
    <row r="144" spans="4:58" ht="15.95" customHeight="1">
      <c r="D144" s="10"/>
      <c r="E144" s="10"/>
      <c r="F144" s="10"/>
      <c r="G144" s="17"/>
      <c r="H144" s="18"/>
      <c r="I144" s="5"/>
      <c r="J144" s="5"/>
      <c r="K144" s="5"/>
      <c r="L144" s="5"/>
      <c r="M144" s="5"/>
      <c r="O144" s="10"/>
      <c r="P144" s="10"/>
      <c r="Q144" s="10"/>
      <c r="R144" s="17"/>
      <c r="S144" s="18"/>
      <c r="T144" s="5"/>
      <c r="U144" s="5"/>
      <c r="V144" s="5"/>
      <c r="W144" s="5"/>
      <c r="X144" s="5"/>
      <c r="Z144" s="10"/>
      <c r="AA144" s="10"/>
      <c r="AB144" s="10"/>
      <c r="AC144" s="17"/>
      <c r="AD144" s="18"/>
      <c r="AE144" s="5"/>
      <c r="AF144" s="5"/>
      <c r="AG144" s="5"/>
      <c r="AH144" s="5"/>
      <c r="AI144" s="5"/>
    </row>
    <row r="145" spans="4:35" ht="15.95" customHeight="1">
      <c r="D145" s="10"/>
      <c r="E145" s="10"/>
      <c r="F145" s="10"/>
      <c r="G145" s="17"/>
      <c r="H145" s="18"/>
      <c r="I145" s="5"/>
      <c r="J145" s="5"/>
      <c r="K145" s="5"/>
      <c r="L145" s="17"/>
      <c r="M145" s="18"/>
      <c r="O145" s="10"/>
      <c r="P145" s="10"/>
      <c r="Q145" s="10"/>
      <c r="R145" s="17"/>
      <c r="S145" s="18"/>
      <c r="T145" s="5"/>
      <c r="U145" s="5"/>
      <c r="V145" s="5"/>
      <c r="W145" s="17"/>
      <c r="X145" s="18"/>
      <c r="Z145" s="10"/>
      <c r="AA145" s="10"/>
      <c r="AB145" s="10"/>
      <c r="AC145" s="17"/>
      <c r="AD145" s="18"/>
      <c r="AE145" s="5"/>
      <c r="AF145" s="5"/>
      <c r="AG145" s="5"/>
      <c r="AH145" s="17"/>
      <c r="AI145" s="18"/>
    </row>
    <row r="146" spans="4:35" ht="15.95" customHeight="1">
      <c r="D146" s="10"/>
      <c r="E146" s="10"/>
      <c r="F146" s="10"/>
      <c r="G146" s="17"/>
      <c r="H146" s="18"/>
      <c r="I146" s="5"/>
      <c r="J146" s="5"/>
      <c r="K146" s="5"/>
      <c r="L146" s="5"/>
      <c r="M146" s="5"/>
      <c r="O146" s="10"/>
      <c r="P146" s="10"/>
      <c r="Q146" s="10"/>
      <c r="R146" s="17"/>
      <c r="S146" s="18"/>
      <c r="T146" s="5"/>
      <c r="U146" s="5"/>
      <c r="V146" s="5"/>
      <c r="W146" s="5"/>
      <c r="X146" s="5"/>
      <c r="Z146" s="10"/>
      <c r="AA146" s="10"/>
      <c r="AB146" s="10"/>
      <c r="AC146" s="17"/>
      <c r="AD146" s="18"/>
      <c r="AE146" s="5"/>
      <c r="AF146" s="5"/>
      <c r="AG146" s="5"/>
      <c r="AH146" s="5"/>
      <c r="AI146" s="5"/>
    </row>
    <row r="147" spans="4:35" ht="15.95" customHeight="1">
      <c r="D147" s="10"/>
      <c r="E147" s="10"/>
      <c r="F147" s="10"/>
      <c r="G147" s="17"/>
      <c r="H147" s="18"/>
      <c r="I147" s="5"/>
      <c r="J147" s="5"/>
      <c r="K147" s="5"/>
      <c r="L147" s="17"/>
      <c r="M147" s="18"/>
      <c r="O147" s="10"/>
      <c r="P147" s="10"/>
      <c r="Q147" s="10"/>
      <c r="R147" s="17"/>
      <c r="S147" s="18"/>
      <c r="T147" s="5"/>
      <c r="U147" s="5"/>
      <c r="V147" s="5"/>
      <c r="W147" s="17"/>
      <c r="X147" s="18"/>
      <c r="Z147" s="10"/>
      <c r="AA147" s="10"/>
      <c r="AB147" s="10"/>
      <c r="AC147" s="17"/>
      <c r="AD147" s="18"/>
      <c r="AE147" s="5"/>
      <c r="AF147" s="5"/>
      <c r="AG147" s="5"/>
      <c r="AH147" s="17"/>
      <c r="AI147" s="18"/>
    </row>
    <row r="148" spans="4:35" ht="15.95" customHeight="1">
      <c r="D148" s="10"/>
      <c r="E148" s="10"/>
      <c r="F148" s="10"/>
      <c r="G148" s="17"/>
      <c r="H148" s="18"/>
      <c r="I148" s="5"/>
      <c r="J148" s="5"/>
      <c r="K148" s="5"/>
      <c r="L148" s="5"/>
      <c r="M148" s="5"/>
      <c r="O148" s="10"/>
      <c r="P148" s="10"/>
      <c r="Q148" s="10"/>
      <c r="R148" s="17"/>
      <c r="S148" s="18"/>
      <c r="T148" s="5"/>
      <c r="U148" s="5"/>
      <c r="V148" s="5"/>
      <c r="W148" s="5"/>
      <c r="X148" s="5"/>
      <c r="Z148" s="10"/>
      <c r="AA148" s="10"/>
      <c r="AB148" s="10"/>
      <c r="AC148" s="17"/>
      <c r="AD148" s="18"/>
      <c r="AE148" s="5"/>
      <c r="AF148" s="5"/>
      <c r="AG148" s="5"/>
      <c r="AH148" s="5"/>
      <c r="AI148" s="5"/>
    </row>
    <row r="149" spans="4:35" ht="15.95" customHeight="1">
      <c r="D149" s="10"/>
      <c r="E149" s="10"/>
      <c r="F149" s="10"/>
      <c r="G149" s="17"/>
      <c r="H149" s="18"/>
      <c r="I149" s="5"/>
      <c r="J149" s="5"/>
      <c r="K149" s="5"/>
      <c r="L149" s="17"/>
      <c r="M149" s="18"/>
      <c r="O149" s="10"/>
      <c r="P149" s="10"/>
      <c r="Q149" s="10"/>
      <c r="R149" s="17"/>
      <c r="S149" s="18"/>
      <c r="T149" s="5"/>
      <c r="U149" s="5"/>
      <c r="V149" s="5"/>
      <c r="W149" s="17"/>
      <c r="X149" s="18"/>
      <c r="Z149" s="10"/>
      <c r="AA149" s="10"/>
      <c r="AB149" s="10"/>
      <c r="AC149" s="17"/>
      <c r="AD149" s="18"/>
      <c r="AE149" s="5"/>
      <c r="AF149" s="5"/>
      <c r="AG149" s="5"/>
      <c r="AH149" s="17"/>
      <c r="AI149" s="18"/>
    </row>
    <row r="150" spans="4:35" ht="15.95" customHeight="1">
      <c r="D150" s="10"/>
      <c r="E150" s="10"/>
      <c r="F150" s="10"/>
      <c r="G150" s="17"/>
      <c r="H150" s="18"/>
      <c r="I150" s="5"/>
      <c r="J150" s="5"/>
      <c r="K150" s="5"/>
      <c r="L150" s="5"/>
      <c r="M150" s="5"/>
      <c r="O150" s="10"/>
      <c r="P150" s="10"/>
      <c r="Q150" s="10"/>
      <c r="R150" s="17"/>
      <c r="S150" s="18"/>
      <c r="T150" s="5"/>
      <c r="U150" s="5"/>
      <c r="V150" s="5"/>
      <c r="W150" s="5"/>
      <c r="X150" s="5"/>
      <c r="Z150" s="10"/>
      <c r="AA150" s="10"/>
      <c r="AB150" s="10"/>
      <c r="AC150" s="17"/>
      <c r="AD150" s="18"/>
      <c r="AE150" s="5"/>
      <c r="AF150" s="5"/>
      <c r="AG150" s="5"/>
      <c r="AH150" s="5"/>
      <c r="AI150" s="5"/>
    </row>
    <row r="151" spans="4:35" ht="15.95" customHeight="1">
      <c r="D151" s="10"/>
      <c r="E151" s="10"/>
      <c r="F151" s="10"/>
      <c r="G151" s="17"/>
      <c r="H151" s="18"/>
      <c r="I151" s="5"/>
      <c r="J151" s="5"/>
      <c r="K151" s="5"/>
      <c r="L151" s="17"/>
      <c r="M151" s="18"/>
      <c r="O151" s="10"/>
      <c r="P151" s="10"/>
      <c r="Q151" s="10"/>
      <c r="R151" s="17"/>
      <c r="S151" s="18"/>
      <c r="T151" s="5"/>
      <c r="U151" s="5"/>
      <c r="V151" s="5"/>
      <c r="W151" s="17"/>
      <c r="X151" s="18"/>
      <c r="Z151" s="10"/>
      <c r="AA151" s="10"/>
      <c r="AB151" s="10"/>
      <c r="AC151" s="17"/>
      <c r="AD151" s="18"/>
      <c r="AE151" s="5"/>
      <c r="AF151" s="5"/>
      <c r="AG151" s="5"/>
      <c r="AH151" s="17"/>
      <c r="AI151" s="18"/>
    </row>
    <row r="152" spans="4:35" ht="15.95" customHeight="1">
      <c r="D152" s="10"/>
      <c r="E152" s="10"/>
      <c r="F152" s="10"/>
      <c r="G152" s="17"/>
      <c r="H152" s="18"/>
      <c r="I152" s="5"/>
      <c r="J152" s="5"/>
      <c r="K152" s="5"/>
      <c r="L152" s="5"/>
      <c r="M152" s="5"/>
      <c r="O152" s="10"/>
      <c r="P152" s="10"/>
      <c r="Q152" s="10"/>
      <c r="R152" s="17"/>
      <c r="S152" s="18"/>
      <c r="T152" s="5"/>
      <c r="U152" s="5"/>
      <c r="V152" s="5"/>
      <c r="W152" s="5"/>
      <c r="X152" s="5"/>
      <c r="Z152" s="10"/>
      <c r="AA152" s="10"/>
      <c r="AB152" s="10"/>
      <c r="AC152" s="17"/>
      <c r="AD152" s="18"/>
      <c r="AE152" s="5"/>
      <c r="AF152" s="5"/>
      <c r="AG152" s="5"/>
      <c r="AH152" s="5"/>
      <c r="AI152" s="5"/>
    </row>
    <row r="153" spans="4:35" ht="15.95" customHeight="1">
      <c r="D153" s="10"/>
      <c r="E153" s="10"/>
      <c r="F153" s="10"/>
      <c r="G153" s="17"/>
      <c r="H153" s="18"/>
      <c r="I153" s="5"/>
      <c r="J153" s="5"/>
      <c r="K153" s="5"/>
      <c r="L153" s="17"/>
      <c r="M153" s="18"/>
      <c r="O153" s="10"/>
      <c r="P153" s="10"/>
      <c r="Q153" s="10"/>
      <c r="R153" s="17"/>
      <c r="S153" s="18"/>
      <c r="T153" s="5"/>
      <c r="U153" s="5"/>
      <c r="V153" s="5"/>
      <c r="W153" s="17"/>
      <c r="X153" s="18"/>
      <c r="Z153" s="10"/>
      <c r="AA153" s="10"/>
      <c r="AB153" s="10"/>
      <c r="AC153" s="17"/>
      <c r="AD153" s="18"/>
      <c r="AE153" s="5"/>
      <c r="AF153" s="5"/>
      <c r="AG153" s="5"/>
      <c r="AH153" s="17"/>
      <c r="AI153" s="18"/>
    </row>
    <row r="154" spans="4:35" ht="15.95" customHeight="1">
      <c r="D154" s="10"/>
      <c r="E154" s="10"/>
      <c r="F154" s="10"/>
      <c r="G154" s="17"/>
      <c r="H154" s="18"/>
      <c r="I154" s="5"/>
      <c r="J154" s="5"/>
      <c r="K154" s="5"/>
      <c r="L154" s="5"/>
      <c r="M154" s="5"/>
      <c r="O154" s="10"/>
      <c r="P154" s="10"/>
      <c r="Q154" s="10"/>
      <c r="R154" s="17"/>
      <c r="S154" s="18"/>
      <c r="T154" s="5"/>
      <c r="U154" s="5"/>
      <c r="V154" s="5"/>
      <c r="W154" s="5"/>
      <c r="X154" s="5"/>
      <c r="Z154" s="10"/>
      <c r="AA154" s="10"/>
      <c r="AB154" s="10"/>
      <c r="AC154" s="17"/>
      <c r="AD154" s="18"/>
      <c r="AE154" s="5"/>
      <c r="AF154" s="5"/>
      <c r="AG154" s="5"/>
      <c r="AH154" s="5"/>
      <c r="AI154" s="5"/>
    </row>
    <row r="155" spans="4:35" ht="15.95" customHeight="1">
      <c r="D155" s="10"/>
      <c r="E155" s="10"/>
      <c r="F155" s="10"/>
      <c r="G155" s="17"/>
      <c r="H155" s="18"/>
      <c r="I155" s="5"/>
      <c r="J155" s="5"/>
      <c r="K155" s="5"/>
      <c r="L155" s="17"/>
      <c r="M155" s="18"/>
      <c r="O155" s="10"/>
      <c r="P155" s="10"/>
      <c r="Q155" s="10"/>
      <c r="R155" s="17"/>
      <c r="S155" s="18"/>
      <c r="T155" s="5"/>
      <c r="U155" s="5"/>
      <c r="V155" s="5"/>
      <c r="W155" s="17"/>
      <c r="X155" s="18"/>
      <c r="Z155" s="10"/>
      <c r="AA155" s="10"/>
      <c r="AB155" s="10"/>
      <c r="AC155" s="17"/>
      <c r="AD155" s="18"/>
      <c r="AE155" s="5"/>
      <c r="AF155" s="5"/>
      <c r="AG155" s="5"/>
      <c r="AH155" s="17"/>
      <c r="AI155" s="18"/>
    </row>
    <row r="156" spans="4:35" ht="15.95" customHeight="1">
      <c r="D156" s="10"/>
      <c r="E156" s="10"/>
      <c r="F156" s="10"/>
      <c r="G156" s="17"/>
      <c r="H156" s="18"/>
      <c r="I156" s="5"/>
      <c r="J156" s="5"/>
      <c r="K156" s="5"/>
      <c r="L156" s="5"/>
      <c r="M156" s="5"/>
      <c r="O156" s="10"/>
      <c r="P156" s="10"/>
      <c r="Q156" s="10"/>
      <c r="R156" s="17"/>
      <c r="S156" s="18"/>
      <c r="T156" s="5"/>
      <c r="U156" s="5"/>
      <c r="V156" s="5"/>
      <c r="W156" s="5"/>
      <c r="X156" s="5"/>
      <c r="Z156" s="10"/>
      <c r="AA156" s="10"/>
      <c r="AB156" s="10"/>
      <c r="AC156" s="17"/>
      <c r="AD156" s="18"/>
      <c r="AE156" s="5"/>
      <c r="AF156" s="5"/>
      <c r="AG156" s="5"/>
      <c r="AH156" s="5"/>
      <c r="AI156" s="5"/>
    </row>
    <row r="157" spans="4:35" ht="15.95" customHeight="1">
      <c r="G157" s="3"/>
      <c r="H157" s="3"/>
      <c r="I157" s="27"/>
      <c r="J157" s="27"/>
      <c r="K157" s="27"/>
      <c r="L157" s="28"/>
      <c r="M157" s="29"/>
      <c r="R157" s="3"/>
      <c r="S157" s="3"/>
      <c r="T157" s="27"/>
      <c r="U157" s="27"/>
      <c r="V157" s="27"/>
      <c r="W157" s="28"/>
      <c r="X157" s="29"/>
      <c r="AC157" s="3"/>
      <c r="AD157" s="3"/>
      <c r="AE157" s="27"/>
      <c r="AF157" s="27"/>
      <c r="AG157" s="27"/>
      <c r="AH157" s="28"/>
      <c r="AI157" s="29"/>
    </row>
    <row r="158" spans="4:35" ht="15.95" customHeight="1">
      <c r="G158" s="3"/>
      <c r="H158" s="3"/>
      <c r="I158" s="27"/>
      <c r="J158" s="27"/>
      <c r="K158" s="27"/>
      <c r="L158" s="27"/>
      <c r="M158" s="27"/>
      <c r="R158" s="3"/>
      <c r="S158" s="3"/>
      <c r="T158" s="27"/>
      <c r="U158" s="27"/>
      <c r="V158" s="27"/>
      <c r="W158" s="27"/>
      <c r="X158" s="27"/>
      <c r="AC158" s="3"/>
      <c r="AD158" s="3"/>
      <c r="AE158" s="27"/>
      <c r="AF158" s="27"/>
      <c r="AG158" s="27"/>
      <c r="AH158" s="27"/>
      <c r="AI158" s="27"/>
    </row>
  </sheetData>
  <mergeCells count="1753">
    <mergeCell ref="CN23:CN24"/>
    <mergeCell ref="CD29:CD30"/>
    <mergeCell ref="CJ31:CJ32"/>
    <mergeCell ref="CK31:CK32"/>
    <mergeCell ref="CL31:CM32"/>
    <mergeCell ref="CF31:CF32"/>
    <mergeCell ref="CG31:CI32"/>
    <mergeCell ref="CK27:CK28"/>
    <mergeCell ref="CF27:CF28"/>
    <mergeCell ref="CG27:CI28"/>
    <mergeCell ref="CJ27:CJ28"/>
    <mergeCell ref="CL27:CM28"/>
    <mergeCell ref="CB33:CB34"/>
    <mergeCell ref="CH95:CL96"/>
    <mergeCell ref="CM95:CN96"/>
    <mergeCell ref="CH88:CL89"/>
    <mergeCell ref="CM88:CN89"/>
    <mergeCell ref="CH90:CL91"/>
    <mergeCell ref="CM90:CN91"/>
    <mergeCell ref="CH92:CL93"/>
    <mergeCell ref="CM92:CN93"/>
    <mergeCell ref="CH82:CL83"/>
    <mergeCell ref="CM82:CN83"/>
    <mergeCell ref="CH84:CL85"/>
    <mergeCell ref="CM84:CN85"/>
    <mergeCell ref="CH86:CL87"/>
    <mergeCell ref="CM86:CN87"/>
    <mergeCell ref="CH77:CL78"/>
    <mergeCell ref="CM77:CN78"/>
    <mergeCell ref="CN57:CN58"/>
    <mergeCell ref="CK65:CK66"/>
    <mergeCell ref="CL65:CM66"/>
    <mergeCell ref="CN65:CN66"/>
    <mergeCell ref="CN63:CN64"/>
    <mergeCell ref="CN61:CN62"/>
    <mergeCell ref="CN59:CN60"/>
    <mergeCell ref="CG57:CI58"/>
    <mergeCell ref="CJ57:CJ58"/>
    <mergeCell ref="CK57:CK58"/>
    <mergeCell ref="CL57:CM58"/>
    <mergeCell ref="CL59:CM60"/>
    <mergeCell ref="CJ59:CJ60"/>
    <mergeCell ref="CK59:CK60"/>
    <mergeCell ref="CJ65:CJ66"/>
    <mergeCell ref="CG65:CI66"/>
    <mergeCell ref="CL55:CM56"/>
    <mergeCell ref="CN49:CN50"/>
    <mergeCell ref="CN35:CN36"/>
    <mergeCell ref="BT78:BU79"/>
    <mergeCell ref="BV78:BV79"/>
    <mergeCell ref="CN67:CN68"/>
    <mergeCell ref="CC53:CC54"/>
    <mergeCell ref="CD53:CD54"/>
    <mergeCell ref="CD55:CD56"/>
    <mergeCell ref="BY55:BY56"/>
    <mergeCell ref="CA55:CA56"/>
    <mergeCell ref="CB55:CB56"/>
    <mergeCell ref="CC55:CC56"/>
    <mergeCell ref="BV35:BV36"/>
    <mergeCell ref="CC51:CC52"/>
    <mergeCell ref="CD51:CD52"/>
    <mergeCell ref="CB35:CB36"/>
    <mergeCell ref="CA35:CA36"/>
    <mergeCell ref="CG35:CI36"/>
    <mergeCell ref="BT80:BU81"/>
    <mergeCell ref="BV80:BV81"/>
    <mergeCell ref="CH80:CL81"/>
    <mergeCell ref="CM80:CN81"/>
    <mergeCell ref="V75:V76"/>
    <mergeCell ref="W75:W76"/>
    <mergeCell ref="X75:X76"/>
    <mergeCell ref="AE75:AE76"/>
    <mergeCell ref="AF75:AF76"/>
    <mergeCell ref="AG75:AG76"/>
    <mergeCell ref="CE74:CE75"/>
    <mergeCell ref="CK74:CK75"/>
    <mergeCell ref="CE72:CE73"/>
    <mergeCell ref="X71:X72"/>
    <mergeCell ref="AE71:AE72"/>
    <mergeCell ref="AF71:AF72"/>
    <mergeCell ref="BZ72:BZ73"/>
    <mergeCell ref="V73:V74"/>
    <mergeCell ref="W73:W74"/>
    <mergeCell ref="BT74:BU75"/>
    <mergeCell ref="BV74:BV75"/>
    <mergeCell ref="AH75:AH76"/>
    <mergeCell ref="AI75:AI76"/>
    <mergeCell ref="AD71:AD72"/>
    <mergeCell ref="CG67:CI68"/>
    <mergeCell ref="CJ67:CJ68"/>
    <mergeCell ref="CK67:CK68"/>
    <mergeCell ref="CL67:CM68"/>
    <mergeCell ref="CJ63:CJ64"/>
    <mergeCell ref="CK63:CK64"/>
    <mergeCell ref="CL63:CM64"/>
    <mergeCell ref="CD63:CD64"/>
    <mergeCell ref="J75:J76"/>
    <mergeCell ref="K75:K76"/>
    <mergeCell ref="L75:L76"/>
    <mergeCell ref="M75:M76"/>
    <mergeCell ref="T75:T76"/>
    <mergeCell ref="U75:U76"/>
    <mergeCell ref="BW74:BW75"/>
    <mergeCell ref="BX74:BX75"/>
    <mergeCell ref="BY74:BY75"/>
    <mergeCell ref="AF73:AF74"/>
    <mergeCell ref="AG73:AG74"/>
    <mergeCell ref="AH73:AH74"/>
    <mergeCell ref="AI73:AI74"/>
    <mergeCell ref="X73:X74"/>
    <mergeCell ref="Y73:Y74"/>
    <mergeCell ref="Z73:AB74"/>
    <mergeCell ref="AC73:AC74"/>
    <mergeCell ref="AD73:AD74"/>
    <mergeCell ref="AE73:AE74"/>
    <mergeCell ref="R73:R74"/>
    <mergeCell ref="S73:S74"/>
    <mergeCell ref="T73:T74"/>
    <mergeCell ref="U73:U74"/>
    <mergeCell ref="J73:J74"/>
    <mergeCell ref="K73:K74"/>
    <mergeCell ref="L73:L74"/>
    <mergeCell ref="M73:M74"/>
    <mergeCell ref="N73:N74"/>
    <mergeCell ref="O73:Q74"/>
    <mergeCell ref="L71:L72"/>
    <mergeCell ref="M71:M72"/>
    <mergeCell ref="N71:N72"/>
    <mergeCell ref="O71:Q72"/>
    <mergeCell ref="R71:R72"/>
    <mergeCell ref="BZ74:BZ75"/>
    <mergeCell ref="CF72:CF73"/>
    <mergeCell ref="CJ72:CJ73"/>
    <mergeCell ref="CK72:CK73"/>
    <mergeCell ref="CL72:CL73"/>
    <mergeCell ref="C73:C74"/>
    <mergeCell ref="D73:F74"/>
    <mergeCell ref="G73:G74"/>
    <mergeCell ref="H73:H74"/>
    <mergeCell ref="I73:I74"/>
    <mergeCell ref="BX72:BX73"/>
    <mergeCell ref="BY72:BY73"/>
    <mergeCell ref="AG71:AG72"/>
    <mergeCell ref="AH71:AH72"/>
    <mergeCell ref="AI71:AI72"/>
    <mergeCell ref="BT72:BU73"/>
    <mergeCell ref="BV72:BV73"/>
    <mergeCell ref="BW72:BW73"/>
    <mergeCell ref="Y71:Y72"/>
    <mergeCell ref="Z71:AB72"/>
    <mergeCell ref="AC71:AC72"/>
    <mergeCell ref="I75:I76"/>
    <mergeCell ref="S71:S72"/>
    <mergeCell ref="T71:T72"/>
    <mergeCell ref="U71:U72"/>
    <mergeCell ref="V71:V72"/>
    <mergeCell ref="W71:W72"/>
    <mergeCell ref="CJ69:CJ70"/>
    <mergeCell ref="CK69:CK70"/>
    <mergeCell ref="CL69:CM70"/>
    <mergeCell ref="CN69:CN70"/>
    <mergeCell ref="C71:C72"/>
    <mergeCell ref="D71:F72"/>
    <mergeCell ref="G71:G72"/>
    <mergeCell ref="H71:H72"/>
    <mergeCell ref="I71:I72"/>
    <mergeCell ref="J71:J72"/>
    <mergeCell ref="CB69:CB70"/>
    <mergeCell ref="CC69:CC70"/>
    <mergeCell ref="CD69:CD70"/>
    <mergeCell ref="CE69:CE70"/>
    <mergeCell ref="CF69:CF70"/>
    <mergeCell ref="CG69:CI70"/>
    <mergeCell ref="BR69:BU70"/>
    <mergeCell ref="BV69:BV70"/>
    <mergeCell ref="BW69:BW70"/>
    <mergeCell ref="BX69:BX70"/>
    <mergeCell ref="BY69:BY70"/>
    <mergeCell ref="CA69:CA70"/>
    <mergeCell ref="AD69:AD70"/>
    <mergeCell ref="AE69:AE70"/>
    <mergeCell ref="AF69:AF70"/>
    <mergeCell ref="AG69:AG70"/>
    <mergeCell ref="K71:K72"/>
    <mergeCell ref="C69:C70"/>
    <mergeCell ref="D69:F70"/>
    <mergeCell ref="G69:G70"/>
    <mergeCell ref="H69:H70"/>
    <mergeCell ref="I69:I70"/>
    <mergeCell ref="J69:J70"/>
    <mergeCell ref="K69:K70"/>
    <mergeCell ref="L69:L70"/>
    <mergeCell ref="M69:M70"/>
    <mergeCell ref="CE67:CE68"/>
    <mergeCell ref="CF67:CF68"/>
    <mergeCell ref="BX67:BX68"/>
    <mergeCell ref="BY67:BY68"/>
    <mergeCell ref="AI69:AI70"/>
    <mergeCell ref="V69:V70"/>
    <mergeCell ref="W69:W70"/>
    <mergeCell ref="X69:X70"/>
    <mergeCell ref="Y69:Y70"/>
    <mergeCell ref="Z69:AB70"/>
    <mergeCell ref="AC69:AC70"/>
    <mergeCell ref="BR67:BU68"/>
    <mergeCell ref="BV67:BV68"/>
    <mergeCell ref="BW67:BW68"/>
    <mergeCell ref="Y67:Y68"/>
    <mergeCell ref="Z67:AB68"/>
    <mergeCell ref="AC67:AC68"/>
    <mergeCell ref="CB67:CB68"/>
    <mergeCell ref="CC67:CC68"/>
    <mergeCell ref="CD67:CD68"/>
    <mergeCell ref="AG67:AG68"/>
    <mergeCell ref="AD67:AD68"/>
    <mergeCell ref="AE67:AE68"/>
    <mergeCell ref="K67:K68"/>
    <mergeCell ref="L67:L68"/>
    <mergeCell ref="M67:M68"/>
    <mergeCell ref="N67:N68"/>
    <mergeCell ref="O67:Q68"/>
    <mergeCell ref="R67:R68"/>
    <mergeCell ref="AH69:AH70"/>
    <mergeCell ref="N69:N70"/>
    <mergeCell ref="O69:Q70"/>
    <mergeCell ref="R69:R70"/>
    <mergeCell ref="S69:S70"/>
    <mergeCell ref="T69:T70"/>
    <mergeCell ref="U69:U70"/>
    <mergeCell ref="U65:U66"/>
    <mergeCell ref="BZ65:BZ66"/>
    <mergeCell ref="BZ67:BZ68"/>
    <mergeCell ref="N65:N66"/>
    <mergeCell ref="O65:Q66"/>
    <mergeCell ref="S67:S68"/>
    <mergeCell ref="T67:T68"/>
    <mergeCell ref="U67:U68"/>
    <mergeCell ref="V67:V68"/>
    <mergeCell ref="W67:W68"/>
    <mergeCell ref="X67:X68"/>
    <mergeCell ref="AF67:AF68"/>
    <mergeCell ref="C67:C68"/>
    <mergeCell ref="D67:F68"/>
    <mergeCell ref="G67:G68"/>
    <mergeCell ref="H67:H68"/>
    <mergeCell ref="I67:I68"/>
    <mergeCell ref="J67:J68"/>
    <mergeCell ref="CB65:CB66"/>
    <mergeCell ref="CC65:CC66"/>
    <mergeCell ref="CD65:CD66"/>
    <mergeCell ref="CE65:CE66"/>
    <mergeCell ref="CF65:CF66"/>
    <mergeCell ref="BR65:BU66"/>
    <mergeCell ref="BV65:BV66"/>
    <mergeCell ref="BW65:BW66"/>
    <mergeCell ref="BX65:BX66"/>
    <mergeCell ref="BY65:BY66"/>
    <mergeCell ref="CA65:CA66"/>
    <mergeCell ref="AD65:AD66"/>
    <mergeCell ref="AE65:AE66"/>
    <mergeCell ref="AF65:AF66"/>
    <mergeCell ref="AG65:AG66"/>
    <mergeCell ref="AH65:AH66"/>
    <mergeCell ref="AI65:AI66"/>
    <mergeCell ref="V65:V66"/>
    <mergeCell ref="W65:W66"/>
    <mergeCell ref="X65:X66"/>
    <mergeCell ref="CA67:CA68"/>
    <mergeCell ref="AH67:AH68"/>
    <mergeCell ref="AI67:AI68"/>
    <mergeCell ref="Y65:Y66"/>
    <mergeCell ref="Z65:AB66"/>
    <mergeCell ref="AC65:AC66"/>
    <mergeCell ref="C65:C66"/>
    <mergeCell ref="D65:F66"/>
    <mergeCell ref="G65:G66"/>
    <mergeCell ref="H65:H66"/>
    <mergeCell ref="I65:I66"/>
    <mergeCell ref="J65:J66"/>
    <mergeCell ref="K65:K66"/>
    <mergeCell ref="L65:L66"/>
    <mergeCell ref="M65:M66"/>
    <mergeCell ref="CE63:CE64"/>
    <mergeCell ref="CF63:CF64"/>
    <mergeCell ref="CG63:CI64"/>
    <mergeCell ref="S63:S64"/>
    <mergeCell ref="T63:T64"/>
    <mergeCell ref="U63:U64"/>
    <mergeCell ref="V63:V64"/>
    <mergeCell ref="W63:W64"/>
    <mergeCell ref="X63:X64"/>
    <mergeCell ref="K63:K64"/>
    <mergeCell ref="L63:L64"/>
    <mergeCell ref="M63:M64"/>
    <mergeCell ref="N63:N64"/>
    <mergeCell ref="O63:Q64"/>
    <mergeCell ref="R63:R64"/>
    <mergeCell ref="R65:R66"/>
    <mergeCell ref="S65:S66"/>
    <mergeCell ref="T65:T66"/>
    <mergeCell ref="BX63:BX64"/>
    <mergeCell ref="BY63:BY64"/>
    <mergeCell ref="CA63:CA64"/>
    <mergeCell ref="CB63:CB64"/>
    <mergeCell ref="CC63:CC64"/>
    <mergeCell ref="AG63:AG64"/>
    <mergeCell ref="AH63:AH64"/>
    <mergeCell ref="AI63:AI64"/>
    <mergeCell ref="BR63:BU64"/>
    <mergeCell ref="BV63:BV64"/>
    <mergeCell ref="BW63:BW64"/>
    <mergeCell ref="Y63:Y64"/>
    <mergeCell ref="Z63:AB64"/>
    <mergeCell ref="AC63:AC64"/>
    <mergeCell ref="AD63:AD64"/>
    <mergeCell ref="AE63:AE64"/>
    <mergeCell ref="AF63:AF64"/>
    <mergeCell ref="CJ61:CJ62"/>
    <mergeCell ref="CK61:CK62"/>
    <mergeCell ref="CL61:CM62"/>
    <mergeCell ref="O61:Q62"/>
    <mergeCell ref="R61:R62"/>
    <mergeCell ref="S61:S62"/>
    <mergeCell ref="T61:T62"/>
    <mergeCell ref="U61:U62"/>
    <mergeCell ref="BZ61:BZ62"/>
    <mergeCell ref="BZ63:BZ64"/>
    <mergeCell ref="C63:C64"/>
    <mergeCell ref="D63:F64"/>
    <mergeCell ref="G63:G64"/>
    <mergeCell ref="H63:H64"/>
    <mergeCell ref="I63:I64"/>
    <mergeCell ref="J63:J64"/>
    <mergeCell ref="CB61:CB62"/>
    <mergeCell ref="CC61:CC62"/>
    <mergeCell ref="CD61:CD62"/>
    <mergeCell ref="CE61:CE62"/>
    <mergeCell ref="CF61:CF62"/>
    <mergeCell ref="CG61:CI62"/>
    <mergeCell ref="BR61:BU62"/>
    <mergeCell ref="BV61:BV62"/>
    <mergeCell ref="BW61:BW62"/>
    <mergeCell ref="BX61:BX62"/>
    <mergeCell ref="BY61:BY62"/>
    <mergeCell ref="CA61:CA62"/>
    <mergeCell ref="AD61:AD62"/>
    <mergeCell ref="AE61:AE62"/>
    <mergeCell ref="AF61:AF62"/>
    <mergeCell ref="AG61:AG62"/>
    <mergeCell ref="AH61:AH62"/>
    <mergeCell ref="AI61:AI62"/>
    <mergeCell ref="V61:V62"/>
    <mergeCell ref="W61:W62"/>
    <mergeCell ref="X61:X62"/>
    <mergeCell ref="Y61:Y62"/>
    <mergeCell ref="Z61:AB62"/>
    <mergeCell ref="AC61:AC62"/>
    <mergeCell ref="N61:N62"/>
    <mergeCell ref="C61:C62"/>
    <mergeCell ref="Y57:Y58"/>
    <mergeCell ref="H55:H56"/>
    <mergeCell ref="AH57:AH58"/>
    <mergeCell ref="AI55:AI56"/>
    <mergeCell ref="D61:F62"/>
    <mergeCell ref="G61:G62"/>
    <mergeCell ref="H61:H62"/>
    <mergeCell ref="I61:I62"/>
    <mergeCell ref="J61:J62"/>
    <mergeCell ref="K61:K62"/>
    <mergeCell ref="L61:L62"/>
    <mergeCell ref="M61:M62"/>
    <mergeCell ref="I59:I60"/>
    <mergeCell ref="J59:J60"/>
    <mergeCell ref="T57:T58"/>
    <mergeCell ref="U57:U58"/>
    <mergeCell ref="S59:S60"/>
    <mergeCell ref="T59:T60"/>
    <mergeCell ref="U59:U60"/>
    <mergeCell ref="V59:V60"/>
    <mergeCell ref="W59:W60"/>
    <mergeCell ref="X59:X60"/>
    <mergeCell ref="K59:K60"/>
    <mergeCell ref="L59:L60"/>
    <mergeCell ref="M59:M60"/>
    <mergeCell ref="N59:N60"/>
    <mergeCell ref="O59:Q60"/>
    <mergeCell ref="R59:R60"/>
    <mergeCell ref="H57:H58"/>
    <mergeCell ref="I57:I58"/>
    <mergeCell ref="J57:J58"/>
    <mergeCell ref="K57:K58"/>
    <mergeCell ref="C57:C58"/>
    <mergeCell ref="D57:F58"/>
    <mergeCell ref="BY57:BY58"/>
    <mergeCell ref="CE59:CE60"/>
    <mergeCell ref="CF59:CF60"/>
    <mergeCell ref="CG59:CI60"/>
    <mergeCell ref="BX59:BX60"/>
    <mergeCell ref="BY59:BY60"/>
    <mergeCell ref="CA59:CA60"/>
    <mergeCell ref="CB59:CB60"/>
    <mergeCell ref="CC59:CC60"/>
    <mergeCell ref="CD59:CD60"/>
    <mergeCell ref="AG59:AG60"/>
    <mergeCell ref="AH59:AH60"/>
    <mergeCell ref="AI59:AI60"/>
    <mergeCell ref="BR59:BU60"/>
    <mergeCell ref="BV59:BV60"/>
    <mergeCell ref="BW59:BW60"/>
    <mergeCell ref="Y59:Y60"/>
    <mergeCell ref="Z59:AB60"/>
    <mergeCell ref="AC59:AC60"/>
    <mergeCell ref="AG57:AG58"/>
    <mergeCell ref="CA57:CA58"/>
    <mergeCell ref="CB57:CB58"/>
    <mergeCell ref="CC57:CC58"/>
    <mergeCell ref="BZ59:BZ60"/>
    <mergeCell ref="Z57:AB58"/>
    <mergeCell ref="AC57:AC58"/>
    <mergeCell ref="AD57:AD58"/>
    <mergeCell ref="AI57:AI58"/>
    <mergeCell ref="BR57:BU58"/>
    <mergeCell ref="G57:G58"/>
    <mergeCell ref="C53:C54"/>
    <mergeCell ref="V55:V56"/>
    <mergeCell ref="W55:W56"/>
    <mergeCell ref="X55:X56"/>
    <mergeCell ref="K55:K56"/>
    <mergeCell ref="CF57:CF58"/>
    <mergeCell ref="CD57:CD58"/>
    <mergeCell ref="CE57:CE58"/>
    <mergeCell ref="AD59:AD60"/>
    <mergeCell ref="AE59:AE60"/>
    <mergeCell ref="AF59:AF60"/>
    <mergeCell ref="L57:L58"/>
    <mergeCell ref="M57:M58"/>
    <mergeCell ref="N57:N58"/>
    <mergeCell ref="O57:Q58"/>
    <mergeCell ref="R57:R58"/>
    <mergeCell ref="S57:S58"/>
    <mergeCell ref="BF56:BF57"/>
    <mergeCell ref="BG56:BG57"/>
    <mergeCell ref="AG55:AG56"/>
    <mergeCell ref="AH55:AH56"/>
    <mergeCell ref="BW57:BW58"/>
    <mergeCell ref="BX57:BX58"/>
    <mergeCell ref="BZ57:BZ58"/>
    <mergeCell ref="V57:V58"/>
    <mergeCell ref="W57:W58"/>
    <mergeCell ref="AE57:AE58"/>
    <mergeCell ref="BZ55:BZ56"/>
    <mergeCell ref="AF57:AF58"/>
    <mergeCell ref="D53:F54"/>
    <mergeCell ref="BR55:BU56"/>
    <mergeCell ref="BV55:BV56"/>
    <mergeCell ref="CN53:CN54"/>
    <mergeCell ref="AL54:AL55"/>
    <mergeCell ref="AM54:AO55"/>
    <mergeCell ref="AP54:AP55"/>
    <mergeCell ref="AQ54:AQ55"/>
    <mergeCell ref="AR54:AR55"/>
    <mergeCell ref="AS54:AS55"/>
    <mergeCell ref="AX54:AX55"/>
    <mergeCell ref="AY54:BA55"/>
    <mergeCell ref="BB54:BB55"/>
    <mergeCell ref="CE53:CE54"/>
    <mergeCell ref="CF53:CF54"/>
    <mergeCell ref="CG53:CI54"/>
    <mergeCell ref="CJ53:CJ54"/>
    <mergeCell ref="CK53:CK54"/>
    <mergeCell ref="CL53:CM54"/>
    <mergeCell ref="BX53:BX54"/>
    <mergeCell ref="BY53:BY54"/>
    <mergeCell ref="CA53:CA54"/>
    <mergeCell ref="CN55:CN56"/>
    <mergeCell ref="CG55:CI56"/>
    <mergeCell ref="CJ55:CJ56"/>
    <mergeCell ref="CK55:CK56"/>
    <mergeCell ref="CE55:CE56"/>
    <mergeCell ref="CF55:CF56"/>
    <mergeCell ref="BW55:BW56"/>
    <mergeCell ref="BX55:BX56"/>
    <mergeCell ref="C51:C52"/>
    <mergeCell ref="D51:F52"/>
    <mergeCell ref="AX52:AX53"/>
    <mergeCell ref="AY52:BA53"/>
    <mergeCell ref="Y55:Y56"/>
    <mergeCell ref="AD55:AD56"/>
    <mergeCell ref="AE55:AE56"/>
    <mergeCell ref="S55:S56"/>
    <mergeCell ref="T55:T56"/>
    <mergeCell ref="U55:U56"/>
    <mergeCell ref="K51:K52"/>
    <mergeCell ref="BE52:BE53"/>
    <mergeCell ref="AL52:AL53"/>
    <mergeCell ref="AQ52:AQ53"/>
    <mergeCell ref="BB52:BB53"/>
    <mergeCell ref="G53:G54"/>
    <mergeCell ref="H53:H54"/>
    <mergeCell ref="BC54:BC55"/>
    <mergeCell ref="BD54:BD55"/>
    <mergeCell ref="Y53:Y54"/>
    <mergeCell ref="I55:I56"/>
    <mergeCell ref="J55:J56"/>
    <mergeCell ref="N55:N56"/>
    <mergeCell ref="O55:Q56"/>
    <mergeCell ref="R55:R56"/>
    <mergeCell ref="AC53:AC54"/>
    <mergeCell ref="S53:S54"/>
    <mergeCell ref="T53:T54"/>
    <mergeCell ref="L55:L56"/>
    <mergeCell ref="M55:M56"/>
    <mergeCell ref="AF55:AF56"/>
    <mergeCell ref="Z55:AB56"/>
    <mergeCell ref="C49:C50"/>
    <mergeCell ref="G43:G44"/>
    <mergeCell ref="BZ69:BZ70"/>
    <mergeCell ref="K53:K54"/>
    <mergeCell ref="L53:L54"/>
    <mergeCell ref="M53:M54"/>
    <mergeCell ref="N53:N54"/>
    <mergeCell ref="O53:Q54"/>
    <mergeCell ref="R53:R54"/>
    <mergeCell ref="AE51:AE52"/>
    <mergeCell ref="AG49:AG50"/>
    <mergeCell ref="AH49:AH50"/>
    <mergeCell ref="AI49:AI50"/>
    <mergeCell ref="K47:K48"/>
    <mergeCell ref="L47:L48"/>
    <mergeCell ref="M47:M48"/>
    <mergeCell ref="N47:N48"/>
    <mergeCell ref="O47:Q48"/>
    <mergeCell ref="R47:R48"/>
    <mergeCell ref="AG47:AG48"/>
    <mergeCell ref="Y49:Y50"/>
    <mergeCell ref="AC49:AC50"/>
    <mergeCell ref="BC52:BC53"/>
    <mergeCell ref="BD52:BD53"/>
    <mergeCell ref="D49:F50"/>
    <mergeCell ref="C45:C46"/>
    <mergeCell ref="G49:G50"/>
    <mergeCell ref="H49:H50"/>
    <mergeCell ref="C59:C60"/>
    <mergeCell ref="D59:F60"/>
    <mergeCell ref="C55:C56"/>
    <mergeCell ref="D55:F56"/>
    <mergeCell ref="D45:F46"/>
    <mergeCell ref="G45:G46"/>
    <mergeCell ref="H45:H46"/>
    <mergeCell ref="G47:G48"/>
    <mergeCell ref="H51:H52"/>
    <mergeCell ref="V53:V54"/>
    <mergeCell ref="S51:S52"/>
    <mergeCell ref="AR52:AR53"/>
    <mergeCell ref="AS52:AS53"/>
    <mergeCell ref="I49:I50"/>
    <mergeCell ref="J49:J50"/>
    <mergeCell ref="O51:Q52"/>
    <mergeCell ref="G51:G52"/>
    <mergeCell ref="AH43:AH44"/>
    <mergeCell ref="BZ29:BZ30"/>
    <mergeCell ref="H43:H44"/>
    <mergeCell ref="G55:G56"/>
    <mergeCell ref="AE53:AE54"/>
    <mergeCell ref="W51:W52"/>
    <mergeCell ref="R49:R50"/>
    <mergeCell ref="BE54:BE55"/>
    <mergeCell ref="X51:X52"/>
    <mergeCell ref="S49:S50"/>
    <mergeCell ref="W53:W54"/>
    <mergeCell ref="X53:X54"/>
    <mergeCell ref="J51:J52"/>
    <mergeCell ref="K49:K50"/>
    <mergeCell ref="L49:L50"/>
    <mergeCell ref="M49:M50"/>
    <mergeCell ref="N49:N50"/>
    <mergeCell ref="O49:Q50"/>
    <mergeCell ref="BV53:BV54"/>
    <mergeCell ref="I53:I54"/>
    <mergeCell ref="J53:J54"/>
    <mergeCell ref="K43:K44"/>
    <mergeCell ref="L43:L44"/>
    <mergeCell ref="M43:M44"/>
    <mergeCell ref="BB46:BB47"/>
    <mergeCell ref="T49:T50"/>
    <mergeCell ref="AG53:AG54"/>
    <mergeCell ref="AH53:AH54"/>
    <mergeCell ref="AI53:AI54"/>
    <mergeCell ref="BR53:BU54"/>
    <mergeCell ref="G59:G60"/>
    <mergeCell ref="H59:H60"/>
    <mergeCell ref="I37:I38"/>
    <mergeCell ref="J37:J38"/>
    <mergeCell ref="K37:K38"/>
    <mergeCell ref="BZ13:BZ14"/>
    <mergeCell ref="AD49:AD50"/>
    <mergeCell ref="AQ50:AQ51"/>
    <mergeCell ref="AR50:AR51"/>
    <mergeCell ref="BE50:BE51"/>
    <mergeCell ref="AS50:AS51"/>
    <mergeCell ref="BD50:BD51"/>
    <mergeCell ref="R51:R52"/>
    <mergeCell ref="AL44:AO47"/>
    <mergeCell ref="AX44:BA47"/>
    <mergeCell ref="BW53:BW54"/>
    <mergeCell ref="BF54:BF55"/>
    <mergeCell ref="BG54:BG55"/>
    <mergeCell ref="X57:X58"/>
    <mergeCell ref="BV57:BV58"/>
    <mergeCell ref="AC55:AC56"/>
    <mergeCell ref="T51:T52"/>
    <mergeCell ref="U51:U52"/>
    <mergeCell ref="V51:V52"/>
    <mergeCell ref="V49:V50"/>
    <mergeCell ref="U49:U50"/>
    <mergeCell ref="BR49:BU50"/>
    <mergeCell ref="AI45:AI46"/>
    <mergeCell ref="AE45:AE46"/>
    <mergeCell ref="BV49:BV50"/>
    <mergeCell ref="BF50:BF51"/>
    <mergeCell ref="BG50:BG51"/>
    <mergeCell ref="I43:I44"/>
    <mergeCell ref="J43:J44"/>
    <mergeCell ref="L51:L52"/>
    <mergeCell ref="M51:M52"/>
    <mergeCell ref="N51:N52"/>
    <mergeCell ref="CB53:CB54"/>
    <mergeCell ref="BZ53:BZ54"/>
    <mergeCell ref="BR51:BU52"/>
    <mergeCell ref="BV51:BV52"/>
    <mergeCell ref="I45:I46"/>
    <mergeCell ref="J45:J46"/>
    <mergeCell ref="I51:I52"/>
    <mergeCell ref="BF52:BF53"/>
    <mergeCell ref="BG52:BG53"/>
    <mergeCell ref="Y51:Y52"/>
    <mergeCell ref="Z51:AB52"/>
    <mergeCell ref="AC51:AC52"/>
    <mergeCell ref="AD51:AD52"/>
    <mergeCell ref="Z53:AB54"/>
    <mergeCell ref="Z49:AB50"/>
    <mergeCell ref="U53:U54"/>
    <mergeCell ref="C47:C48"/>
    <mergeCell ref="D47:F48"/>
    <mergeCell ref="X47:X48"/>
    <mergeCell ref="AR46:AR47"/>
    <mergeCell ref="M45:M46"/>
    <mergeCell ref="N45:N46"/>
    <mergeCell ref="S47:S48"/>
    <mergeCell ref="BY47:BY48"/>
    <mergeCell ref="O45:Q46"/>
    <mergeCell ref="R45:R46"/>
    <mergeCell ref="AF45:AF46"/>
    <mergeCell ref="S45:S46"/>
    <mergeCell ref="T45:T46"/>
    <mergeCell ref="U45:U46"/>
    <mergeCell ref="V45:V46"/>
    <mergeCell ref="W45:W46"/>
    <mergeCell ref="T47:T48"/>
    <mergeCell ref="U47:U48"/>
    <mergeCell ref="V47:V48"/>
    <mergeCell ref="W47:W48"/>
    <mergeCell ref="BE48:BE49"/>
    <mergeCell ref="AF47:AF48"/>
    <mergeCell ref="H47:H48"/>
    <mergeCell ref="AH47:AH48"/>
    <mergeCell ref="W49:W50"/>
    <mergeCell ref="AP46:AP47"/>
    <mergeCell ref="BX47:BX48"/>
    <mergeCell ref="I47:I48"/>
    <mergeCell ref="J47:J48"/>
    <mergeCell ref="AM50:AO51"/>
    <mergeCell ref="AP50:AP51"/>
    <mergeCell ref="AI51:AI52"/>
    <mergeCell ref="CL51:CM52"/>
    <mergeCell ref="CN13:CN14"/>
    <mergeCell ref="AL48:AL49"/>
    <mergeCell ref="AM48:AO49"/>
    <mergeCell ref="AP48:AP49"/>
    <mergeCell ref="AQ48:AQ49"/>
    <mergeCell ref="AR48:AR49"/>
    <mergeCell ref="AS48:AS49"/>
    <mergeCell ref="AX48:AX49"/>
    <mergeCell ref="AY48:BA49"/>
    <mergeCell ref="CB13:CB14"/>
    <mergeCell ref="BC46:BC47"/>
    <mergeCell ref="BD46:BD47"/>
    <mergeCell ref="BF46:BF47"/>
    <mergeCell ref="BG46:BG47"/>
    <mergeCell ref="CF41:CF42"/>
    <mergeCell ref="AS46:AS47"/>
    <mergeCell ref="CJ41:CJ42"/>
    <mergeCell ref="CK41:CK42"/>
    <mergeCell ref="CL33:CM34"/>
    <mergeCell ref="BY35:BY36"/>
    <mergeCell ref="BB48:BB49"/>
    <mergeCell ref="CN31:CN32"/>
    <mergeCell ref="CK21:CK22"/>
    <mergeCell ref="CL21:CM22"/>
    <mergeCell ref="CL23:CM24"/>
    <mergeCell ref="CN27:CN28"/>
    <mergeCell ref="CK17:CK18"/>
    <mergeCell ref="CL17:CM18"/>
    <mergeCell ref="CF35:CF36"/>
    <mergeCell ref="CJ17:CJ18"/>
    <mergeCell ref="CL35:CM36"/>
    <mergeCell ref="L45:L46"/>
    <mergeCell ref="R43:R44"/>
    <mergeCell ref="S43:S44"/>
    <mergeCell ref="T43:T44"/>
    <mergeCell ref="AF43:AF44"/>
    <mergeCell ref="AG43:AG44"/>
    <mergeCell ref="BZ43:BZ44"/>
    <mergeCell ref="BR39:BU40"/>
    <mergeCell ref="CG47:CI48"/>
    <mergeCell ref="BV47:BV48"/>
    <mergeCell ref="BW47:BW48"/>
    <mergeCell ref="CJ49:CJ50"/>
    <mergeCell ref="BX43:BX44"/>
    <mergeCell ref="BY43:BY44"/>
    <mergeCell ref="CA43:CA44"/>
    <mergeCell ref="CB43:CB44"/>
    <mergeCell ref="CD45:CD46"/>
    <mergeCell ref="CA45:CA46"/>
    <mergeCell ref="CE41:CE42"/>
    <mergeCell ref="BZ39:BZ40"/>
    <mergeCell ref="BR41:BU42"/>
    <mergeCell ref="BV41:BV42"/>
    <mergeCell ref="BW51:BW52"/>
    <mergeCell ref="BD48:BD49"/>
    <mergeCell ref="BF48:BF49"/>
    <mergeCell ref="BG48:BG49"/>
    <mergeCell ref="G41:M42"/>
    <mergeCell ref="R41:X42"/>
    <mergeCell ref="AC41:AI42"/>
    <mergeCell ref="X43:X44"/>
    <mergeCell ref="CJ37:CJ38"/>
    <mergeCell ref="CG37:CI38"/>
    <mergeCell ref="CF37:CF38"/>
    <mergeCell ref="BZ37:BZ38"/>
    <mergeCell ref="CA47:CA48"/>
    <mergeCell ref="AS38:AS39"/>
    <mergeCell ref="BX41:BX42"/>
    <mergeCell ref="CJ47:CJ48"/>
    <mergeCell ref="CF43:CF44"/>
    <mergeCell ref="Y45:Y46"/>
    <mergeCell ref="Z45:AB46"/>
    <mergeCell ref="U37:U38"/>
    <mergeCell ref="W37:W38"/>
    <mergeCell ref="X37:X38"/>
    <mergeCell ref="AX38:AX39"/>
    <mergeCell ref="CE37:CE38"/>
    <mergeCell ref="CD37:CD38"/>
    <mergeCell ref="CC37:CC38"/>
    <mergeCell ref="L37:L38"/>
    <mergeCell ref="M37:M38"/>
    <mergeCell ref="T37:T38"/>
    <mergeCell ref="K45:K46"/>
    <mergeCell ref="BW49:BW50"/>
    <mergeCell ref="U43:U44"/>
    <mergeCell ref="V43:V44"/>
    <mergeCell ref="W43:W44"/>
    <mergeCell ref="AI47:AI48"/>
    <mergeCell ref="AM52:AO53"/>
    <mergeCell ref="AP52:AP53"/>
    <mergeCell ref="AH45:AH46"/>
    <mergeCell ref="AX50:AX51"/>
    <mergeCell ref="AY50:BA51"/>
    <mergeCell ref="BB50:BB51"/>
    <mergeCell ref="AE49:AE50"/>
    <mergeCell ref="AF49:AF50"/>
    <mergeCell ref="AF51:AF52"/>
    <mergeCell ref="AD53:AD54"/>
    <mergeCell ref="AF53:AF54"/>
    <mergeCell ref="BR47:BU48"/>
    <mergeCell ref="CN21:CN22"/>
    <mergeCell ref="CE51:CE52"/>
    <mergeCell ref="BY45:BY46"/>
    <mergeCell ref="CG33:CI34"/>
    <mergeCell ref="CJ33:CJ34"/>
    <mergeCell ref="CK33:CK34"/>
    <mergeCell ref="CD33:CD34"/>
    <mergeCell ref="CE33:CE34"/>
    <mergeCell ref="CF33:CF34"/>
    <mergeCell ref="BR33:BU34"/>
    <mergeCell ref="BV33:BV34"/>
    <mergeCell ref="BW33:BW34"/>
    <mergeCell ref="BX33:BX34"/>
    <mergeCell ref="BY33:BY34"/>
    <mergeCell ref="CK39:CK40"/>
    <mergeCell ref="CB39:CB40"/>
    <mergeCell ref="CN37:CN38"/>
    <mergeCell ref="BY39:BY40"/>
    <mergeCell ref="CC43:CC44"/>
    <mergeCell ref="CD43:CD44"/>
    <mergeCell ref="CE43:CE44"/>
    <mergeCell ref="CN41:CN42"/>
    <mergeCell ref="BV23:BV24"/>
    <mergeCell ref="CJ45:CJ46"/>
    <mergeCell ref="CK45:CK46"/>
    <mergeCell ref="CL45:CM46"/>
    <mergeCell ref="CE45:CE46"/>
    <mergeCell ref="CF45:CF46"/>
    <mergeCell ref="CJ21:CJ22"/>
    <mergeCell ref="CA31:CA32"/>
    <mergeCell ref="CB31:CB32"/>
    <mergeCell ref="CD31:CD32"/>
    <mergeCell ref="CD35:CD36"/>
    <mergeCell ref="CC35:CC36"/>
    <mergeCell ref="CJ35:CJ36"/>
    <mergeCell ref="CK35:CK36"/>
    <mergeCell ref="CE39:CE40"/>
    <mergeCell ref="CF39:CF40"/>
    <mergeCell ref="CG39:CI40"/>
    <mergeCell ref="CN51:CN52"/>
    <mergeCell ref="BB32:BB33"/>
    <mergeCell ref="BD34:BD35"/>
    <mergeCell ref="CG43:CI44"/>
    <mergeCell ref="CJ43:CJ44"/>
    <mergeCell ref="CK43:CK44"/>
    <mergeCell ref="CL43:CM44"/>
    <mergeCell ref="CN43:CN44"/>
    <mergeCell ref="BZ47:BZ48"/>
    <mergeCell ref="CN33:CN34"/>
    <mergeCell ref="CC33:CC34"/>
    <mergeCell ref="CA33:CA34"/>
    <mergeCell ref="CN45:CN46"/>
    <mergeCell ref="BY41:BY42"/>
    <mergeCell ref="CJ39:CJ40"/>
    <mergeCell ref="CL47:CM48"/>
    <mergeCell ref="CN47:CN48"/>
    <mergeCell ref="CG45:CI46"/>
    <mergeCell ref="CL41:CM42"/>
    <mergeCell ref="BX35:BX36"/>
    <mergeCell ref="CB41:CB42"/>
    <mergeCell ref="CC41:CC42"/>
    <mergeCell ref="CE35:CE36"/>
    <mergeCell ref="BV39:BV40"/>
    <mergeCell ref="BW39:BW40"/>
    <mergeCell ref="CN39:CN40"/>
    <mergeCell ref="BV43:BV44"/>
    <mergeCell ref="CA39:CA40"/>
    <mergeCell ref="CA41:CA42"/>
    <mergeCell ref="CG41:CI42"/>
    <mergeCell ref="BZ41:BZ42"/>
    <mergeCell ref="CK37:CK38"/>
    <mergeCell ref="CC39:CC40"/>
    <mergeCell ref="CD41:CD42"/>
    <mergeCell ref="CB45:CB46"/>
    <mergeCell ref="CK47:CK48"/>
    <mergeCell ref="CF49:CF50"/>
    <mergeCell ref="CK49:CK50"/>
    <mergeCell ref="CE49:CE50"/>
    <mergeCell ref="BX49:BX50"/>
    <mergeCell ref="BY49:BY50"/>
    <mergeCell ref="CB49:CB50"/>
    <mergeCell ref="CC45:CC46"/>
    <mergeCell ref="BW43:BW44"/>
    <mergeCell ref="CD39:CD40"/>
    <mergeCell ref="CL37:CM38"/>
    <mergeCell ref="CL49:CM50"/>
    <mergeCell ref="CG49:CI50"/>
    <mergeCell ref="CA49:CA50"/>
    <mergeCell ref="CC49:CC50"/>
    <mergeCell ref="CD49:CD50"/>
    <mergeCell ref="CB47:CB48"/>
    <mergeCell ref="CC47:CC48"/>
    <mergeCell ref="CD47:CD48"/>
    <mergeCell ref="CE47:CE48"/>
    <mergeCell ref="CF47:CF48"/>
    <mergeCell ref="CL39:CM40"/>
    <mergeCell ref="CJ51:CJ52"/>
    <mergeCell ref="AI43:AI44"/>
    <mergeCell ref="Y37:Y38"/>
    <mergeCell ref="AF37:AF38"/>
    <mergeCell ref="AC45:AC46"/>
    <mergeCell ref="AD45:AD46"/>
    <mergeCell ref="CF19:CF20"/>
    <mergeCell ref="BG40:BG41"/>
    <mergeCell ref="BZ49:BZ50"/>
    <mergeCell ref="BR45:BU46"/>
    <mergeCell ref="BV45:BV46"/>
    <mergeCell ref="BW45:BW46"/>
    <mergeCell ref="BZ45:BZ46"/>
    <mergeCell ref="BX45:BX46"/>
    <mergeCell ref="BV37:BV38"/>
    <mergeCell ref="BX37:BX38"/>
    <mergeCell ref="BY37:BY38"/>
    <mergeCell ref="CA37:CA38"/>
    <mergeCell ref="CB37:CB38"/>
    <mergeCell ref="BC50:BC51"/>
    <mergeCell ref="BW37:BW38"/>
    <mergeCell ref="BX51:BX52"/>
    <mergeCell ref="AQ34:AQ35"/>
    <mergeCell ref="AH33:AH34"/>
    <mergeCell ref="AQ32:AQ33"/>
    <mergeCell ref="AR32:AR33"/>
    <mergeCell ref="AS34:AS35"/>
    <mergeCell ref="AL50:AL51"/>
    <mergeCell ref="BZ51:BZ52"/>
    <mergeCell ref="BY51:BY52"/>
    <mergeCell ref="CA51:CA52"/>
    <mergeCell ref="BE46:BE47"/>
    <mergeCell ref="AE33:AE34"/>
    <mergeCell ref="AQ36:AQ37"/>
    <mergeCell ref="BR37:BU38"/>
    <mergeCell ref="AR36:AR37"/>
    <mergeCell ref="AJ27:AJ28"/>
    <mergeCell ref="X45:X46"/>
    <mergeCell ref="AS32:AS33"/>
    <mergeCell ref="AX32:AX33"/>
    <mergeCell ref="AY32:BA33"/>
    <mergeCell ref="BW35:BW36"/>
    <mergeCell ref="AA31:AC32"/>
    <mergeCell ref="AD31:AD32"/>
    <mergeCell ref="X49:X50"/>
    <mergeCell ref="AH27:AH28"/>
    <mergeCell ref="AI27:AI28"/>
    <mergeCell ref="AQ46:AQ47"/>
    <mergeCell ref="Y47:Y48"/>
    <mergeCell ref="Z47:AB48"/>
    <mergeCell ref="AC47:AC48"/>
    <mergeCell ref="AD47:AD48"/>
    <mergeCell ref="BC38:BC39"/>
    <mergeCell ref="AF33:AF34"/>
    <mergeCell ref="AG33:AG34"/>
    <mergeCell ref="BF30:BF31"/>
    <mergeCell ref="BE30:BE31"/>
    <mergeCell ref="AG37:AG38"/>
    <mergeCell ref="AI35:AI36"/>
    <mergeCell ref="BD38:BD39"/>
    <mergeCell ref="BE40:BE41"/>
    <mergeCell ref="BD30:BD31"/>
    <mergeCell ref="BW41:BW42"/>
    <mergeCell ref="BR43:BU44"/>
    <mergeCell ref="BE18:BE19"/>
    <mergeCell ref="V37:V38"/>
    <mergeCell ref="R25:R26"/>
    <mergeCell ref="U25:U26"/>
    <mergeCell ref="W25:W26"/>
    <mergeCell ref="CB51:CB52"/>
    <mergeCell ref="BX39:BX40"/>
    <mergeCell ref="AD43:AD44"/>
    <mergeCell ref="AE43:AE44"/>
    <mergeCell ref="BC48:BC49"/>
    <mergeCell ref="AC43:AC44"/>
    <mergeCell ref="AG45:AG46"/>
    <mergeCell ref="AH37:AH38"/>
    <mergeCell ref="AI37:AI38"/>
    <mergeCell ref="BE38:BE39"/>
    <mergeCell ref="BF38:BF39"/>
    <mergeCell ref="BG38:BG39"/>
    <mergeCell ref="AM36:AO37"/>
    <mergeCell ref="AJ31:AJ32"/>
    <mergeCell ref="BZ35:BZ36"/>
    <mergeCell ref="AR34:AR35"/>
    <mergeCell ref="AJ33:AJ34"/>
    <mergeCell ref="AJ35:AJ36"/>
    <mergeCell ref="AL34:AL35"/>
    <mergeCell ref="AE47:AE48"/>
    <mergeCell ref="AG51:AG52"/>
    <mergeCell ref="AH51:AH52"/>
    <mergeCell ref="BR35:BU36"/>
    <mergeCell ref="AP32:AP33"/>
    <mergeCell ref="AG31:AG32"/>
    <mergeCell ref="AE31:AE32"/>
    <mergeCell ref="AP34:AP35"/>
    <mergeCell ref="CK13:CK14"/>
    <mergeCell ref="BG14:BG15"/>
    <mergeCell ref="CL13:CM14"/>
    <mergeCell ref="BX13:BX14"/>
    <mergeCell ref="AL28:AO31"/>
    <mergeCell ref="AX28:BA31"/>
    <mergeCell ref="BC18:BC19"/>
    <mergeCell ref="BD18:BD19"/>
    <mergeCell ref="AY34:BA35"/>
    <mergeCell ref="O33:Q34"/>
    <mergeCell ref="R33:R34"/>
    <mergeCell ref="Z35:Z36"/>
    <mergeCell ref="AA35:AC36"/>
    <mergeCell ref="AD35:AD36"/>
    <mergeCell ref="AE35:AE36"/>
    <mergeCell ref="AF35:AF36"/>
    <mergeCell ref="AG35:AG36"/>
    <mergeCell ref="V35:V36"/>
    <mergeCell ref="S35:S36"/>
    <mergeCell ref="AL36:AL37"/>
    <mergeCell ref="AM34:AO35"/>
    <mergeCell ref="AI33:AI34"/>
    <mergeCell ref="AJ37:AJ38"/>
    <mergeCell ref="AQ38:AQ39"/>
    <mergeCell ref="AR38:AR39"/>
    <mergeCell ref="AP38:AP39"/>
    <mergeCell ref="AL38:AL39"/>
    <mergeCell ref="AM38:AO39"/>
    <mergeCell ref="S33:S34"/>
    <mergeCell ref="BF20:BF21"/>
    <mergeCell ref="BE16:BE17"/>
    <mergeCell ref="AY22:BA23"/>
    <mergeCell ref="K33:K34"/>
    <mergeCell ref="K35:K36"/>
    <mergeCell ref="L33:L34"/>
    <mergeCell ref="T33:T34"/>
    <mergeCell ref="U33:U34"/>
    <mergeCell ref="BG20:BG21"/>
    <mergeCell ref="BC34:BC35"/>
    <mergeCell ref="BE34:BE35"/>
    <mergeCell ref="BF34:BF35"/>
    <mergeCell ref="BG34:BG35"/>
    <mergeCell ref="CJ11:CJ12"/>
    <mergeCell ref="CK11:CK12"/>
    <mergeCell ref="CL11:CM12"/>
    <mergeCell ref="BX11:BX12"/>
    <mergeCell ref="BY11:BY12"/>
    <mergeCell ref="CA11:CA12"/>
    <mergeCell ref="CB11:CB12"/>
    <mergeCell ref="AS36:AS37"/>
    <mergeCell ref="AX36:AX37"/>
    <mergeCell ref="AY36:BA37"/>
    <mergeCell ref="BB36:BB37"/>
    <mergeCell ref="BC36:BC37"/>
    <mergeCell ref="BE36:BE37"/>
    <mergeCell ref="BF36:BF37"/>
    <mergeCell ref="BG36:BG37"/>
    <mergeCell ref="BD36:BD37"/>
    <mergeCell ref="CC11:CC12"/>
    <mergeCell ref="CD11:CD12"/>
    <mergeCell ref="BD32:BD33"/>
    <mergeCell ref="BG22:BG23"/>
    <mergeCell ref="BX23:BX24"/>
    <mergeCell ref="BF24:BF25"/>
    <mergeCell ref="BE20:BE21"/>
    <mergeCell ref="BF16:BF17"/>
    <mergeCell ref="C35:C36"/>
    <mergeCell ref="D35:F36"/>
    <mergeCell ref="G35:G36"/>
    <mergeCell ref="H35:H36"/>
    <mergeCell ref="I35:I36"/>
    <mergeCell ref="J35:J36"/>
    <mergeCell ref="AH35:AH36"/>
    <mergeCell ref="C33:C34"/>
    <mergeCell ref="D33:F34"/>
    <mergeCell ref="G33:G34"/>
    <mergeCell ref="H33:H34"/>
    <mergeCell ref="I33:I34"/>
    <mergeCell ref="J33:J34"/>
    <mergeCell ref="C31:C32"/>
    <mergeCell ref="D31:F32"/>
    <mergeCell ref="G31:G32"/>
    <mergeCell ref="H31:H32"/>
    <mergeCell ref="I31:I32"/>
    <mergeCell ref="M33:M34"/>
    <mergeCell ref="N33:N34"/>
    <mergeCell ref="Z33:Z34"/>
    <mergeCell ref="AA33:AC34"/>
    <mergeCell ref="AD33:AD34"/>
    <mergeCell ref="BE32:BE33"/>
    <mergeCell ref="BF32:BF33"/>
    <mergeCell ref="AP30:AP31"/>
    <mergeCell ref="AT24:AT25"/>
    <mergeCell ref="AS22:AS23"/>
    <mergeCell ref="AY20:BA21"/>
    <mergeCell ref="BD20:BD21"/>
    <mergeCell ref="CK23:CK24"/>
    <mergeCell ref="CD27:CD28"/>
    <mergeCell ref="CE27:CE28"/>
    <mergeCell ref="CL25:CM26"/>
    <mergeCell ref="BG24:BG25"/>
    <mergeCell ref="BZ15:BZ16"/>
    <mergeCell ref="CB19:CB20"/>
    <mergeCell ref="BR13:BU14"/>
    <mergeCell ref="BV13:BV14"/>
    <mergeCell ref="CC27:CC28"/>
    <mergeCell ref="BR15:BU16"/>
    <mergeCell ref="BV15:BV16"/>
    <mergeCell ref="BW15:BW16"/>
    <mergeCell ref="BZ27:BZ28"/>
    <mergeCell ref="BZ23:BZ24"/>
    <mergeCell ref="BE22:BE23"/>
    <mergeCell ref="CB25:CB26"/>
    <mergeCell ref="BI21:BM22"/>
    <mergeCell ref="BR21:BU22"/>
    <mergeCell ref="BV21:BV22"/>
    <mergeCell ref="BW23:BW24"/>
    <mergeCell ref="BX21:BX22"/>
    <mergeCell ref="CA21:CA22"/>
    <mergeCell ref="BI12:BM13"/>
    <mergeCell ref="BN12:BO13"/>
    <mergeCell ref="BR19:BU20"/>
    <mergeCell ref="BW21:BW22"/>
    <mergeCell ref="CC13:CC14"/>
    <mergeCell ref="BX19:BX20"/>
    <mergeCell ref="CC15:CC16"/>
    <mergeCell ref="CB21:CB22"/>
    <mergeCell ref="CC21:CC22"/>
    <mergeCell ref="CB27:CB28"/>
    <mergeCell ref="CJ25:CJ26"/>
    <mergeCell ref="BY23:BY24"/>
    <mergeCell ref="CA23:CA24"/>
    <mergeCell ref="CD19:CD20"/>
    <mergeCell ref="CJ19:CJ20"/>
    <mergeCell ref="CC19:CC20"/>
    <mergeCell ref="CF17:CF18"/>
    <mergeCell ref="CG17:CI18"/>
    <mergeCell ref="BG32:BG33"/>
    <mergeCell ref="BR29:BU30"/>
    <mergeCell ref="BV29:BV30"/>
    <mergeCell ref="BW29:BW30"/>
    <mergeCell ref="BR31:BU32"/>
    <mergeCell ref="BV31:BV32"/>
    <mergeCell ref="BW31:BW32"/>
    <mergeCell ref="CE23:CE24"/>
    <mergeCell ref="CF23:CF24"/>
    <mergeCell ref="CG23:CI24"/>
    <mergeCell ref="CJ23:CJ24"/>
    <mergeCell ref="CC29:CC30"/>
    <mergeCell ref="BV27:BV28"/>
    <mergeCell ref="BW27:BW28"/>
    <mergeCell ref="CC23:CC24"/>
    <mergeCell ref="BV17:BV18"/>
    <mergeCell ref="BW17:BW18"/>
    <mergeCell ref="BZ21:BZ22"/>
    <mergeCell ref="CE31:CE32"/>
    <mergeCell ref="BV11:BV12"/>
    <mergeCell ref="BW11:BW12"/>
    <mergeCell ref="AQ30:AQ31"/>
    <mergeCell ref="CN19:CN20"/>
    <mergeCell ref="CN17:CN18"/>
    <mergeCell ref="BY17:BY18"/>
    <mergeCell ref="CA17:CA18"/>
    <mergeCell ref="CB17:CB18"/>
    <mergeCell ref="CB23:CB24"/>
    <mergeCell ref="CN29:CN30"/>
    <mergeCell ref="CE29:CE30"/>
    <mergeCell ref="CF29:CF30"/>
    <mergeCell ref="CG29:CI30"/>
    <mergeCell ref="CJ29:CJ30"/>
    <mergeCell ref="CK29:CK30"/>
    <mergeCell ref="CL29:CM30"/>
    <mergeCell ref="CA29:CA30"/>
    <mergeCell ref="CB29:CB30"/>
    <mergeCell ref="CK19:CK20"/>
    <mergeCell ref="CE15:CE16"/>
    <mergeCell ref="AQ24:AQ25"/>
    <mergeCell ref="CN15:CN16"/>
    <mergeCell ref="AR30:AR31"/>
    <mergeCell ref="AS30:AS31"/>
    <mergeCell ref="BB30:BB31"/>
    <mergeCell ref="CL19:CM20"/>
    <mergeCell ref="BY19:BY20"/>
    <mergeCell ref="CA19:CA20"/>
    <mergeCell ref="CC17:CC18"/>
    <mergeCell ref="CD17:CD18"/>
    <mergeCell ref="CE17:CE18"/>
    <mergeCell ref="CA27:CA28"/>
    <mergeCell ref="J31:J32"/>
    <mergeCell ref="O31:Q32"/>
    <mergeCell ref="R31:R32"/>
    <mergeCell ref="D25:F26"/>
    <mergeCell ref="G25:G26"/>
    <mergeCell ref="H25:H26"/>
    <mergeCell ref="I25:I26"/>
    <mergeCell ref="J25:J26"/>
    <mergeCell ref="Z31:Z32"/>
    <mergeCell ref="K31:K32"/>
    <mergeCell ref="L31:L32"/>
    <mergeCell ref="M29:M30"/>
    <mergeCell ref="N29:N30"/>
    <mergeCell ref="M31:M32"/>
    <mergeCell ref="N31:N32"/>
    <mergeCell ref="R27:R28"/>
    <mergeCell ref="O27:Q28"/>
    <mergeCell ref="N27:N28"/>
    <mergeCell ref="W27:W28"/>
    <mergeCell ref="X27:X28"/>
    <mergeCell ref="Y27:Y28"/>
    <mergeCell ref="T29:T30"/>
    <mergeCell ref="U29:U30"/>
    <mergeCell ref="W31:W32"/>
    <mergeCell ref="Z25:Z26"/>
    <mergeCell ref="S31:S32"/>
    <mergeCell ref="T31:T32"/>
    <mergeCell ref="L29:L30"/>
    <mergeCell ref="M25:M26"/>
    <mergeCell ref="N25:N26"/>
    <mergeCell ref="C29:C30"/>
    <mergeCell ref="D29:F30"/>
    <mergeCell ref="G29:G30"/>
    <mergeCell ref="H29:H30"/>
    <mergeCell ref="I29:I30"/>
    <mergeCell ref="J29:J30"/>
    <mergeCell ref="BB22:BB23"/>
    <mergeCell ref="BC22:BC23"/>
    <mergeCell ref="BD22:BD23"/>
    <mergeCell ref="AL22:AL23"/>
    <mergeCell ref="AM22:AO23"/>
    <mergeCell ref="AP22:AP23"/>
    <mergeCell ref="AQ22:AQ23"/>
    <mergeCell ref="N23:N24"/>
    <mergeCell ref="O23:Q24"/>
    <mergeCell ref="R23:R24"/>
    <mergeCell ref="J23:J24"/>
    <mergeCell ref="K23:K24"/>
    <mergeCell ref="L23:L24"/>
    <mergeCell ref="S23:S24"/>
    <mergeCell ref="K29:K30"/>
    <mergeCell ref="BC30:BC31"/>
    <mergeCell ref="AF25:AF26"/>
    <mergeCell ref="AG25:AG26"/>
    <mergeCell ref="AJ25:AJ26"/>
    <mergeCell ref="AD23:AD24"/>
    <mergeCell ref="AE23:AE24"/>
    <mergeCell ref="K25:K26"/>
    <mergeCell ref="C25:C26"/>
    <mergeCell ref="L25:L26"/>
    <mergeCell ref="Y25:Y26"/>
    <mergeCell ref="AR24:AR25"/>
    <mergeCell ref="AH23:AH24"/>
    <mergeCell ref="AI23:AI24"/>
    <mergeCell ref="U23:U24"/>
    <mergeCell ref="C27:C28"/>
    <mergeCell ref="D27:F28"/>
    <mergeCell ref="G27:G28"/>
    <mergeCell ref="H27:H28"/>
    <mergeCell ref="I27:I28"/>
    <mergeCell ref="J27:J28"/>
    <mergeCell ref="K27:K28"/>
    <mergeCell ref="L27:L28"/>
    <mergeCell ref="M27:M28"/>
    <mergeCell ref="X25:X26"/>
    <mergeCell ref="S27:S28"/>
    <mergeCell ref="T27:T28"/>
    <mergeCell ref="U27:U28"/>
    <mergeCell ref="AH25:AH26"/>
    <mergeCell ref="AI25:AI26"/>
    <mergeCell ref="AG27:AG28"/>
    <mergeCell ref="O25:Q26"/>
    <mergeCell ref="I19:I20"/>
    <mergeCell ref="J19:J20"/>
    <mergeCell ref="K21:K22"/>
    <mergeCell ref="C19:C20"/>
    <mergeCell ref="D19:F20"/>
    <mergeCell ref="G19:G20"/>
    <mergeCell ref="T23:T24"/>
    <mergeCell ref="N21:N22"/>
    <mergeCell ref="O21:Q22"/>
    <mergeCell ref="R21:R22"/>
    <mergeCell ref="C21:C22"/>
    <mergeCell ref="D21:F22"/>
    <mergeCell ref="G21:G22"/>
    <mergeCell ref="H21:H22"/>
    <mergeCell ref="I21:I22"/>
    <mergeCell ref="J21:J22"/>
    <mergeCell ref="K19:K20"/>
    <mergeCell ref="H19:H20"/>
    <mergeCell ref="L19:L20"/>
    <mergeCell ref="S19:S20"/>
    <mergeCell ref="T19:T20"/>
    <mergeCell ref="C23:C24"/>
    <mergeCell ref="D23:F24"/>
    <mergeCell ref="G23:G24"/>
    <mergeCell ref="H23:H24"/>
    <mergeCell ref="I23:I24"/>
    <mergeCell ref="M23:M24"/>
    <mergeCell ref="O19:Q20"/>
    <mergeCell ref="R19:R20"/>
    <mergeCell ref="AI19:AI20"/>
    <mergeCell ref="S21:S22"/>
    <mergeCell ref="BF22:BF23"/>
    <mergeCell ref="AP36:AP37"/>
    <mergeCell ref="W23:W24"/>
    <mergeCell ref="L21:L22"/>
    <mergeCell ref="AX20:AX21"/>
    <mergeCell ref="AL20:AL21"/>
    <mergeCell ref="AM20:AO21"/>
    <mergeCell ref="AP20:AP21"/>
    <mergeCell ref="AQ20:AQ21"/>
    <mergeCell ref="AR20:AR21"/>
    <mergeCell ref="AS20:AS21"/>
    <mergeCell ref="AP18:AP19"/>
    <mergeCell ref="W21:W22"/>
    <mergeCell ref="AF21:AF22"/>
    <mergeCell ref="AI31:AI32"/>
    <mergeCell ref="Z29:Z30"/>
    <mergeCell ref="AA29:AC30"/>
    <mergeCell ref="AD29:AD30"/>
    <mergeCell ref="AE29:AE30"/>
    <mergeCell ref="AF29:AF30"/>
    <mergeCell ref="AG29:AG30"/>
    <mergeCell ref="S29:S30"/>
    <mergeCell ref="W29:W30"/>
    <mergeCell ref="O29:Q30"/>
    <mergeCell ref="AF23:AF24"/>
    <mergeCell ref="AG23:AG24"/>
    <mergeCell ref="U31:U32"/>
    <mergeCell ref="R29:R30"/>
    <mergeCell ref="U17:U18"/>
    <mergeCell ref="W17:W18"/>
    <mergeCell ref="M15:M16"/>
    <mergeCell ref="R17:R18"/>
    <mergeCell ref="AA17:AC18"/>
    <mergeCell ref="AD17:AD18"/>
    <mergeCell ref="AT22:AT23"/>
    <mergeCell ref="AX22:AX23"/>
    <mergeCell ref="AR22:AR23"/>
    <mergeCell ref="AH21:AH22"/>
    <mergeCell ref="T21:T22"/>
    <mergeCell ref="AM16:AO17"/>
    <mergeCell ref="AP16:AP17"/>
    <mergeCell ref="AQ16:AQ17"/>
    <mergeCell ref="AH19:AH20"/>
    <mergeCell ref="AA19:AC20"/>
    <mergeCell ref="AD19:AD20"/>
    <mergeCell ref="X23:X24"/>
    <mergeCell ref="Y23:Y24"/>
    <mergeCell ref="Z23:Z24"/>
    <mergeCell ref="AA23:AC24"/>
    <mergeCell ref="AJ23:AJ24"/>
    <mergeCell ref="N17:N18"/>
    <mergeCell ref="O17:Q18"/>
    <mergeCell ref="U21:U22"/>
    <mergeCell ref="AS18:AS19"/>
    <mergeCell ref="AT18:AT19"/>
    <mergeCell ref="U19:U20"/>
    <mergeCell ref="W19:W20"/>
    <mergeCell ref="X19:X20"/>
    <mergeCell ref="AX12:BA15"/>
    <mergeCell ref="AP14:AP15"/>
    <mergeCell ref="AQ14:AQ15"/>
    <mergeCell ref="M13:M14"/>
    <mergeCell ref="L15:L16"/>
    <mergeCell ref="X21:X22"/>
    <mergeCell ref="Y21:Y22"/>
    <mergeCell ref="Z21:Z22"/>
    <mergeCell ref="AG17:AG18"/>
    <mergeCell ref="L17:L18"/>
    <mergeCell ref="V21:V22"/>
    <mergeCell ref="K17:K18"/>
    <mergeCell ref="J15:J16"/>
    <mergeCell ref="AA13:AC14"/>
    <mergeCell ref="Z19:Z20"/>
    <mergeCell ref="AT16:AT17"/>
    <mergeCell ref="AG13:AG14"/>
    <mergeCell ref="AH13:AH14"/>
    <mergeCell ref="AI13:AI14"/>
    <mergeCell ref="X17:X18"/>
    <mergeCell ref="BC20:BC21"/>
    <mergeCell ref="AL18:AL19"/>
    <mergeCell ref="AI17:AI18"/>
    <mergeCell ref="AG15:AG16"/>
    <mergeCell ref="AD21:AD22"/>
    <mergeCell ref="AX18:AX19"/>
    <mergeCell ref="AY18:BA19"/>
    <mergeCell ref="AS16:AS17"/>
    <mergeCell ref="AT20:AT21"/>
    <mergeCell ref="AR18:AR19"/>
    <mergeCell ref="AQ18:AQ19"/>
    <mergeCell ref="AG19:AG20"/>
    <mergeCell ref="AE21:AE22"/>
    <mergeCell ref="AA21:AC22"/>
    <mergeCell ref="AI21:AI22"/>
    <mergeCell ref="M17:M18"/>
    <mergeCell ref="C13:C14"/>
    <mergeCell ref="S17:S18"/>
    <mergeCell ref="T17:T18"/>
    <mergeCell ref="AF17:AF18"/>
    <mergeCell ref="M19:M20"/>
    <mergeCell ref="N19:N20"/>
    <mergeCell ref="D13:F14"/>
    <mergeCell ref="G13:G14"/>
    <mergeCell ref="H13:H14"/>
    <mergeCell ref="I13:I14"/>
    <mergeCell ref="C17:C18"/>
    <mergeCell ref="D17:F18"/>
    <mergeCell ref="G17:G18"/>
    <mergeCell ref="H17:H18"/>
    <mergeCell ref="I17:I18"/>
    <mergeCell ref="C15:C16"/>
    <mergeCell ref="D15:F16"/>
    <mergeCell ref="G15:G16"/>
    <mergeCell ref="H15:H16"/>
    <mergeCell ref="I15:I16"/>
    <mergeCell ref="U13:U14"/>
    <mergeCell ref="J13:J14"/>
    <mergeCell ref="S13:S14"/>
    <mergeCell ref="T13:T14"/>
    <mergeCell ref="K15:K16"/>
    <mergeCell ref="AE17:AE18"/>
    <mergeCell ref="K13:K14"/>
    <mergeCell ref="L13:L14"/>
    <mergeCell ref="J17:J18"/>
    <mergeCell ref="AE19:AE20"/>
    <mergeCell ref="AF19:AF20"/>
    <mergeCell ref="W13:W14"/>
    <mergeCell ref="Y17:Y18"/>
    <mergeCell ref="Z17:Z18"/>
    <mergeCell ref="Y19:Y20"/>
    <mergeCell ref="AA25:AC26"/>
    <mergeCell ref="AD25:AD26"/>
    <mergeCell ref="V23:V24"/>
    <mergeCell ref="V25:V26"/>
    <mergeCell ref="V27:V28"/>
    <mergeCell ref="V29:V30"/>
    <mergeCell ref="V31:V32"/>
    <mergeCell ref="X29:X30"/>
    <mergeCell ref="Y29:Y30"/>
    <mergeCell ref="AE27:AE28"/>
    <mergeCell ref="AF27:AF28"/>
    <mergeCell ref="Z27:Z28"/>
    <mergeCell ref="AA27:AC28"/>
    <mergeCell ref="T25:T26"/>
    <mergeCell ref="V13:V14"/>
    <mergeCell ref="T35:T36"/>
    <mergeCell ref="U35:U36"/>
    <mergeCell ref="W35:W36"/>
    <mergeCell ref="X35:X36"/>
    <mergeCell ref="Y35:Y36"/>
    <mergeCell ref="V11:V12"/>
    <mergeCell ref="N15:N16"/>
    <mergeCell ref="O15:Q16"/>
    <mergeCell ref="R13:R14"/>
    <mergeCell ref="AF13:AF14"/>
    <mergeCell ref="V15:V16"/>
    <mergeCell ref="L35:L36"/>
    <mergeCell ref="M35:M36"/>
    <mergeCell ref="N35:N36"/>
    <mergeCell ref="O35:Q36"/>
    <mergeCell ref="R35:R36"/>
    <mergeCell ref="V33:V34"/>
    <mergeCell ref="AD27:AD28"/>
    <mergeCell ref="V17:V18"/>
    <mergeCell ref="V19:V20"/>
    <mergeCell ref="S15:S16"/>
    <mergeCell ref="T15:T16"/>
    <mergeCell ref="W33:W34"/>
    <mergeCell ref="X33:X34"/>
    <mergeCell ref="Y33:Y34"/>
    <mergeCell ref="X31:X32"/>
    <mergeCell ref="Y31:Y32"/>
    <mergeCell ref="AF31:AF32"/>
    <mergeCell ref="AE25:AE26"/>
    <mergeCell ref="X11:X12"/>
    <mergeCell ref="Y13:Y14"/>
    <mergeCell ref="CG7:CI8"/>
    <mergeCell ref="CJ7:CJ8"/>
    <mergeCell ref="CK7:CK8"/>
    <mergeCell ref="BW7:BW8"/>
    <mergeCell ref="BX7:BX8"/>
    <mergeCell ref="BY7:BY8"/>
    <mergeCell ref="CA7:CA8"/>
    <mergeCell ref="CB7:CB8"/>
    <mergeCell ref="CC7:CC8"/>
    <mergeCell ref="CD9:CD10"/>
    <mergeCell ref="BY9:BY10"/>
    <mergeCell ref="CA9:CA10"/>
    <mergeCell ref="CB9:CB10"/>
    <mergeCell ref="V9:V10"/>
    <mergeCell ref="M21:M22"/>
    <mergeCell ref="S25:S26"/>
    <mergeCell ref="N13:N14"/>
    <mergeCell ref="O13:Q14"/>
    <mergeCell ref="U15:U16"/>
    <mergeCell ref="W15:W16"/>
    <mergeCell ref="X15:X16"/>
    <mergeCell ref="Y15:Y16"/>
    <mergeCell ref="AF15:AF16"/>
    <mergeCell ref="X13:X14"/>
    <mergeCell ref="Z15:Z16"/>
    <mergeCell ref="AD13:AD14"/>
    <mergeCell ref="AE13:AE14"/>
    <mergeCell ref="R15:R16"/>
    <mergeCell ref="Z13:Z14"/>
    <mergeCell ref="AA15:AC16"/>
    <mergeCell ref="AD15:AD16"/>
    <mergeCell ref="AE15:AE16"/>
    <mergeCell ref="AD11:AD12"/>
    <mergeCell ref="X9:X10"/>
    <mergeCell ref="AH11:AH12"/>
    <mergeCell ref="AI11:AI12"/>
    <mergeCell ref="AJ11:AJ12"/>
    <mergeCell ref="BZ9:BZ10"/>
    <mergeCell ref="BW9:BW10"/>
    <mergeCell ref="AR14:AR15"/>
    <mergeCell ref="AS14:AS15"/>
    <mergeCell ref="CN9:CN10"/>
    <mergeCell ref="CE9:CE10"/>
    <mergeCell ref="CF9:CF10"/>
    <mergeCell ref="CG9:CI10"/>
    <mergeCell ref="CJ9:CJ10"/>
    <mergeCell ref="CK9:CK10"/>
    <mergeCell ref="CL9:CM10"/>
    <mergeCell ref="BX9:BX10"/>
    <mergeCell ref="AF11:AF12"/>
    <mergeCell ref="BC14:BC15"/>
    <mergeCell ref="BD14:BD15"/>
    <mergeCell ref="AT14:AT15"/>
    <mergeCell ref="BE14:BE15"/>
    <mergeCell ref="BF14:BF15"/>
    <mergeCell ref="CK15:CK16"/>
    <mergeCell ref="CL15:CM16"/>
    <mergeCell ref="CE13:CE14"/>
    <mergeCell ref="CF13:CF14"/>
    <mergeCell ref="CG13:CI14"/>
    <mergeCell ref="CJ13:CJ14"/>
    <mergeCell ref="CG15:CI16"/>
    <mergeCell ref="CJ15:CJ16"/>
    <mergeCell ref="CG11:CI12"/>
    <mergeCell ref="J9:J10"/>
    <mergeCell ref="K9:K10"/>
    <mergeCell ref="Z7:Z8"/>
    <mergeCell ref="N7:N8"/>
    <mergeCell ref="AG7:AG8"/>
    <mergeCell ref="O7:Q8"/>
    <mergeCell ref="R7:R8"/>
    <mergeCell ref="S7:S8"/>
    <mergeCell ref="J7:J8"/>
    <mergeCell ref="K7:K8"/>
    <mergeCell ref="L7:L8"/>
    <mergeCell ref="M7:M8"/>
    <mergeCell ref="AG9:AG10"/>
    <mergeCell ref="Y9:Y10"/>
    <mergeCell ref="Z9:Z10"/>
    <mergeCell ref="AA9:AC10"/>
    <mergeCell ref="AD9:AD10"/>
    <mergeCell ref="L9:L10"/>
    <mergeCell ref="U7:U8"/>
    <mergeCell ref="W7:W8"/>
    <mergeCell ref="X7:X8"/>
    <mergeCell ref="Y7:Y8"/>
    <mergeCell ref="CN7:CN8"/>
    <mergeCell ref="C11:C12"/>
    <mergeCell ref="D11:F12"/>
    <mergeCell ref="G11:G12"/>
    <mergeCell ref="H11:H12"/>
    <mergeCell ref="I11:I12"/>
    <mergeCell ref="J11:J12"/>
    <mergeCell ref="Z11:Z12"/>
    <mergeCell ref="AG11:AG12"/>
    <mergeCell ref="S11:S12"/>
    <mergeCell ref="T11:T12"/>
    <mergeCell ref="U11:U12"/>
    <mergeCell ref="W11:W12"/>
    <mergeCell ref="Y11:Y12"/>
    <mergeCell ref="AA11:AC12"/>
    <mergeCell ref="K11:K12"/>
    <mergeCell ref="M9:M10"/>
    <mergeCell ref="N9:N10"/>
    <mergeCell ref="O9:Q10"/>
    <mergeCell ref="AE9:AE10"/>
    <mergeCell ref="AF9:AF10"/>
    <mergeCell ref="R9:R10"/>
    <mergeCell ref="S9:S10"/>
    <mergeCell ref="T9:T10"/>
    <mergeCell ref="U9:U10"/>
    <mergeCell ref="W9:W10"/>
    <mergeCell ref="L11:L12"/>
    <mergeCell ref="M11:M12"/>
    <mergeCell ref="N11:N12"/>
    <mergeCell ref="O11:Q12"/>
    <mergeCell ref="R11:R12"/>
    <mergeCell ref="AE11:AE12"/>
    <mergeCell ref="C7:C8"/>
    <mergeCell ref="D7:F8"/>
    <mergeCell ref="G7:G8"/>
    <mergeCell ref="H7:H8"/>
    <mergeCell ref="AA7:AC8"/>
    <mergeCell ref="I7:I8"/>
    <mergeCell ref="AH5:AH6"/>
    <mergeCell ref="AI5:AI6"/>
    <mergeCell ref="AJ5:AJ6"/>
    <mergeCell ref="AD7:AD8"/>
    <mergeCell ref="AE7:AE8"/>
    <mergeCell ref="AI7:AI8"/>
    <mergeCell ref="AJ7:AJ8"/>
    <mergeCell ref="C9:C10"/>
    <mergeCell ref="D9:F10"/>
    <mergeCell ref="G9:G10"/>
    <mergeCell ref="H9:H10"/>
    <mergeCell ref="I9:I10"/>
    <mergeCell ref="AH9:AH10"/>
    <mergeCell ref="AI9:AI10"/>
    <mergeCell ref="AJ9:AJ10"/>
    <mergeCell ref="C3:F6"/>
    <mergeCell ref="G3:M4"/>
    <mergeCell ref="AD3:AJ4"/>
    <mergeCell ref="T7:T8"/>
    <mergeCell ref="S5:S6"/>
    <mergeCell ref="T5:T6"/>
    <mergeCell ref="U5:U6"/>
    <mergeCell ref="W5:W6"/>
    <mergeCell ref="G5:G6"/>
    <mergeCell ref="H5:H6"/>
    <mergeCell ref="I5:I6"/>
    <mergeCell ref="J5:J6"/>
    <mergeCell ref="K5:K6"/>
    <mergeCell ref="L5:L6"/>
    <mergeCell ref="M5:M6"/>
    <mergeCell ref="R5:R6"/>
    <mergeCell ref="AD5:AD6"/>
    <mergeCell ref="AE5:AE6"/>
    <mergeCell ref="AF5:AF6"/>
    <mergeCell ref="AG5:AG6"/>
    <mergeCell ref="V5:V6"/>
    <mergeCell ref="CL7:CM8"/>
    <mergeCell ref="BW5:BW6"/>
    <mergeCell ref="AF7:AF8"/>
    <mergeCell ref="AR3:AT5"/>
    <mergeCell ref="AU3:AW5"/>
    <mergeCell ref="AH7:AH8"/>
    <mergeCell ref="AL6:AN8"/>
    <mergeCell ref="AO6:AQ8"/>
    <mergeCell ref="AR6:AT8"/>
    <mergeCell ref="AU6:AW8"/>
    <mergeCell ref="V7:V8"/>
    <mergeCell ref="BI6:BM7"/>
    <mergeCell ref="BV5:BV6"/>
    <mergeCell ref="AX3:AZ5"/>
    <mergeCell ref="BA3:BC5"/>
    <mergeCell ref="BD3:BF5"/>
    <mergeCell ref="AX6:AZ8"/>
    <mergeCell ref="BA6:BC8"/>
    <mergeCell ref="BD6:BF8"/>
    <mergeCell ref="AL3:AN5"/>
    <mergeCell ref="AO3:AQ5"/>
    <mergeCell ref="R3:Y4"/>
    <mergeCell ref="BN3:BO4"/>
    <mergeCell ref="BR3:BU8"/>
    <mergeCell ref="BV3:BW4"/>
    <mergeCell ref="BY5:BY6"/>
    <mergeCell ref="CA5:CA6"/>
    <mergeCell ref="CB5:CB6"/>
    <mergeCell ref="CC5:CC6"/>
    <mergeCell ref="CC9:CC10"/>
    <mergeCell ref="CD5:CD6"/>
    <mergeCell ref="CE5:CE6"/>
    <mergeCell ref="CC31:CC32"/>
    <mergeCell ref="BI3:BM4"/>
    <mergeCell ref="BZ5:BZ6"/>
    <mergeCell ref="BZ7:BZ8"/>
    <mergeCell ref="BX3:BZ4"/>
    <mergeCell ref="BV7:BV8"/>
    <mergeCell ref="X5:X6"/>
    <mergeCell ref="Y5:Y6"/>
    <mergeCell ref="AG21:AG22"/>
    <mergeCell ref="AH17:AH18"/>
    <mergeCell ref="AH15:AH16"/>
    <mergeCell ref="AI15:AI16"/>
    <mergeCell ref="BB14:BB15"/>
    <mergeCell ref="BR25:BU26"/>
    <mergeCell ref="BZ31:BZ32"/>
    <mergeCell ref="BZ19:BZ20"/>
    <mergeCell ref="BX31:BX32"/>
    <mergeCell ref="BY31:BY32"/>
    <mergeCell ref="AJ29:AJ30"/>
    <mergeCell ref="AH31:AH32"/>
    <mergeCell ref="AH29:AH30"/>
    <mergeCell ref="AI29:AI30"/>
    <mergeCell ref="BX5:BX6"/>
    <mergeCell ref="BN6:BO7"/>
    <mergeCell ref="CE25:CE26"/>
    <mergeCell ref="BR27:BU28"/>
    <mergeCell ref="BI16:BM17"/>
    <mergeCell ref="BN16:BO17"/>
    <mergeCell ref="BI10:BM11"/>
    <mergeCell ref="BN10:BO11"/>
    <mergeCell ref="CD25:CD26"/>
    <mergeCell ref="CF25:CF26"/>
    <mergeCell ref="BR9:BU10"/>
    <mergeCell ref="CD23:CD24"/>
    <mergeCell ref="BN21:BO22"/>
    <mergeCell ref="BI14:BM15"/>
    <mergeCell ref="BV19:BV20"/>
    <mergeCell ref="BW19:BW20"/>
    <mergeCell ref="BI8:BM9"/>
    <mergeCell ref="BN8:BO9"/>
    <mergeCell ref="BV9:BV10"/>
    <mergeCell ref="CE21:CE22"/>
    <mergeCell ref="CD21:CD22"/>
    <mergeCell ref="BX25:BX26"/>
    <mergeCell ref="BY21:BY22"/>
    <mergeCell ref="BR23:BU24"/>
    <mergeCell ref="BZ17:BZ18"/>
    <mergeCell ref="CE19:CE20"/>
    <mergeCell ref="CD7:CD8"/>
    <mergeCell ref="CE7:CE8"/>
    <mergeCell ref="CF7:CF8"/>
    <mergeCell ref="BI18:BM19"/>
    <mergeCell ref="BN18:BO19"/>
    <mergeCell ref="CD15:CD16"/>
    <mergeCell ref="AJ13:AJ14"/>
    <mergeCell ref="AL12:AO15"/>
    <mergeCell ref="AM18:AO19"/>
    <mergeCell ref="AL16:AL17"/>
    <mergeCell ref="AY16:BA17"/>
    <mergeCell ref="AJ15:AJ16"/>
    <mergeCell ref="AJ19:AJ20"/>
    <mergeCell ref="AJ17:AJ18"/>
    <mergeCell ref="BG16:BG17"/>
    <mergeCell ref="AJ21:AJ22"/>
    <mergeCell ref="AL32:AL33"/>
    <mergeCell ref="AM32:AO33"/>
    <mergeCell ref="BZ11:BZ12"/>
    <mergeCell ref="BR11:BU12"/>
    <mergeCell ref="CN11:CN12"/>
    <mergeCell ref="CN25:CN26"/>
    <mergeCell ref="BN14:BO15"/>
    <mergeCell ref="CE11:CE12"/>
    <mergeCell ref="CF11:CF12"/>
    <mergeCell ref="BY15:BY16"/>
    <mergeCell ref="CD13:CD14"/>
    <mergeCell ref="CG21:CI22"/>
    <mergeCell ref="CG19:CI20"/>
    <mergeCell ref="BY13:BY14"/>
    <mergeCell ref="CA13:CA14"/>
    <mergeCell ref="CG25:CI26"/>
    <mergeCell ref="BF18:BF19"/>
    <mergeCell ref="BG18:BG19"/>
    <mergeCell ref="AR16:AR17"/>
    <mergeCell ref="AX16:AX17"/>
    <mergeCell ref="BW13:BW14"/>
    <mergeCell ref="BG30:BG31"/>
    <mergeCell ref="CK51:CK52"/>
    <mergeCell ref="BX27:BX28"/>
    <mergeCell ref="BB34:BB35"/>
    <mergeCell ref="BB20:BB21"/>
    <mergeCell ref="BZ25:BZ26"/>
    <mergeCell ref="BR17:BU18"/>
    <mergeCell ref="AX34:AX35"/>
    <mergeCell ref="BY25:BY26"/>
    <mergeCell ref="CA25:CA26"/>
    <mergeCell ref="BV25:BV26"/>
    <mergeCell ref="BW25:BW26"/>
    <mergeCell ref="AY38:BA39"/>
    <mergeCell ref="BB38:BB39"/>
    <mergeCell ref="BB16:BB17"/>
    <mergeCell ref="BC16:BC17"/>
    <mergeCell ref="BB18:BB19"/>
    <mergeCell ref="CF51:CF52"/>
    <mergeCell ref="CG51:CI52"/>
    <mergeCell ref="CF21:CF22"/>
    <mergeCell ref="CK25:CK26"/>
    <mergeCell ref="BY27:BY28"/>
    <mergeCell ref="CC25:CC26"/>
    <mergeCell ref="CA15:CA16"/>
    <mergeCell ref="CB15:CB16"/>
    <mergeCell ref="BD16:BD17"/>
    <mergeCell ref="BX15:BX16"/>
    <mergeCell ref="BX29:BX30"/>
    <mergeCell ref="BY29:BY30"/>
    <mergeCell ref="BX17:BX18"/>
    <mergeCell ref="CF15:CF16"/>
    <mergeCell ref="BZ33:BZ34"/>
    <mergeCell ref="BC32:BC33"/>
  </mergeCells>
  <pageMargins left="0.7" right="0.7" top="0.75" bottom="0.75" header="0.3" footer="0.3"/>
  <ignoredErrors>
    <ignoredError sqref="BF18 W21 W15" formula="1"/>
  </ignoredError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471-6F57-FD4D-A558-A8F061A71D82}">
  <sheetPr>
    <tabColor rgb="FFFFFF00"/>
  </sheetPr>
  <dimension ref="C2:DM111"/>
  <sheetViews>
    <sheetView topLeftCell="BP51" zoomScale="75" zoomScaleNormal="50" workbookViewId="0">
      <selection activeCell="CC94" sqref="CC94"/>
    </sheetView>
  </sheetViews>
  <sheetFormatPr defaultColWidth="10.875" defaultRowHeight="15.95" customHeight="1"/>
  <cols>
    <col min="58" max="58" width="12.25" customWidth="1"/>
  </cols>
  <sheetData>
    <row r="2" spans="3:117" ht="15.95" customHeight="1" thickBot="1"/>
    <row r="3" spans="3:117" ht="15.95" customHeight="1">
      <c r="C3" s="573"/>
      <c r="D3" s="574"/>
      <c r="E3" s="574"/>
      <c r="F3" s="575"/>
      <c r="G3" s="523" t="s">
        <v>396</v>
      </c>
      <c r="H3" s="524"/>
      <c r="I3" s="524"/>
      <c r="J3" s="524"/>
      <c r="K3" s="524"/>
      <c r="L3" s="524"/>
      <c r="M3" s="525"/>
      <c r="R3" s="523" t="s">
        <v>397</v>
      </c>
      <c r="S3" s="524"/>
      <c r="T3" s="524"/>
      <c r="U3" s="524"/>
      <c r="V3" s="524"/>
      <c r="W3" s="524"/>
      <c r="X3" s="525"/>
      <c r="AL3" s="435" t="s">
        <v>398</v>
      </c>
      <c r="AM3" s="436"/>
      <c r="AN3" s="436"/>
      <c r="AO3" s="435" t="s">
        <v>399</v>
      </c>
      <c r="AP3" s="436"/>
      <c r="AQ3" s="437"/>
      <c r="AR3" s="435" t="s">
        <v>270</v>
      </c>
      <c r="AS3" s="436"/>
      <c r="AT3" s="437"/>
      <c r="AU3" s="435" t="s">
        <v>113</v>
      </c>
      <c r="AV3" s="436"/>
      <c r="AW3" s="437"/>
      <c r="AX3" s="435" t="s">
        <v>271</v>
      </c>
      <c r="AY3" s="436"/>
      <c r="AZ3" s="437"/>
      <c r="BA3" s="435" t="s">
        <v>139</v>
      </c>
      <c r="BB3" s="436"/>
      <c r="BC3" s="437"/>
      <c r="BD3" s="435" t="s">
        <v>272</v>
      </c>
      <c r="BE3" s="436"/>
      <c r="BF3" s="437"/>
      <c r="BI3" s="533" t="s">
        <v>98</v>
      </c>
      <c r="BJ3" s="534"/>
      <c r="BK3" s="534"/>
      <c r="BL3" s="534"/>
      <c r="BM3" s="535"/>
      <c r="BN3" s="488">
        <f>BF56</f>
        <v>494</v>
      </c>
      <c r="BO3" s="489"/>
      <c r="BR3" s="492"/>
      <c r="BS3" s="493"/>
      <c r="BT3" s="493"/>
      <c r="BU3" s="494"/>
      <c r="BV3" s="946"/>
      <c r="BW3" s="947"/>
      <c r="BX3" s="950"/>
      <c r="BY3" s="951"/>
      <c r="BZ3" s="509"/>
      <c r="CA3" s="510"/>
      <c r="CB3" s="509"/>
      <c r="CC3" s="510"/>
      <c r="CP3" s="7"/>
      <c r="CQ3" s="7"/>
      <c r="CR3" s="7"/>
      <c r="CS3" s="7"/>
      <c r="DA3" s="22"/>
      <c r="DB3" s="22"/>
    </row>
    <row r="4" spans="3:117" ht="15.95" customHeight="1" thickBot="1">
      <c r="C4" s="576"/>
      <c r="D4" s="577"/>
      <c r="E4" s="577"/>
      <c r="F4" s="578"/>
      <c r="G4" s="526"/>
      <c r="H4" s="527"/>
      <c r="I4" s="527"/>
      <c r="J4" s="527"/>
      <c r="K4" s="527"/>
      <c r="L4" s="527"/>
      <c r="M4" s="528"/>
      <c r="R4" s="526"/>
      <c r="S4" s="527"/>
      <c r="T4" s="527"/>
      <c r="U4" s="527"/>
      <c r="V4" s="527"/>
      <c r="W4" s="527"/>
      <c r="X4" s="528"/>
      <c r="AL4" s="438"/>
      <c r="AM4" s="439"/>
      <c r="AN4" s="439"/>
      <c r="AO4" s="438"/>
      <c r="AP4" s="439"/>
      <c r="AQ4" s="440"/>
      <c r="AR4" s="438"/>
      <c r="AS4" s="439"/>
      <c r="AT4" s="440"/>
      <c r="AU4" s="438"/>
      <c r="AV4" s="439"/>
      <c r="AW4" s="440"/>
      <c r="AX4" s="438"/>
      <c r="AY4" s="439"/>
      <c r="AZ4" s="440"/>
      <c r="BA4" s="438"/>
      <c r="BB4" s="439"/>
      <c r="BC4" s="440"/>
      <c r="BD4" s="438"/>
      <c r="BE4" s="439"/>
      <c r="BF4" s="440"/>
      <c r="BI4" s="536"/>
      <c r="BJ4" s="537"/>
      <c r="BK4" s="537"/>
      <c r="BL4" s="537"/>
      <c r="BM4" s="538"/>
      <c r="BN4" s="490"/>
      <c r="BO4" s="491"/>
      <c r="BR4" s="495"/>
      <c r="BS4" s="496"/>
      <c r="BT4" s="496"/>
      <c r="BU4" s="497"/>
      <c r="BV4" s="948"/>
      <c r="BW4" s="949"/>
      <c r="BX4" s="952"/>
      <c r="BY4" s="953"/>
      <c r="BZ4" s="511"/>
      <c r="CA4" s="512"/>
      <c r="CB4" s="511"/>
      <c r="CC4" s="512"/>
      <c r="CP4" s="7"/>
      <c r="CQ4" s="7"/>
      <c r="CR4" s="7"/>
      <c r="CS4" s="7"/>
      <c r="DA4" s="22"/>
      <c r="DB4" s="22"/>
    </row>
    <row r="5" spans="3:117" ht="15.95" customHeight="1" thickBot="1">
      <c r="C5" s="576"/>
      <c r="D5" s="577"/>
      <c r="E5" s="577"/>
      <c r="F5" s="578"/>
      <c r="G5" s="486" t="s">
        <v>273</v>
      </c>
      <c r="H5" s="484" t="s">
        <v>274</v>
      </c>
      <c r="I5" s="484" t="s">
        <v>13</v>
      </c>
      <c r="J5" s="484" t="s">
        <v>118</v>
      </c>
      <c r="K5" s="484" t="s">
        <v>275</v>
      </c>
      <c r="L5" s="484" t="s">
        <v>276</v>
      </c>
      <c r="M5" s="484" t="s">
        <v>277</v>
      </c>
      <c r="R5" s="484" t="s">
        <v>273</v>
      </c>
      <c r="S5" s="484" t="s">
        <v>274</v>
      </c>
      <c r="T5" s="484" t="s">
        <v>13</v>
      </c>
      <c r="U5" s="484" t="s">
        <v>118</v>
      </c>
      <c r="V5" s="484" t="s">
        <v>275</v>
      </c>
      <c r="W5" s="484" t="s">
        <v>276</v>
      </c>
      <c r="X5" s="484" t="s">
        <v>277</v>
      </c>
      <c r="AL5" s="441"/>
      <c r="AM5" s="442"/>
      <c r="AN5" s="442"/>
      <c r="AO5" s="441"/>
      <c r="AP5" s="442"/>
      <c r="AQ5" s="443"/>
      <c r="AR5" s="441"/>
      <c r="AS5" s="442"/>
      <c r="AT5" s="443"/>
      <c r="AU5" s="441"/>
      <c r="AV5" s="442"/>
      <c r="AW5" s="443"/>
      <c r="AX5" s="441"/>
      <c r="AY5" s="442"/>
      <c r="AZ5" s="443"/>
      <c r="BA5" s="441"/>
      <c r="BB5" s="442"/>
      <c r="BC5" s="443"/>
      <c r="BD5" s="441"/>
      <c r="BE5" s="442"/>
      <c r="BF5" s="443"/>
      <c r="BN5" s="1"/>
      <c r="BO5" s="1"/>
      <c r="BR5" s="495"/>
      <c r="BS5" s="496"/>
      <c r="BT5" s="496"/>
      <c r="BU5" s="497"/>
      <c r="BV5" s="433">
        <f>BC48</f>
        <v>7</v>
      </c>
      <c r="BW5" s="433">
        <f>BD48</f>
        <v>6</v>
      </c>
      <c r="BX5" s="433">
        <f>BC50</f>
        <v>6</v>
      </c>
      <c r="BY5" s="433">
        <f>BD50</f>
        <v>7</v>
      </c>
      <c r="BZ5" s="433"/>
      <c r="CA5" s="433"/>
      <c r="CB5" s="433"/>
      <c r="CC5" s="433"/>
      <c r="CD5" s="444">
        <f>SUM(BV5:CC6)</f>
        <v>26</v>
      </c>
    </row>
    <row r="6" spans="3:117" ht="15.95" customHeight="1" thickBot="1">
      <c r="C6" s="579"/>
      <c r="D6" s="580"/>
      <c r="E6" s="580"/>
      <c r="F6" s="581"/>
      <c r="G6" s="487"/>
      <c r="H6" s="485"/>
      <c r="I6" s="485"/>
      <c r="J6" s="485"/>
      <c r="K6" s="485"/>
      <c r="L6" s="485"/>
      <c r="M6" s="485"/>
      <c r="R6" s="485"/>
      <c r="S6" s="485"/>
      <c r="T6" s="485"/>
      <c r="U6" s="485"/>
      <c r="V6" s="485"/>
      <c r="W6" s="485"/>
      <c r="X6" s="485"/>
      <c r="AL6" s="455">
        <f>L11+W11</f>
        <v>0</v>
      </c>
      <c r="AM6" s="456"/>
      <c r="AN6" s="457"/>
      <c r="AO6" s="560">
        <f>M11+X11</f>
        <v>118</v>
      </c>
      <c r="AP6" s="456"/>
      <c r="AQ6" s="457"/>
      <c r="AR6" s="446">
        <v>0</v>
      </c>
      <c r="AS6" s="447"/>
      <c r="AT6" s="448"/>
      <c r="AU6" s="455">
        <f>AL6+AR6</f>
        <v>0</v>
      </c>
      <c r="AV6" s="456"/>
      <c r="AW6" s="457"/>
      <c r="AX6" s="582">
        <f>K11+V11</f>
        <v>28</v>
      </c>
      <c r="AY6" s="456"/>
      <c r="AZ6" s="457"/>
      <c r="BA6" s="559">
        <v>44699</v>
      </c>
      <c r="BB6" s="456"/>
      <c r="BC6" s="457"/>
      <c r="BD6" s="560">
        <v>118</v>
      </c>
      <c r="BE6" s="561"/>
      <c r="BF6" s="562"/>
      <c r="BI6" s="583" t="s">
        <v>400</v>
      </c>
      <c r="BJ6" s="594"/>
      <c r="BK6" s="594"/>
      <c r="BL6" s="594"/>
      <c r="BM6" s="584"/>
      <c r="BN6" s="427">
        <f>BD6</f>
        <v>118</v>
      </c>
      <c r="BO6" s="428"/>
      <c r="BR6" s="495"/>
      <c r="BS6" s="496"/>
      <c r="BT6" s="496"/>
      <c r="BU6" s="497"/>
      <c r="BV6" s="434"/>
      <c r="BW6" s="434"/>
      <c r="BX6" s="434"/>
      <c r="BY6" s="434"/>
      <c r="BZ6" s="434"/>
      <c r="CA6" s="434"/>
      <c r="CB6" s="434"/>
      <c r="CC6" s="434"/>
      <c r="CD6" s="445"/>
      <c r="CP6" s="20"/>
      <c r="CQ6" s="20"/>
      <c r="CR6" s="20"/>
      <c r="CS6" s="20"/>
      <c r="CT6" s="20"/>
      <c r="CU6" s="20"/>
      <c r="CV6" s="20"/>
      <c r="CW6" s="20"/>
      <c r="CX6" s="20"/>
      <c r="CY6" s="20"/>
      <c r="DD6" s="20"/>
      <c r="DE6" s="20"/>
      <c r="DF6" s="20"/>
      <c r="DG6" s="20"/>
      <c r="DH6" s="20"/>
      <c r="DI6" s="20"/>
      <c r="DJ6" s="20"/>
      <c r="DK6" s="20"/>
      <c r="DL6" s="20"/>
      <c r="DM6" s="20"/>
    </row>
    <row r="7" spans="3:117" ht="15.95" customHeight="1">
      <c r="C7" s="882"/>
      <c r="D7" s="547" t="s">
        <v>401</v>
      </c>
      <c r="E7" s="548"/>
      <c r="F7" s="549"/>
      <c r="G7" s="553">
        <v>0</v>
      </c>
      <c r="H7" s="555">
        <v>4.92</v>
      </c>
      <c r="I7" s="557">
        <v>0</v>
      </c>
      <c r="J7" s="557">
        <v>1</v>
      </c>
      <c r="K7" s="557">
        <f>I7+J7</f>
        <v>1</v>
      </c>
      <c r="L7" s="593">
        <f>G7*K7</f>
        <v>0</v>
      </c>
      <c r="M7" s="519">
        <f>H7*K7</f>
        <v>4.92</v>
      </c>
      <c r="N7" s="882"/>
      <c r="O7" s="547" t="s">
        <v>401</v>
      </c>
      <c r="P7" s="548"/>
      <c r="Q7" s="549"/>
      <c r="R7" s="553">
        <v>0</v>
      </c>
      <c r="S7" s="555">
        <v>4.16</v>
      </c>
      <c r="T7" s="557">
        <v>7</v>
      </c>
      <c r="U7" s="557">
        <v>6</v>
      </c>
      <c r="V7" s="557">
        <f>T7+U7</f>
        <v>13</v>
      </c>
      <c r="W7" s="593">
        <f>R7*V7</f>
        <v>0</v>
      </c>
      <c r="X7" s="519">
        <f>S7*V7</f>
        <v>54.08</v>
      </c>
      <c r="AL7" s="458"/>
      <c r="AM7" s="459"/>
      <c r="AN7" s="460"/>
      <c r="AO7" s="458"/>
      <c r="AP7" s="459"/>
      <c r="AQ7" s="460"/>
      <c r="AR7" s="449"/>
      <c r="AS7" s="450"/>
      <c r="AT7" s="451"/>
      <c r="AU7" s="458"/>
      <c r="AV7" s="459"/>
      <c r="AW7" s="460"/>
      <c r="AX7" s="458"/>
      <c r="AY7" s="459"/>
      <c r="AZ7" s="460"/>
      <c r="BA7" s="458"/>
      <c r="BB7" s="459"/>
      <c r="BC7" s="460"/>
      <c r="BD7" s="563"/>
      <c r="BE7" s="564"/>
      <c r="BF7" s="565"/>
      <c r="BI7" s="529"/>
      <c r="BJ7" s="530"/>
      <c r="BK7" s="530"/>
      <c r="BL7" s="530"/>
      <c r="BM7" s="531"/>
      <c r="BN7" s="429"/>
      <c r="BO7" s="430"/>
      <c r="BR7" s="495"/>
      <c r="BS7" s="496"/>
      <c r="BT7" s="496"/>
      <c r="BU7" s="497"/>
      <c r="BV7" s="521" t="s">
        <v>13</v>
      </c>
      <c r="BW7" s="521" t="s">
        <v>118</v>
      </c>
      <c r="BX7" s="521" t="s">
        <v>13</v>
      </c>
      <c r="BY7" s="521" t="s">
        <v>118</v>
      </c>
      <c r="BZ7" s="521"/>
      <c r="CA7" s="521"/>
      <c r="CB7" s="521"/>
      <c r="CC7" s="521"/>
      <c r="CD7" s="484" t="s">
        <v>275</v>
      </c>
      <c r="CE7" s="484" t="s">
        <v>277</v>
      </c>
      <c r="CF7" s="583" t="s">
        <v>280</v>
      </c>
      <c r="CG7" s="594"/>
      <c r="CH7" s="584"/>
      <c r="CI7" s="596" t="s">
        <v>281</v>
      </c>
      <c r="CJ7" s="596" t="s">
        <v>282</v>
      </c>
      <c r="CK7" s="583" t="s">
        <v>272</v>
      </c>
      <c r="CL7" s="584"/>
      <c r="CM7" s="587" t="s">
        <v>139</v>
      </c>
      <c r="CQ7" s="8"/>
      <c r="CV7" s="21"/>
      <c r="CW7" s="21"/>
      <c r="DA7" s="22"/>
      <c r="DB7" s="22"/>
      <c r="DE7" s="8"/>
      <c r="DJ7" s="21"/>
      <c r="DK7" s="21"/>
      <c r="DL7" s="21"/>
      <c r="DM7" s="21"/>
    </row>
    <row r="8" spans="3:117" ht="15.95" customHeight="1" thickBot="1">
      <c r="C8" s="957"/>
      <c r="D8" s="550"/>
      <c r="E8" s="551"/>
      <c r="F8" s="552"/>
      <c r="G8" s="554"/>
      <c r="H8" s="556"/>
      <c r="I8" s="558"/>
      <c r="J8" s="558"/>
      <c r="K8" s="558"/>
      <c r="L8" s="558"/>
      <c r="M8" s="520"/>
      <c r="N8" s="957"/>
      <c r="O8" s="550"/>
      <c r="P8" s="551"/>
      <c r="Q8" s="552"/>
      <c r="R8" s="554"/>
      <c r="S8" s="556"/>
      <c r="T8" s="558"/>
      <c r="U8" s="558"/>
      <c r="V8" s="558"/>
      <c r="W8" s="558"/>
      <c r="X8" s="520"/>
      <c r="AL8" s="461"/>
      <c r="AM8" s="462"/>
      <c r="AN8" s="463"/>
      <c r="AO8" s="461"/>
      <c r="AP8" s="462"/>
      <c r="AQ8" s="463"/>
      <c r="AR8" s="452"/>
      <c r="AS8" s="453"/>
      <c r="AT8" s="454"/>
      <c r="AU8" s="461"/>
      <c r="AV8" s="462"/>
      <c r="AW8" s="463"/>
      <c r="AX8" s="461"/>
      <c r="AY8" s="462"/>
      <c r="AZ8" s="463"/>
      <c r="BA8" s="461"/>
      <c r="BB8" s="462"/>
      <c r="BC8" s="463"/>
      <c r="BD8" s="566"/>
      <c r="BE8" s="567"/>
      <c r="BF8" s="568"/>
      <c r="BI8" s="529" t="s">
        <v>141</v>
      </c>
      <c r="BJ8" s="530"/>
      <c r="BK8" s="530"/>
      <c r="BL8" s="530"/>
      <c r="BM8" s="531"/>
      <c r="BN8" s="532">
        <f>AT24</f>
        <v>93.17</v>
      </c>
      <c r="BO8" s="430"/>
      <c r="BR8" s="498"/>
      <c r="BS8" s="499"/>
      <c r="BT8" s="499"/>
      <c r="BU8" s="500"/>
      <c r="BV8" s="522"/>
      <c r="BW8" s="522"/>
      <c r="BX8" s="522"/>
      <c r="BY8" s="522"/>
      <c r="BZ8" s="522"/>
      <c r="CA8" s="522"/>
      <c r="CB8" s="522"/>
      <c r="CC8" s="522"/>
      <c r="CD8" s="485"/>
      <c r="CE8" s="485"/>
      <c r="CF8" s="585"/>
      <c r="CG8" s="595"/>
      <c r="CH8" s="586"/>
      <c r="CI8" s="597"/>
      <c r="CJ8" s="597"/>
      <c r="CK8" s="585"/>
      <c r="CL8" s="586"/>
      <c r="CM8" s="588"/>
      <c r="CX8" s="21"/>
      <c r="CY8" s="21"/>
      <c r="DA8" s="22"/>
      <c r="DB8" s="22"/>
      <c r="DL8" s="21"/>
      <c r="DM8" s="21"/>
    </row>
    <row r="9" spans="3:117" ht="15.95" customHeight="1">
      <c r="C9" s="659"/>
      <c r="D9" s="547" t="s">
        <v>402</v>
      </c>
      <c r="E9" s="548"/>
      <c r="F9" s="549"/>
      <c r="G9" s="553">
        <v>0</v>
      </c>
      <c r="H9" s="555">
        <v>4.92</v>
      </c>
      <c r="I9" s="557">
        <v>1</v>
      </c>
      <c r="J9" s="557">
        <v>0</v>
      </c>
      <c r="K9" s="557">
        <f>I9+J9</f>
        <v>1</v>
      </c>
      <c r="L9" s="593">
        <f>G9*K9</f>
        <v>0</v>
      </c>
      <c r="M9" s="519">
        <f>H9*K9</f>
        <v>4.92</v>
      </c>
      <c r="N9" s="659"/>
      <c r="O9" s="547" t="s">
        <v>402</v>
      </c>
      <c r="P9" s="548"/>
      <c r="Q9" s="549"/>
      <c r="R9" s="553">
        <v>0</v>
      </c>
      <c r="S9" s="555">
        <v>4.16</v>
      </c>
      <c r="T9" s="557">
        <v>6</v>
      </c>
      <c r="U9" s="557">
        <v>7</v>
      </c>
      <c r="V9" s="557">
        <f>T9+U9</f>
        <v>13</v>
      </c>
      <c r="W9" s="593">
        <f>R9*V9</f>
        <v>0</v>
      </c>
      <c r="X9" s="519">
        <f>S9*V9</f>
        <v>54.08</v>
      </c>
      <c r="BI9" s="529"/>
      <c r="BJ9" s="530"/>
      <c r="BK9" s="530"/>
      <c r="BL9" s="530"/>
      <c r="BM9" s="531"/>
      <c r="BN9" s="429"/>
      <c r="BO9" s="430"/>
      <c r="BR9" s="539" t="s">
        <v>33</v>
      </c>
      <c r="BS9" s="540"/>
      <c r="BT9" s="540"/>
      <c r="BU9" s="541"/>
      <c r="BV9" s="466">
        <v>0</v>
      </c>
      <c r="BW9" s="480">
        <v>0</v>
      </c>
      <c r="BX9" s="466">
        <v>0</v>
      </c>
      <c r="BY9" s="478">
        <v>1</v>
      </c>
      <c r="BZ9" s="480"/>
      <c r="CA9" s="480"/>
      <c r="CB9" s="466"/>
      <c r="CC9" s="478"/>
      <c r="CD9" s="795">
        <f>SUM(BV9:BY10)</f>
        <v>1</v>
      </c>
      <c r="CE9" s="797">
        <f>BV9*19+BW9*19+BX9*19+BY9*19</f>
        <v>19</v>
      </c>
      <c r="CF9" s="468" t="s">
        <v>403</v>
      </c>
      <c r="CG9" s="469"/>
      <c r="CH9" s="470"/>
      <c r="CI9" s="474"/>
      <c r="CJ9" s="474">
        <v>19</v>
      </c>
      <c r="CK9" s="468" t="s">
        <v>286</v>
      </c>
      <c r="CL9" s="470"/>
      <c r="CM9" s="464">
        <v>44718</v>
      </c>
    </row>
    <row r="10" spans="3:117" ht="15.95" customHeight="1" thickBot="1">
      <c r="C10" s="955"/>
      <c r="D10" s="550"/>
      <c r="E10" s="551"/>
      <c r="F10" s="552"/>
      <c r="G10" s="686"/>
      <c r="H10" s="956"/>
      <c r="I10" s="668"/>
      <c r="J10" s="668"/>
      <c r="K10" s="668"/>
      <c r="L10" s="954"/>
      <c r="M10" s="657"/>
      <c r="N10" s="955"/>
      <c r="O10" s="550"/>
      <c r="P10" s="551"/>
      <c r="Q10" s="552"/>
      <c r="R10" s="686"/>
      <c r="S10" s="956"/>
      <c r="T10" s="668"/>
      <c r="U10" s="668"/>
      <c r="V10" s="668"/>
      <c r="W10" s="954"/>
      <c r="X10" s="657"/>
      <c r="BI10" s="529"/>
      <c r="BJ10" s="530"/>
      <c r="BK10" s="530"/>
      <c r="BL10" s="530"/>
      <c r="BM10" s="531"/>
      <c r="BN10" s="532"/>
      <c r="BO10" s="430"/>
      <c r="BR10" s="542"/>
      <c r="BS10" s="543"/>
      <c r="BT10" s="543"/>
      <c r="BU10" s="544"/>
      <c r="BV10" s="467"/>
      <c r="BW10" s="481"/>
      <c r="BX10" s="467"/>
      <c r="BY10" s="479"/>
      <c r="BZ10" s="481"/>
      <c r="CA10" s="481"/>
      <c r="CB10" s="467"/>
      <c r="CC10" s="479"/>
      <c r="CD10" s="796"/>
      <c r="CE10" s="798"/>
      <c r="CF10" s="471"/>
      <c r="CG10" s="472"/>
      <c r="CH10" s="473"/>
      <c r="CI10" s="475"/>
      <c r="CJ10" s="475"/>
      <c r="CK10" s="471"/>
      <c r="CL10" s="473"/>
      <c r="CM10" s="465"/>
      <c r="CP10" s="20"/>
      <c r="CQ10" s="20"/>
      <c r="CR10" s="20"/>
      <c r="CS10" s="20"/>
      <c r="CT10" s="20"/>
      <c r="CU10" s="20"/>
      <c r="CV10" s="20"/>
      <c r="CW10" s="20"/>
      <c r="CX10" s="20"/>
      <c r="CY10" s="20"/>
    </row>
    <row r="11" spans="3:117" ht="15.95" customHeight="1" thickBot="1">
      <c r="D11" s="10"/>
      <c r="E11" s="10"/>
      <c r="F11" s="10"/>
      <c r="G11" s="15"/>
      <c r="H11" s="16"/>
      <c r="I11" s="958">
        <f>SUM(I7:I10)</f>
        <v>1</v>
      </c>
      <c r="J11" s="958">
        <f>SUM(J7:J10)</f>
        <v>1</v>
      </c>
      <c r="K11" s="958">
        <f>SUM(K7:K10)</f>
        <v>2</v>
      </c>
      <c r="L11" s="959">
        <f>SUM(L7:L10)</f>
        <v>0</v>
      </c>
      <c r="M11" s="960">
        <f>SUM(M7:M10)</f>
        <v>9.84</v>
      </c>
      <c r="R11" s="3"/>
      <c r="S11" s="3"/>
      <c r="T11" s="958">
        <f>SUM(T7:T10)</f>
        <v>13</v>
      </c>
      <c r="U11" s="958">
        <f>SUM(U7:U10)</f>
        <v>13</v>
      </c>
      <c r="V11" s="958">
        <f>SUM(V7:V10)</f>
        <v>26</v>
      </c>
      <c r="W11" s="959">
        <f>SUM(W7:W10)</f>
        <v>0</v>
      </c>
      <c r="X11" s="960">
        <f>SUM(X7:X10)</f>
        <v>108.16</v>
      </c>
      <c r="BI11" s="529"/>
      <c r="BJ11" s="530"/>
      <c r="BK11" s="530"/>
      <c r="BL11" s="530"/>
      <c r="BM11" s="531"/>
      <c r="BN11" s="429"/>
      <c r="BO11" s="430"/>
      <c r="BR11" s="539" t="s">
        <v>12</v>
      </c>
      <c r="BS11" s="540"/>
      <c r="BT11" s="540"/>
      <c r="BU11" s="541"/>
      <c r="BV11" s="466">
        <v>0</v>
      </c>
      <c r="BW11" s="480">
        <v>1</v>
      </c>
      <c r="BX11" s="466">
        <v>0</v>
      </c>
      <c r="BY11" s="478">
        <v>1</v>
      </c>
      <c r="BZ11" s="480"/>
      <c r="CA11" s="480"/>
      <c r="CB11" s="466"/>
      <c r="CC11" s="478"/>
      <c r="CD11" s="795">
        <f>SUM(BV11:BY12)</f>
        <v>2</v>
      </c>
      <c r="CE11" s="797">
        <f>BV11*19+BW11*19+BX11*19+BY11*19</f>
        <v>38</v>
      </c>
      <c r="CF11" s="961" t="s">
        <v>404</v>
      </c>
      <c r="CG11" s="469"/>
      <c r="CH11" s="470"/>
      <c r="CI11" s="474"/>
      <c r="CJ11" s="474">
        <v>38</v>
      </c>
      <c r="CK11" s="468" t="s">
        <v>286</v>
      </c>
      <c r="CL11" s="470"/>
      <c r="CM11" s="464">
        <v>44718</v>
      </c>
      <c r="CQ11" s="8"/>
      <c r="CV11" s="21"/>
      <c r="CW11" s="21"/>
      <c r="DA11" s="22"/>
      <c r="DB11" s="22"/>
    </row>
    <row r="12" spans="3:117" ht="15.95" customHeight="1" thickBot="1">
      <c r="D12" s="10"/>
      <c r="E12" s="10"/>
      <c r="F12" s="10"/>
      <c r="G12" s="15"/>
      <c r="H12" s="16"/>
      <c r="I12" s="661"/>
      <c r="J12" s="661"/>
      <c r="K12" s="661"/>
      <c r="L12" s="661"/>
      <c r="M12" s="697"/>
      <c r="R12" s="3"/>
      <c r="S12" s="3"/>
      <c r="T12" s="661"/>
      <c r="U12" s="661"/>
      <c r="V12" s="661"/>
      <c r="W12" s="661"/>
      <c r="X12" s="697"/>
      <c r="AL12" s="608" t="s">
        <v>141</v>
      </c>
      <c r="AM12" s="609"/>
      <c r="AN12" s="609"/>
      <c r="AO12" s="610"/>
      <c r="AX12" s="492"/>
      <c r="AY12" s="493"/>
      <c r="AZ12" s="493"/>
      <c r="BA12" s="494"/>
      <c r="BI12" s="529"/>
      <c r="BJ12" s="530"/>
      <c r="BK12" s="530"/>
      <c r="BL12" s="530"/>
      <c r="BM12" s="531"/>
      <c r="BN12" s="532"/>
      <c r="BO12" s="430"/>
      <c r="BR12" s="542"/>
      <c r="BS12" s="543"/>
      <c r="BT12" s="543"/>
      <c r="BU12" s="544"/>
      <c r="BV12" s="467"/>
      <c r="BW12" s="481"/>
      <c r="BX12" s="467"/>
      <c r="BY12" s="479"/>
      <c r="BZ12" s="481"/>
      <c r="CA12" s="481"/>
      <c r="CB12" s="467"/>
      <c r="CC12" s="479"/>
      <c r="CD12" s="796"/>
      <c r="CE12" s="798"/>
      <c r="CF12" s="471"/>
      <c r="CG12" s="472"/>
      <c r="CH12" s="473"/>
      <c r="CI12" s="475"/>
      <c r="CJ12" s="475"/>
      <c r="CK12" s="471"/>
      <c r="CL12" s="473"/>
      <c r="CM12" s="465"/>
      <c r="CX12" s="21"/>
      <c r="CY12" s="21"/>
      <c r="DA12" s="22"/>
      <c r="DB12" s="22"/>
    </row>
    <row r="13" spans="3:117" ht="15.95" customHeight="1" thickBot="1">
      <c r="D13" s="10"/>
      <c r="E13" s="10"/>
      <c r="F13" s="10"/>
      <c r="G13" s="15"/>
      <c r="H13" s="16"/>
      <c r="I13" s="5"/>
      <c r="J13" s="5"/>
      <c r="K13" s="5"/>
      <c r="L13" s="17"/>
      <c r="M13" s="18"/>
      <c r="O13" s="10"/>
      <c r="P13" s="10"/>
      <c r="Q13" s="10"/>
      <c r="R13" s="15"/>
      <c r="S13" s="16"/>
      <c r="T13" s="5"/>
      <c r="U13" s="5"/>
      <c r="V13" s="5"/>
      <c r="W13" s="17"/>
      <c r="X13" s="18"/>
      <c r="AL13" s="611"/>
      <c r="AM13" s="612"/>
      <c r="AN13" s="612"/>
      <c r="AO13" s="613"/>
      <c r="AX13" s="495"/>
      <c r="AY13" s="496"/>
      <c r="AZ13" s="496"/>
      <c r="BA13" s="497"/>
      <c r="BI13" s="529"/>
      <c r="BJ13" s="530"/>
      <c r="BK13" s="530"/>
      <c r="BL13" s="530"/>
      <c r="BM13" s="531"/>
      <c r="BN13" s="429"/>
      <c r="BO13" s="430"/>
      <c r="BR13" s="539" t="s">
        <v>53</v>
      </c>
      <c r="BS13" s="540"/>
      <c r="BT13" s="540"/>
      <c r="BU13" s="541"/>
      <c r="BV13" s="466">
        <v>0</v>
      </c>
      <c r="BW13" s="480">
        <v>0</v>
      </c>
      <c r="BX13" s="466">
        <v>0</v>
      </c>
      <c r="BY13" s="478">
        <v>1</v>
      </c>
      <c r="BZ13" s="480"/>
      <c r="CA13" s="480"/>
      <c r="CB13" s="466"/>
      <c r="CC13" s="478"/>
      <c r="CD13" s="795">
        <f>SUM(BV13:BY14)</f>
        <v>1</v>
      </c>
      <c r="CE13" s="797">
        <f>BV13*19+BW13*19+BX13*19+BY13*19</f>
        <v>19</v>
      </c>
      <c r="CF13" s="468" t="s">
        <v>405</v>
      </c>
      <c r="CG13" s="469"/>
      <c r="CH13" s="470"/>
      <c r="CI13" s="474">
        <v>19</v>
      </c>
      <c r="CJ13" s="474"/>
      <c r="CK13" s="468" t="s">
        <v>286</v>
      </c>
      <c r="CL13" s="470"/>
      <c r="CM13" s="464">
        <v>44718</v>
      </c>
    </row>
    <row r="14" spans="3:117" ht="15.95" customHeight="1" thickBot="1">
      <c r="D14" s="10"/>
      <c r="E14" s="10"/>
      <c r="F14" s="10"/>
      <c r="G14" s="15"/>
      <c r="H14" s="16"/>
      <c r="I14" s="5"/>
      <c r="J14" s="5"/>
      <c r="K14" s="5"/>
      <c r="L14" s="5"/>
      <c r="M14" s="5"/>
      <c r="O14" s="10"/>
      <c r="P14" s="10"/>
      <c r="Q14" s="10"/>
      <c r="R14" s="15"/>
      <c r="S14" s="16"/>
      <c r="T14" s="5"/>
      <c r="U14" s="5"/>
      <c r="V14" s="5"/>
      <c r="W14" s="5"/>
      <c r="X14" s="5"/>
      <c r="AL14" s="611"/>
      <c r="AM14" s="612"/>
      <c r="AN14" s="612"/>
      <c r="AO14" s="613"/>
      <c r="AP14" s="484" t="s">
        <v>274</v>
      </c>
      <c r="AQ14" s="484" t="s">
        <v>275</v>
      </c>
      <c r="AR14" s="484" t="s">
        <v>102</v>
      </c>
      <c r="AS14" s="605" t="s">
        <v>292</v>
      </c>
      <c r="AT14" s="484" t="s">
        <v>277</v>
      </c>
      <c r="AX14" s="495"/>
      <c r="AY14" s="496"/>
      <c r="AZ14" s="496"/>
      <c r="BA14" s="497"/>
      <c r="BB14" s="484" t="s">
        <v>293</v>
      </c>
      <c r="BC14" s="484" t="s">
        <v>13</v>
      </c>
      <c r="BD14" s="484" t="s">
        <v>118</v>
      </c>
      <c r="BE14" s="484" t="s">
        <v>275</v>
      </c>
      <c r="BF14" s="484" t="s">
        <v>277</v>
      </c>
      <c r="BI14" s="529"/>
      <c r="BJ14" s="530"/>
      <c r="BK14" s="530"/>
      <c r="BL14" s="530"/>
      <c r="BM14" s="531"/>
      <c r="BN14" s="532"/>
      <c r="BO14" s="430"/>
      <c r="BR14" s="542"/>
      <c r="BS14" s="543"/>
      <c r="BT14" s="543"/>
      <c r="BU14" s="544"/>
      <c r="BV14" s="467"/>
      <c r="BW14" s="481"/>
      <c r="BX14" s="467"/>
      <c r="BY14" s="479"/>
      <c r="BZ14" s="481"/>
      <c r="CA14" s="481"/>
      <c r="CB14" s="467"/>
      <c r="CC14" s="479"/>
      <c r="CD14" s="796"/>
      <c r="CE14" s="798"/>
      <c r="CF14" s="471"/>
      <c r="CG14" s="472"/>
      <c r="CH14" s="473"/>
      <c r="CI14" s="475"/>
      <c r="CJ14" s="475"/>
      <c r="CK14" s="471"/>
      <c r="CL14" s="473"/>
      <c r="CM14" s="465"/>
      <c r="CP14" s="20"/>
      <c r="CQ14" s="20"/>
      <c r="CR14" s="20"/>
      <c r="CS14" s="20"/>
      <c r="CT14" s="20"/>
      <c r="CU14" s="20"/>
      <c r="CV14" s="20"/>
      <c r="CW14" s="20"/>
      <c r="CX14" s="20"/>
      <c r="CY14" s="20"/>
    </row>
    <row r="15" spans="3:117" ht="15.95" customHeight="1" thickBot="1">
      <c r="D15" s="10"/>
      <c r="E15" s="10"/>
      <c r="F15" s="10"/>
      <c r="G15" s="15"/>
      <c r="H15" s="16"/>
      <c r="I15" s="5"/>
      <c r="J15" s="5"/>
      <c r="K15" s="5"/>
      <c r="L15" s="17"/>
      <c r="M15" s="18"/>
      <c r="O15" s="10"/>
      <c r="P15" s="10"/>
      <c r="Q15" s="10"/>
      <c r="R15" s="15"/>
      <c r="S15" s="16"/>
      <c r="T15" s="5"/>
      <c r="U15" s="5"/>
      <c r="V15" s="5"/>
      <c r="W15" s="17"/>
      <c r="X15" s="18"/>
      <c r="AL15" s="614"/>
      <c r="AM15" s="615"/>
      <c r="AN15" s="615"/>
      <c r="AO15" s="616"/>
      <c r="AP15" s="485"/>
      <c r="AQ15" s="485"/>
      <c r="AR15" s="485"/>
      <c r="AS15" s="606"/>
      <c r="AT15" s="485"/>
      <c r="AX15" s="498"/>
      <c r="AY15" s="499"/>
      <c r="AZ15" s="499"/>
      <c r="BA15" s="500"/>
      <c r="BB15" s="485"/>
      <c r="BC15" s="485"/>
      <c r="BD15" s="485"/>
      <c r="BE15" s="485"/>
      <c r="BF15" s="485"/>
      <c r="BI15" s="529"/>
      <c r="BJ15" s="530"/>
      <c r="BK15" s="530"/>
      <c r="BL15" s="530"/>
      <c r="BM15" s="531"/>
      <c r="BN15" s="429"/>
      <c r="BO15" s="430"/>
      <c r="BR15" s="539" t="s">
        <v>406</v>
      </c>
      <c r="BS15" s="540"/>
      <c r="BT15" s="540"/>
      <c r="BU15" s="541"/>
      <c r="BV15" s="466">
        <v>1</v>
      </c>
      <c r="BW15" s="480">
        <v>0</v>
      </c>
      <c r="BX15" s="466">
        <v>1</v>
      </c>
      <c r="BY15" s="478">
        <v>0</v>
      </c>
      <c r="BZ15" s="480"/>
      <c r="CA15" s="480"/>
      <c r="CB15" s="466"/>
      <c r="CC15" s="478"/>
      <c r="CD15" s="795">
        <f>SUM(BV15:BY16)</f>
        <v>2</v>
      </c>
      <c r="CE15" s="797">
        <f>BV15*19+BW15*19+BX15*19+BY15*19</f>
        <v>38</v>
      </c>
      <c r="CF15" s="468" t="s">
        <v>404</v>
      </c>
      <c r="CG15" s="469"/>
      <c r="CH15" s="470"/>
      <c r="CI15" s="474"/>
      <c r="CJ15" s="474">
        <v>38</v>
      </c>
      <c r="CK15" s="468" t="s">
        <v>286</v>
      </c>
      <c r="CL15" s="470"/>
      <c r="CM15" s="464">
        <v>44726</v>
      </c>
      <c r="CQ15" s="8"/>
      <c r="CV15" s="21"/>
      <c r="CW15" s="21"/>
      <c r="DA15" s="22"/>
      <c r="DB15" s="22"/>
    </row>
    <row r="16" spans="3:117" ht="15.95" customHeight="1" thickBot="1">
      <c r="D16" s="10"/>
      <c r="E16" s="10"/>
      <c r="F16" s="10"/>
      <c r="G16" s="15"/>
      <c r="H16" s="16"/>
      <c r="I16" s="5"/>
      <c r="J16" s="5"/>
      <c r="K16" s="5"/>
      <c r="L16" s="5"/>
      <c r="M16" s="5"/>
      <c r="O16" s="10"/>
      <c r="P16" s="10"/>
      <c r="Q16" s="10"/>
      <c r="R16" s="15"/>
      <c r="S16" s="16"/>
      <c r="T16" s="5"/>
      <c r="U16" s="5"/>
      <c r="V16" s="5"/>
      <c r="W16" s="5"/>
      <c r="X16" s="5"/>
      <c r="AL16" s="882"/>
      <c r="AM16" s="547" t="s">
        <v>370</v>
      </c>
      <c r="AN16" s="548"/>
      <c r="AO16" s="549"/>
      <c r="AP16" s="645">
        <v>3</v>
      </c>
      <c r="AQ16" s="557">
        <f>K7+V7</f>
        <v>14</v>
      </c>
      <c r="AR16" s="647">
        <f>((AP16*AQ16)*0.21)/AQ16</f>
        <v>0.63</v>
      </c>
      <c r="AS16" s="647">
        <f>AP16+AR16</f>
        <v>3.63</v>
      </c>
      <c r="AT16" s="519">
        <f>AQ16*AS16</f>
        <v>50.82</v>
      </c>
      <c r="AX16" s="882"/>
      <c r="AY16" s="547" t="s">
        <v>370</v>
      </c>
      <c r="AZ16" s="548"/>
      <c r="BA16" s="549"/>
      <c r="BB16" s="641">
        <f>AP48</f>
        <v>19</v>
      </c>
      <c r="BC16" s="643">
        <f>I7+T7+1</f>
        <v>8</v>
      </c>
      <c r="BD16" s="643">
        <f>J7+U7</f>
        <v>7</v>
      </c>
      <c r="BE16" s="643">
        <f>BC16+BD16</f>
        <v>15</v>
      </c>
      <c r="BF16" s="650">
        <f>BB16*BE16</f>
        <v>285</v>
      </c>
      <c r="BI16" s="529"/>
      <c r="BJ16" s="530"/>
      <c r="BK16" s="530"/>
      <c r="BL16" s="530"/>
      <c r="BM16" s="531"/>
      <c r="BN16" s="532"/>
      <c r="BO16" s="600"/>
      <c r="BR16" s="542"/>
      <c r="BS16" s="543"/>
      <c r="BT16" s="543"/>
      <c r="BU16" s="544"/>
      <c r="BV16" s="467"/>
      <c r="BW16" s="481"/>
      <c r="BX16" s="467"/>
      <c r="BY16" s="479"/>
      <c r="BZ16" s="481"/>
      <c r="CA16" s="481"/>
      <c r="CB16" s="467"/>
      <c r="CC16" s="479"/>
      <c r="CD16" s="796"/>
      <c r="CE16" s="798"/>
      <c r="CF16" s="471"/>
      <c r="CG16" s="472"/>
      <c r="CH16" s="473"/>
      <c r="CI16" s="475"/>
      <c r="CJ16" s="475"/>
      <c r="CK16" s="471"/>
      <c r="CL16" s="473"/>
      <c r="CM16" s="465"/>
      <c r="CX16" s="21"/>
      <c r="CY16" s="21"/>
      <c r="DA16" s="22"/>
      <c r="DB16" s="22"/>
    </row>
    <row r="17" spans="4:106" ht="15.95" customHeight="1" thickBot="1">
      <c r="D17" s="10"/>
      <c r="E17" s="10"/>
      <c r="F17" s="10"/>
      <c r="G17" s="15"/>
      <c r="H17" s="16"/>
      <c r="I17" s="5"/>
      <c r="J17" s="5"/>
      <c r="K17" s="5"/>
      <c r="L17" s="17"/>
      <c r="M17" s="18"/>
      <c r="O17" s="10"/>
      <c r="P17" s="10"/>
      <c r="Q17" s="10"/>
      <c r="R17" s="15"/>
      <c r="S17" s="16"/>
      <c r="T17" s="5"/>
      <c r="U17" s="5"/>
      <c r="V17" s="5"/>
      <c r="W17" s="17"/>
      <c r="X17" s="18"/>
      <c r="AL17" s="957"/>
      <c r="AM17" s="550"/>
      <c r="AN17" s="551"/>
      <c r="AO17" s="552"/>
      <c r="AP17" s="646"/>
      <c r="AQ17" s="558"/>
      <c r="AR17" s="648"/>
      <c r="AS17" s="648"/>
      <c r="AT17" s="640"/>
      <c r="AX17" s="957"/>
      <c r="AY17" s="550"/>
      <c r="AZ17" s="551"/>
      <c r="BA17" s="552"/>
      <c r="BB17" s="642"/>
      <c r="BC17" s="644"/>
      <c r="BD17" s="644"/>
      <c r="BE17" s="644"/>
      <c r="BF17" s="651"/>
      <c r="BI17" s="585"/>
      <c r="BJ17" s="595"/>
      <c r="BK17" s="595"/>
      <c r="BL17" s="595"/>
      <c r="BM17" s="586"/>
      <c r="BN17" s="601"/>
      <c r="BO17" s="602"/>
      <c r="BR17" s="539" t="s">
        <v>32</v>
      </c>
      <c r="BS17" s="540"/>
      <c r="BT17" s="540"/>
      <c r="BU17" s="541"/>
      <c r="BV17" s="466">
        <v>0</v>
      </c>
      <c r="BW17" s="480">
        <v>1</v>
      </c>
      <c r="BX17" s="466">
        <v>0</v>
      </c>
      <c r="BY17" s="478">
        <v>0</v>
      </c>
      <c r="BZ17" s="480"/>
      <c r="CA17" s="480"/>
      <c r="CB17" s="466"/>
      <c r="CC17" s="478"/>
      <c r="CD17" s="795">
        <f>SUM(BV17:BY18)</f>
        <v>1</v>
      </c>
      <c r="CE17" s="797">
        <f>BV17*19+BW17*19+BX17*19+BY17*19</f>
        <v>19</v>
      </c>
      <c r="CF17" s="468" t="s">
        <v>403</v>
      </c>
      <c r="CG17" s="469"/>
      <c r="CH17" s="470"/>
      <c r="CI17" s="474"/>
      <c r="CJ17" s="474">
        <v>19</v>
      </c>
      <c r="CK17" s="468" t="s">
        <v>286</v>
      </c>
      <c r="CL17" s="470"/>
      <c r="CM17" s="464">
        <v>44729</v>
      </c>
    </row>
    <row r="18" spans="4:106" ht="15.95" customHeight="1" thickBot="1">
      <c r="D18" s="10"/>
      <c r="E18" s="10"/>
      <c r="F18" s="10"/>
      <c r="G18" s="15"/>
      <c r="H18" s="16"/>
      <c r="I18" s="5"/>
      <c r="J18" s="5"/>
      <c r="K18" s="5"/>
      <c r="L18" s="5"/>
      <c r="M18" s="5"/>
      <c r="O18" s="10"/>
      <c r="P18" s="10"/>
      <c r="Q18" s="10"/>
      <c r="R18" s="15"/>
      <c r="S18" s="16"/>
      <c r="T18" s="5"/>
      <c r="U18" s="5"/>
      <c r="V18" s="5"/>
      <c r="W18" s="5"/>
      <c r="X18" s="5"/>
      <c r="AL18" s="659"/>
      <c r="AM18" s="547" t="s">
        <v>371</v>
      </c>
      <c r="AN18" s="548"/>
      <c r="AO18" s="549"/>
      <c r="AP18" s="571">
        <v>2.5</v>
      </c>
      <c r="AQ18" s="557">
        <f>K9+V9</f>
        <v>14</v>
      </c>
      <c r="AR18" s="557">
        <f>((AP18*AQ18)*0.21)/AQ18</f>
        <v>0.52500000000000002</v>
      </c>
      <c r="AS18" s="647">
        <f>AP18+AR18</f>
        <v>3.0249999999999999</v>
      </c>
      <c r="AT18" s="519">
        <f>AQ18*AS18</f>
        <v>42.35</v>
      </c>
      <c r="AX18" s="659"/>
      <c r="AY18" s="547" t="s">
        <v>371</v>
      </c>
      <c r="AZ18" s="548"/>
      <c r="BA18" s="549"/>
      <c r="BB18" s="641">
        <f>AP50</f>
        <v>19</v>
      </c>
      <c r="BC18" s="649">
        <f>I9+T9</f>
        <v>7</v>
      </c>
      <c r="BD18" s="649">
        <f>J9+U9+1</f>
        <v>8</v>
      </c>
      <c r="BE18" s="643">
        <f>BC18+BD18</f>
        <v>15</v>
      </c>
      <c r="BF18" s="650">
        <f>BB18*BE18</f>
        <v>285</v>
      </c>
      <c r="BI18" s="617" t="s">
        <v>145</v>
      </c>
      <c r="BJ18" s="618"/>
      <c r="BK18" s="618"/>
      <c r="BL18" s="618"/>
      <c r="BM18" s="619"/>
      <c r="BN18" s="623">
        <f>SUM(BN6:BO17)</f>
        <v>211.17000000000002</v>
      </c>
      <c r="BO18" s="624"/>
      <c r="BR18" s="542"/>
      <c r="BS18" s="543"/>
      <c r="BT18" s="543"/>
      <c r="BU18" s="544"/>
      <c r="BV18" s="467"/>
      <c r="BW18" s="481"/>
      <c r="BX18" s="467"/>
      <c r="BY18" s="479"/>
      <c r="BZ18" s="481"/>
      <c r="CA18" s="481"/>
      <c r="CB18" s="467"/>
      <c r="CC18" s="479"/>
      <c r="CD18" s="796"/>
      <c r="CE18" s="798"/>
      <c r="CF18" s="471"/>
      <c r="CG18" s="472"/>
      <c r="CH18" s="473"/>
      <c r="CI18" s="475"/>
      <c r="CJ18" s="475"/>
      <c r="CK18" s="471"/>
      <c r="CL18" s="473"/>
      <c r="CM18" s="465"/>
      <c r="CP18" s="20"/>
      <c r="CQ18" s="20"/>
      <c r="CR18" s="20"/>
      <c r="CS18" s="20"/>
      <c r="CT18" s="20"/>
      <c r="CU18" s="20"/>
      <c r="CV18" s="20"/>
      <c r="CW18" s="20"/>
      <c r="CX18" s="20"/>
      <c r="CY18" s="20"/>
    </row>
    <row r="19" spans="4:106" ht="15.95" customHeight="1" thickBot="1">
      <c r="D19" s="10"/>
      <c r="E19" s="10"/>
      <c r="F19" s="10"/>
      <c r="G19" s="15"/>
      <c r="H19" s="16"/>
      <c r="I19" s="5"/>
      <c r="J19" s="5"/>
      <c r="K19" s="5"/>
      <c r="L19" s="17"/>
      <c r="M19" s="18"/>
      <c r="O19" s="10"/>
      <c r="P19" s="10"/>
      <c r="Q19" s="10"/>
      <c r="R19" s="15"/>
      <c r="S19" s="16"/>
      <c r="T19" s="5"/>
      <c r="U19" s="5"/>
      <c r="V19" s="5"/>
      <c r="W19" s="17"/>
      <c r="X19" s="18"/>
      <c r="AL19" s="955"/>
      <c r="AM19" s="550"/>
      <c r="AN19" s="551"/>
      <c r="AO19" s="552"/>
      <c r="AP19" s="572"/>
      <c r="AQ19" s="558"/>
      <c r="AR19" s="648"/>
      <c r="AS19" s="648"/>
      <c r="AT19" s="640"/>
      <c r="AU19" s="2"/>
      <c r="AX19" s="955"/>
      <c r="AY19" s="550"/>
      <c r="AZ19" s="551"/>
      <c r="BA19" s="552"/>
      <c r="BB19" s="642"/>
      <c r="BC19" s="520"/>
      <c r="BD19" s="520"/>
      <c r="BE19" s="644"/>
      <c r="BF19" s="651"/>
      <c r="BI19" s="620"/>
      <c r="BJ19" s="621"/>
      <c r="BK19" s="621"/>
      <c r="BL19" s="621"/>
      <c r="BM19" s="622"/>
      <c r="BN19" s="625"/>
      <c r="BO19" s="626"/>
      <c r="BR19" s="539" t="s">
        <v>61</v>
      </c>
      <c r="BS19" s="540"/>
      <c r="BT19" s="540"/>
      <c r="BU19" s="541"/>
      <c r="BV19" s="466">
        <v>0</v>
      </c>
      <c r="BW19" s="480">
        <v>0</v>
      </c>
      <c r="BX19" s="466">
        <v>0</v>
      </c>
      <c r="BY19" s="478">
        <v>1</v>
      </c>
      <c r="BZ19" s="480"/>
      <c r="CA19" s="480"/>
      <c r="CB19" s="466"/>
      <c r="CC19" s="478"/>
      <c r="CD19" s="795">
        <f>SUM(BV19:BY20)</f>
        <v>1</v>
      </c>
      <c r="CE19" s="797">
        <f>BV19*19+BW19*19+BX19*19+BY19*19</f>
        <v>19</v>
      </c>
      <c r="CF19" s="468" t="s">
        <v>403</v>
      </c>
      <c r="CG19" s="469"/>
      <c r="CH19" s="470"/>
      <c r="CI19" s="474"/>
      <c r="CJ19" s="474">
        <v>19</v>
      </c>
      <c r="CK19" s="468" t="s">
        <v>286</v>
      </c>
      <c r="CL19" s="470"/>
      <c r="CM19" s="464">
        <v>44729</v>
      </c>
      <c r="CQ19" s="8"/>
      <c r="CV19" s="21"/>
      <c r="CW19" s="21"/>
      <c r="DA19" s="22"/>
      <c r="DB19" s="22"/>
    </row>
    <row r="20" spans="4:106" ht="15.95" customHeight="1" thickBot="1">
      <c r="D20" s="10"/>
      <c r="E20" s="10"/>
      <c r="F20" s="10"/>
      <c r="G20" s="15"/>
      <c r="H20" s="16"/>
      <c r="I20" s="5"/>
      <c r="J20" s="5"/>
      <c r="K20" s="5"/>
      <c r="L20" s="5"/>
      <c r="M20" s="5"/>
      <c r="O20" s="10"/>
      <c r="P20" s="10"/>
      <c r="Q20" s="10"/>
      <c r="R20" s="15"/>
      <c r="S20" s="16"/>
      <c r="T20" s="5"/>
      <c r="U20" s="5"/>
      <c r="V20" s="5"/>
      <c r="W20" s="5"/>
      <c r="X20" s="5"/>
      <c r="AL20" s="962"/>
      <c r="AM20" s="547"/>
      <c r="AN20" s="548"/>
      <c r="AO20" s="549"/>
      <c r="AP20" s="571"/>
      <c r="AQ20" s="557"/>
      <c r="AR20" s="647"/>
      <c r="AS20" s="647"/>
      <c r="AT20" s="519"/>
      <c r="AU20" s="2"/>
      <c r="AX20" s="962"/>
      <c r="AY20" s="547"/>
      <c r="AZ20" s="548"/>
      <c r="BA20" s="549"/>
      <c r="BB20" s="641"/>
      <c r="BC20" s="649"/>
      <c r="BD20" s="649"/>
      <c r="BE20" s="643"/>
      <c r="BF20" s="650"/>
      <c r="BN20" s="1"/>
      <c r="BO20" s="1"/>
      <c r="BR20" s="542"/>
      <c r="BS20" s="543"/>
      <c r="BT20" s="543"/>
      <c r="BU20" s="544"/>
      <c r="BV20" s="467"/>
      <c r="BW20" s="481"/>
      <c r="BX20" s="467"/>
      <c r="BY20" s="479"/>
      <c r="BZ20" s="481"/>
      <c r="CA20" s="481"/>
      <c r="CB20" s="467"/>
      <c r="CC20" s="479"/>
      <c r="CD20" s="796"/>
      <c r="CE20" s="798"/>
      <c r="CF20" s="471"/>
      <c r="CG20" s="472"/>
      <c r="CH20" s="473"/>
      <c r="CI20" s="475"/>
      <c r="CJ20" s="475"/>
      <c r="CK20" s="471"/>
      <c r="CL20" s="473"/>
      <c r="CM20" s="465"/>
      <c r="CR20" s="112"/>
      <c r="CS20" s="112"/>
      <c r="CT20" s="112"/>
      <c r="CU20" s="112"/>
      <c r="CX20" s="21"/>
      <c r="CY20" s="21"/>
      <c r="DA20" s="22"/>
      <c r="DB20" s="22"/>
    </row>
    <row r="21" spans="4:106" ht="15.95" customHeight="1" thickBot="1">
      <c r="D21" s="10"/>
      <c r="E21" s="10"/>
      <c r="F21" s="10"/>
      <c r="G21" s="15"/>
      <c r="H21" s="16"/>
      <c r="I21" s="5"/>
      <c r="J21" s="5"/>
      <c r="K21" s="5"/>
      <c r="L21" s="17"/>
      <c r="M21" s="18"/>
      <c r="O21" s="10"/>
      <c r="P21" s="10"/>
      <c r="Q21" s="10"/>
      <c r="R21" s="15"/>
      <c r="S21" s="16"/>
      <c r="T21" s="5"/>
      <c r="U21" s="5"/>
      <c r="V21" s="5"/>
      <c r="W21" s="17"/>
      <c r="X21" s="18"/>
      <c r="AL21" s="962"/>
      <c r="AM21" s="550"/>
      <c r="AN21" s="551"/>
      <c r="AO21" s="552"/>
      <c r="AP21" s="572"/>
      <c r="AQ21" s="558"/>
      <c r="AR21" s="648"/>
      <c r="AS21" s="648"/>
      <c r="AT21" s="640"/>
      <c r="AU21" s="2"/>
      <c r="AX21" s="962"/>
      <c r="AY21" s="550"/>
      <c r="AZ21" s="551"/>
      <c r="BA21" s="552"/>
      <c r="BB21" s="642"/>
      <c r="BC21" s="520"/>
      <c r="BD21" s="520"/>
      <c r="BE21" s="644"/>
      <c r="BF21" s="651"/>
      <c r="BI21" s="628" t="s">
        <v>295</v>
      </c>
      <c r="BJ21" s="629"/>
      <c r="BK21" s="629"/>
      <c r="BL21" s="629"/>
      <c r="BM21" s="630"/>
      <c r="BN21" s="634">
        <f>BN3-BN18</f>
        <v>282.83</v>
      </c>
      <c r="BO21" s="635"/>
      <c r="BR21" s="539" t="s">
        <v>303</v>
      </c>
      <c r="BS21" s="540"/>
      <c r="BT21" s="540"/>
      <c r="BU21" s="541"/>
      <c r="BV21" s="466">
        <v>1</v>
      </c>
      <c r="BW21" s="480">
        <v>0</v>
      </c>
      <c r="BX21" s="466">
        <v>0</v>
      </c>
      <c r="BY21" s="478">
        <v>0</v>
      </c>
      <c r="BZ21" s="480"/>
      <c r="CA21" s="480"/>
      <c r="CB21" s="466"/>
      <c r="CC21" s="478"/>
      <c r="CD21" s="795">
        <f>SUM(BV21:BY22)</f>
        <v>1</v>
      </c>
      <c r="CE21" s="797">
        <f>BV21*19+BW21*19+BX21*19+BY21*19</f>
        <v>19</v>
      </c>
      <c r="CF21" s="468" t="s">
        <v>403</v>
      </c>
      <c r="CG21" s="469"/>
      <c r="CH21" s="470"/>
      <c r="CI21" s="474"/>
      <c r="CJ21" s="474">
        <v>19</v>
      </c>
      <c r="CK21" s="468" t="s">
        <v>286</v>
      </c>
      <c r="CL21" s="470"/>
      <c r="CM21" s="464">
        <v>44730</v>
      </c>
    </row>
    <row r="22" spans="4:106" ht="15.95" customHeight="1" thickBot="1">
      <c r="D22" s="10"/>
      <c r="E22" s="10"/>
      <c r="F22" s="10"/>
      <c r="G22" s="15"/>
      <c r="H22" s="16"/>
      <c r="I22" s="5"/>
      <c r="J22" s="5"/>
      <c r="K22" s="5"/>
      <c r="L22" s="5"/>
      <c r="M22" s="5"/>
      <c r="O22" s="10"/>
      <c r="P22" s="10"/>
      <c r="Q22" s="10"/>
      <c r="R22" s="15"/>
      <c r="S22" s="16"/>
      <c r="T22" s="5"/>
      <c r="U22" s="5"/>
      <c r="V22" s="5"/>
      <c r="W22" s="5"/>
      <c r="X22" s="5"/>
      <c r="AL22" s="962"/>
      <c r="AM22" s="547"/>
      <c r="AN22" s="548"/>
      <c r="AO22" s="549"/>
      <c r="AP22" s="666"/>
      <c r="AQ22" s="557"/>
      <c r="AR22" s="647"/>
      <c r="AS22" s="519"/>
      <c r="AT22" s="519"/>
      <c r="AU22" s="2"/>
      <c r="AX22" s="962"/>
      <c r="AY22" s="547"/>
      <c r="AZ22" s="548"/>
      <c r="BA22" s="549"/>
      <c r="BB22" s="641"/>
      <c r="BC22" s="649"/>
      <c r="BD22" s="649"/>
      <c r="BE22" s="643"/>
      <c r="BF22" s="650"/>
      <c r="BI22" s="631"/>
      <c r="BJ22" s="632"/>
      <c r="BK22" s="632"/>
      <c r="BL22" s="632"/>
      <c r="BM22" s="633"/>
      <c r="BN22" s="636"/>
      <c r="BO22" s="637"/>
      <c r="BR22" s="542"/>
      <c r="BS22" s="543"/>
      <c r="BT22" s="543"/>
      <c r="BU22" s="544"/>
      <c r="BV22" s="467"/>
      <c r="BW22" s="481"/>
      <c r="BX22" s="467"/>
      <c r="BY22" s="479"/>
      <c r="BZ22" s="481"/>
      <c r="CA22" s="481"/>
      <c r="CB22" s="467"/>
      <c r="CC22" s="479"/>
      <c r="CD22" s="796"/>
      <c r="CE22" s="798"/>
      <c r="CF22" s="471"/>
      <c r="CG22" s="472"/>
      <c r="CH22" s="473"/>
      <c r="CI22" s="475"/>
      <c r="CJ22" s="475"/>
      <c r="CK22" s="471"/>
      <c r="CL22" s="473"/>
      <c r="CM22" s="465"/>
      <c r="CP22" s="20"/>
      <c r="CQ22" s="20"/>
      <c r="CR22" s="20"/>
      <c r="CS22" s="20"/>
      <c r="CT22" s="20"/>
      <c r="CU22" s="20"/>
      <c r="CV22" s="20"/>
      <c r="CW22" s="20"/>
      <c r="CX22" s="20"/>
      <c r="CY22" s="20"/>
    </row>
    <row r="23" spans="4:106" ht="15.95" customHeight="1" thickBot="1">
      <c r="D23" s="10"/>
      <c r="E23" s="10"/>
      <c r="F23" s="10"/>
      <c r="G23" s="15"/>
      <c r="H23" s="16"/>
      <c r="I23" s="5"/>
      <c r="J23" s="5"/>
      <c r="K23" s="5"/>
      <c r="L23" s="17"/>
      <c r="M23" s="18"/>
      <c r="O23" s="10"/>
      <c r="P23" s="10"/>
      <c r="Q23" s="10"/>
      <c r="R23" s="15"/>
      <c r="S23" s="16"/>
      <c r="T23" s="5"/>
      <c r="U23" s="5"/>
      <c r="V23" s="5"/>
      <c r="W23" s="17"/>
      <c r="X23" s="18"/>
      <c r="AL23" s="963"/>
      <c r="AM23" s="550"/>
      <c r="AN23" s="551"/>
      <c r="AO23" s="552"/>
      <c r="AP23" s="667"/>
      <c r="AQ23" s="668"/>
      <c r="AR23" s="648"/>
      <c r="AS23" s="669"/>
      <c r="AT23" s="640"/>
      <c r="AX23" s="963"/>
      <c r="AY23" s="550"/>
      <c r="AZ23" s="551"/>
      <c r="BA23" s="552"/>
      <c r="BB23" s="656"/>
      <c r="BC23" s="657"/>
      <c r="BD23" s="657"/>
      <c r="BE23" s="644"/>
      <c r="BF23" s="651"/>
      <c r="BR23" s="539" t="s">
        <v>35</v>
      </c>
      <c r="BS23" s="540"/>
      <c r="BT23" s="540"/>
      <c r="BU23" s="541"/>
      <c r="BV23" s="466">
        <v>1</v>
      </c>
      <c r="BW23" s="480">
        <v>0</v>
      </c>
      <c r="BX23" s="466">
        <v>1</v>
      </c>
      <c r="BY23" s="478">
        <v>0</v>
      </c>
      <c r="BZ23" s="480"/>
      <c r="CA23" s="480"/>
      <c r="CB23" s="466"/>
      <c r="CC23" s="478"/>
      <c r="CD23" s="795">
        <f>SUM(BV23:BY24)</f>
        <v>2</v>
      </c>
      <c r="CE23" s="797">
        <f>BV23*19+BW23*19+BX23*19+BY23*19</f>
        <v>38</v>
      </c>
      <c r="CF23" s="468" t="s">
        <v>404</v>
      </c>
      <c r="CG23" s="469"/>
      <c r="CH23" s="470"/>
      <c r="CI23" s="474"/>
      <c r="CJ23" s="474">
        <v>38</v>
      </c>
      <c r="CK23" s="468" t="s">
        <v>286</v>
      </c>
      <c r="CL23" s="470"/>
      <c r="CM23" s="464">
        <v>44730</v>
      </c>
      <c r="CQ23" s="8"/>
      <c r="CV23" s="21"/>
      <c r="CW23" s="21"/>
      <c r="DA23" s="22"/>
      <c r="DB23" s="22"/>
    </row>
    <row r="24" spans="4:106" ht="15.95" customHeight="1" thickBot="1">
      <c r="D24" s="10"/>
      <c r="E24" s="10"/>
      <c r="F24" s="10"/>
      <c r="G24" s="15"/>
      <c r="H24" s="16"/>
      <c r="I24" s="5"/>
      <c r="J24" s="5"/>
      <c r="K24" s="5"/>
      <c r="L24" s="5"/>
      <c r="M24" s="5"/>
      <c r="O24" s="10"/>
      <c r="P24" s="10"/>
      <c r="Q24" s="10"/>
      <c r="R24" s="15"/>
      <c r="S24" s="16"/>
      <c r="T24" s="5"/>
      <c r="U24" s="5"/>
      <c r="V24" s="5"/>
      <c r="W24" s="5"/>
      <c r="X24" s="5"/>
      <c r="AP24" s="3"/>
      <c r="AQ24" s="660">
        <f>SUM(AQ16:AQ23)</f>
        <v>28</v>
      </c>
      <c r="AR24" s="662">
        <f>SUM(AR16:AR23)</f>
        <v>1.155</v>
      </c>
      <c r="AS24" s="4"/>
      <c r="AT24" s="662">
        <f>SUM(AT16:AT23)</f>
        <v>93.17</v>
      </c>
      <c r="BB24" s="3"/>
      <c r="BC24" s="3"/>
      <c r="BD24" s="3"/>
      <c r="BE24" s="643">
        <f>SUM(BE16:BE23)</f>
        <v>30</v>
      </c>
      <c r="BF24" s="650">
        <f>SUM(BF16:BF23)</f>
        <v>570</v>
      </c>
      <c r="BR24" s="542"/>
      <c r="BS24" s="543"/>
      <c r="BT24" s="543"/>
      <c r="BU24" s="544"/>
      <c r="BV24" s="467"/>
      <c r="BW24" s="481"/>
      <c r="BX24" s="467"/>
      <c r="BY24" s="479"/>
      <c r="BZ24" s="481"/>
      <c r="CA24" s="481"/>
      <c r="CB24" s="467"/>
      <c r="CC24" s="479"/>
      <c r="CD24" s="796"/>
      <c r="CE24" s="798"/>
      <c r="CF24" s="471"/>
      <c r="CG24" s="472"/>
      <c r="CH24" s="473"/>
      <c r="CI24" s="475"/>
      <c r="CJ24" s="475"/>
      <c r="CK24" s="471"/>
      <c r="CL24" s="473"/>
      <c r="CM24" s="465"/>
      <c r="CR24" s="112"/>
      <c r="CS24" s="112"/>
      <c r="CT24" s="112"/>
      <c r="CU24" s="112"/>
      <c r="CX24" s="21"/>
      <c r="CY24" s="21"/>
      <c r="DA24" s="22"/>
      <c r="DB24" s="22"/>
    </row>
    <row r="25" spans="4:106" ht="15.95" customHeight="1" thickBot="1">
      <c r="D25" s="10"/>
      <c r="E25" s="10"/>
      <c r="F25" s="10"/>
      <c r="G25" s="15"/>
      <c r="H25" s="16"/>
      <c r="I25" s="5"/>
      <c r="J25" s="5"/>
      <c r="K25" s="5"/>
      <c r="L25" s="17"/>
      <c r="M25" s="18"/>
      <c r="O25" s="10"/>
      <c r="P25" s="10"/>
      <c r="Q25" s="10"/>
      <c r="R25" s="15"/>
      <c r="S25" s="16"/>
      <c r="T25" s="5"/>
      <c r="U25" s="5"/>
      <c r="V25" s="5"/>
      <c r="W25" s="17"/>
      <c r="X25" s="18"/>
      <c r="AP25" s="3"/>
      <c r="AQ25" s="661"/>
      <c r="AR25" s="663"/>
      <c r="AS25" s="4"/>
      <c r="AT25" s="663"/>
      <c r="BB25" s="3"/>
      <c r="BC25" s="3"/>
      <c r="BD25" s="3"/>
      <c r="BE25" s="664"/>
      <c r="BF25" s="665"/>
      <c r="BR25" s="539" t="s">
        <v>407</v>
      </c>
      <c r="BS25" s="540"/>
      <c r="BT25" s="540"/>
      <c r="BU25" s="541"/>
      <c r="BV25" s="466">
        <v>1</v>
      </c>
      <c r="BW25" s="480">
        <v>0</v>
      </c>
      <c r="BX25" s="466">
        <v>0</v>
      </c>
      <c r="BY25" s="478">
        <v>0</v>
      </c>
      <c r="BZ25" s="480"/>
      <c r="CA25" s="480"/>
      <c r="CB25" s="466"/>
      <c r="CC25" s="478"/>
      <c r="CD25" s="795">
        <f>SUM(BV25:BY26)</f>
        <v>1</v>
      </c>
      <c r="CE25" s="797">
        <f>BV25*19+BW25*19+BX25*19+BY25*19</f>
        <v>19</v>
      </c>
      <c r="CF25" s="468" t="s">
        <v>403</v>
      </c>
      <c r="CG25" s="469"/>
      <c r="CH25" s="470"/>
      <c r="CI25" s="474"/>
      <c r="CJ25" s="474">
        <v>19</v>
      </c>
      <c r="CK25" s="468" t="s">
        <v>286</v>
      </c>
      <c r="CL25" s="470"/>
      <c r="CM25" s="464">
        <v>44730</v>
      </c>
    </row>
    <row r="26" spans="4:106" ht="15.95" customHeight="1" thickBot="1">
      <c r="D26" s="10"/>
      <c r="E26" s="10"/>
      <c r="F26" s="10"/>
      <c r="G26" s="15"/>
      <c r="H26" s="16"/>
      <c r="I26" s="5"/>
      <c r="J26" s="5"/>
      <c r="K26" s="5"/>
      <c r="L26" s="5"/>
      <c r="M26" s="5"/>
      <c r="O26" s="10"/>
      <c r="P26" s="10"/>
      <c r="Q26" s="10"/>
      <c r="R26" s="15"/>
      <c r="S26" s="16"/>
      <c r="T26" s="5"/>
      <c r="U26" s="5"/>
      <c r="V26" s="5"/>
      <c r="W26" s="5"/>
      <c r="X26" s="5"/>
      <c r="BB26" s="3"/>
      <c r="BC26" s="3"/>
      <c r="BD26" s="3"/>
      <c r="BE26" s="3"/>
      <c r="BF26" s="3"/>
      <c r="BR26" s="542"/>
      <c r="BS26" s="543"/>
      <c r="BT26" s="543"/>
      <c r="BU26" s="544"/>
      <c r="BV26" s="467"/>
      <c r="BW26" s="481"/>
      <c r="BX26" s="467"/>
      <c r="BY26" s="479"/>
      <c r="BZ26" s="481"/>
      <c r="CA26" s="481"/>
      <c r="CB26" s="467"/>
      <c r="CC26" s="479"/>
      <c r="CD26" s="796"/>
      <c r="CE26" s="798"/>
      <c r="CF26" s="471"/>
      <c r="CG26" s="472"/>
      <c r="CH26" s="473"/>
      <c r="CI26" s="475"/>
      <c r="CJ26" s="475"/>
      <c r="CK26" s="471"/>
      <c r="CL26" s="473"/>
      <c r="CM26" s="465"/>
      <c r="CP26" s="20"/>
      <c r="CQ26" s="20"/>
      <c r="CR26" s="20"/>
      <c r="CS26" s="20"/>
      <c r="CT26" s="20"/>
      <c r="CU26" s="20"/>
      <c r="CV26" s="20"/>
      <c r="CW26" s="20"/>
      <c r="CX26" s="20"/>
      <c r="CY26" s="20"/>
    </row>
    <row r="27" spans="4:106" ht="15.95" customHeight="1" thickBot="1">
      <c r="D27" s="10"/>
      <c r="E27" s="10"/>
      <c r="F27" s="10"/>
      <c r="G27" s="15"/>
      <c r="H27" s="16"/>
      <c r="I27" s="5"/>
      <c r="J27" s="5"/>
      <c r="K27" s="5"/>
      <c r="L27" s="17"/>
      <c r="M27" s="18"/>
      <c r="O27" s="10"/>
      <c r="P27" s="10"/>
      <c r="Q27" s="10"/>
      <c r="R27" s="15"/>
      <c r="S27" s="16"/>
      <c r="T27" s="5"/>
      <c r="U27" s="5"/>
      <c r="V27" s="5"/>
      <c r="W27" s="17"/>
      <c r="X27" s="18"/>
      <c r="BB27" s="3"/>
      <c r="BC27" s="3"/>
      <c r="BD27" s="3"/>
      <c r="BE27" s="3"/>
      <c r="BF27" s="3"/>
      <c r="BR27" s="539" t="s">
        <v>46</v>
      </c>
      <c r="BS27" s="540"/>
      <c r="BT27" s="540"/>
      <c r="BU27" s="541"/>
      <c r="BV27" s="466">
        <v>0</v>
      </c>
      <c r="BW27" s="480">
        <v>1</v>
      </c>
      <c r="BX27" s="466">
        <v>0</v>
      </c>
      <c r="BY27" s="478">
        <v>0</v>
      </c>
      <c r="BZ27" s="480"/>
      <c r="CA27" s="480"/>
      <c r="CB27" s="466"/>
      <c r="CC27" s="478"/>
      <c r="CD27" s="795">
        <f>SUM(BV27:BY28)</f>
        <v>1</v>
      </c>
      <c r="CE27" s="797">
        <f>BV27*19+BW27*19+BX27*19+BY27*19</f>
        <v>19</v>
      </c>
      <c r="CF27" s="468" t="s">
        <v>403</v>
      </c>
      <c r="CG27" s="469"/>
      <c r="CH27" s="470"/>
      <c r="CI27" s="474"/>
      <c r="CJ27" s="474">
        <v>19</v>
      </c>
      <c r="CK27" s="468" t="s">
        <v>286</v>
      </c>
      <c r="CL27" s="470"/>
      <c r="CM27" s="464">
        <v>44730</v>
      </c>
      <c r="CQ27" s="8"/>
      <c r="CV27" s="21"/>
      <c r="CW27" s="21"/>
      <c r="DA27" s="22"/>
      <c r="DB27" s="22"/>
    </row>
    <row r="28" spans="4:106" ht="15.95" customHeight="1" thickBot="1">
      <c r="D28" s="10"/>
      <c r="E28" s="10"/>
      <c r="F28" s="10"/>
      <c r="G28" s="15"/>
      <c r="H28" s="16"/>
      <c r="I28" s="5"/>
      <c r="J28" s="5"/>
      <c r="K28" s="5"/>
      <c r="L28" s="5"/>
      <c r="M28" s="5"/>
      <c r="O28" s="10"/>
      <c r="P28" s="10"/>
      <c r="Q28" s="10"/>
      <c r="R28" s="15"/>
      <c r="S28" s="16"/>
      <c r="T28" s="5"/>
      <c r="U28" s="5"/>
      <c r="V28" s="5"/>
      <c r="W28" s="5"/>
      <c r="X28" s="5"/>
      <c r="AL28" s="608" t="s">
        <v>308</v>
      </c>
      <c r="AM28" s="609"/>
      <c r="AN28" s="609"/>
      <c r="AO28" s="610"/>
      <c r="AX28" s="673" t="s">
        <v>309</v>
      </c>
      <c r="AY28" s="674"/>
      <c r="AZ28" s="674"/>
      <c r="BA28" s="675"/>
      <c r="BB28" s="3"/>
      <c r="BC28" s="3"/>
      <c r="BD28" s="3"/>
      <c r="BE28" s="3"/>
      <c r="BF28" s="3"/>
      <c r="BR28" s="542"/>
      <c r="BS28" s="543"/>
      <c r="BT28" s="543"/>
      <c r="BU28" s="544"/>
      <c r="BV28" s="467"/>
      <c r="BW28" s="481"/>
      <c r="BX28" s="467"/>
      <c r="BY28" s="479"/>
      <c r="BZ28" s="481"/>
      <c r="CA28" s="481"/>
      <c r="CB28" s="467"/>
      <c r="CC28" s="479"/>
      <c r="CD28" s="796"/>
      <c r="CE28" s="798"/>
      <c r="CF28" s="471"/>
      <c r="CG28" s="472"/>
      <c r="CH28" s="473"/>
      <c r="CI28" s="475"/>
      <c r="CJ28" s="475"/>
      <c r="CK28" s="471"/>
      <c r="CL28" s="473"/>
      <c r="CM28" s="465"/>
      <c r="CR28" s="112"/>
      <c r="CS28" s="112"/>
      <c r="CT28" s="112"/>
      <c r="CU28" s="112"/>
      <c r="CX28" s="21"/>
      <c r="CY28" s="21"/>
      <c r="DA28" s="22"/>
      <c r="DB28" s="22"/>
    </row>
    <row r="29" spans="4:106" ht="15.95" customHeight="1" thickBot="1">
      <c r="D29" s="10"/>
      <c r="E29" s="10"/>
      <c r="F29" s="10"/>
      <c r="G29" s="15"/>
      <c r="H29" s="16"/>
      <c r="I29" s="5"/>
      <c r="J29" s="5"/>
      <c r="K29" s="5"/>
      <c r="L29" s="17"/>
      <c r="M29" s="18"/>
      <c r="O29" s="10"/>
      <c r="P29" s="10"/>
      <c r="Q29" s="10"/>
      <c r="R29" s="15"/>
      <c r="S29" s="16"/>
      <c r="T29" s="5"/>
      <c r="U29" s="5"/>
      <c r="V29" s="5"/>
      <c r="W29" s="17"/>
      <c r="X29" s="18"/>
      <c r="AL29" s="611"/>
      <c r="AM29" s="612"/>
      <c r="AN29" s="612"/>
      <c r="AO29" s="613"/>
      <c r="AX29" s="676"/>
      <c r="AY29" s="677"/>
      <c r="AZ29" s="677"/>
      <c r="BA29" s="678"/>
      <c r="BB29" s="3"/>
      <c r="BC29" s="3"/>
      <c r="BD29" s="3"/>
      <c r="BE29" s="3"/>
      <c r="BF29" s="3"/>
      <c r="BR29" s="539" t="s">
        <v>408</v>
      </c>
      <c r="BS29" s="540"/>
      <c r="BT29" s="540"/>
      <c r="BU29" s="541"/>
      <c r="BV29" s="466">
        <v>0</v>
      </c>
      <c r="BW29" s="480">
        <v>0</v>
      </c>
      <c r="BX29" s="466">
        <v>1</v>
      </c>
      <c r="BY29" s="478">
        <v>0</v>
      </c>
      <c r="BZ29" s="480"/>
      <c r="CA29" s="480"/>
      <c r="CB29" s="466"/>
      <c r="CC29" s="478"/>
      <c r="CD29" s="795">
        <f>SUM(BV29:BY30)</f>
        <v>1</v>
      </c>
      <c r="CE29" s="797">
        <f>BV29*19+BW29*19+BX29*19+BY29*19</f>
        <v>19</v>
      </c>
      <c r="CF29" s="468" t="s">
        <v>405</v>
      </c>
      <c r="CG29" s="469"/>
      <c r="CH29" s="470"/>
      <c r="CI29" s="474">
        <v>19</v>
      </c>
      <c r="CJ29" s="474"/>
      <c r="CK29" s="468" t="s">
        <v>286</v>
      </c>
      <c r="CL29" s="470"/>
      <c r="CM29" s="464">
        <v>44730</v>
      </c>
    </row>
    <row r="30" spans="4:106" ht="15.95" customHeight="1" thickBot="1">
      <c r="D30" s="10"/>
      <c r="E30" s="10"/>
      <c r="F30" s="10"/>
      <c r="G30" s="15"/>
      <c r="H30" s="16"/>
      <c r="I30" s="5"/>
      <c r="J30" s="5"/>
      <c r="K30" s="5"/>
      <c r="L30" s="5"/>
      <c r="M30" s="5"/>
      <c r="O30" s="10"/>
      <c r="P30" s="10"/>
      <c r="Q30" s="10"/>
      <c r="R30" s="15"/>
      <c r="S30" s="16"/>
      <c r="T30" s="5"/>
      <c r="U30" s="5"/>
      <c r="V30" s="5"/>
      <c r="W30" s="5"/>
      <c r="X30" s="5"/>
      <c r="AL30" s="611"/>
      <c r="AM30" s="612"/>
      <c r="AN30" s="612"/>
      <c r="AO30" s="613"/>
      <c r="AP30" s="484" t="s">
        <v>313</v>
      </c>
      <c r="AQ30" s="671" t="s">
        <v>141</v>
      </c>
      <c r="AR30" s="484" t="s">
        <v>119</v>
      </c>
      <c r="AS30" s="484" t="s">
        <v>277</v>
      </c>
      <c r="AX30" s="676"/>
      <c r="AY30" s="677"/>
      <c r="AZ30" s="677"/>
      <c r="BA30" s="678"/>
      <c r="BB30" s="484" t="s">
        <v>13</v>
      </c>
      <c r="BC30" s="484" t="s">
        <v>118</v>
      </c>
      <c r="BD30" s="484" t="s">
        <v>275</v>
      </c>
      <c r="BE30" s="484" t="s">
        <v>314</v>
      </c>
      <c r="BF30" s="484" t="s">
        <v>277</v>
      </c>
      <c r="BR30" s="542"/>
      <c r="BS30" s="543"/>
      <c r="BT30" s="543"/>
      <c r="BU30" s="544"/>
      <c r="BV30" s="467"/>
      <c r="BW30" s="481"/>
      <c r="BX30" s="467"/>
      <c r="BY30" s="479"/>
      <c r="BZ30" s="481"/>
      <c r="CA30" s="481"/>
      <c r="CB30" s="467"/>
      <c r="CC30" s="479"/>
      <c r="CD30" s="796"/>
      <c r="CE30" s="798"/>
      <c r="CF30" s="471"/>
      <c r="CG30" s="472"/>
      <c r="CH30" s="473"/>
      <c r="CI30" s="475"/>
      <c r="CJ30" s="475"/>
      <c r="CK30" s="471"/>
      <c r="CL30" s="473"/>
      <c r="CM30" s="465"/>
      <c r="CP30" s="20"/>
      <c r="CQ30" s="20"/>
      <c r="CR30" s="20"/>
      <c r="CS30" s="20"/>
      <c r="CT30" s="20"/>
      <c r="CU30" s="20"/>
      <c r="CV30" s="20"/>
      <c r="CW30" s="20"/>
      <c r="CX30" s="20"/>
      <c r="CY30" s="20"/>
    </row>
    <row r="31" spans="4:106" ht="15.95" customHeight="1" thickBot="1">
      <c r="D31" s="10"/>
      <c r="E31" s="10"/>
      <c r="F31" s="10"/>
      <c r="G31" s="15"/>
      <c r="H31" s="16"/>
      <c r="I31" s="5"/>
      <c r="J31" s="5"/>
      <c r="K31" s="5"/>
      <c r="L31" s="17"/>
      <c r="M31" s="18"/>
      <c r="O31" s="10"/>
      <c r="P31" s="10"/>
      <c r="Q31" s="10"/>
      <c r="R31" s="15"/>
      <c r="S31" s="16"/>
      <c r="T31" s="5"/>
      <c r="U31" s="5"/>
      <c r="V31" s="5"/>
      <c r="W31" s="17"/>
      <c r="X31" s="18"/>
      <c r="AL31" s="614"/>
      <c r="AM31" s="615"/>
      <c r="AN31" s="615"/>
      <c r="AO31" s="616"/>
      <c r="AP31" s="485"/>
      <c r="AQ31" s="672"/>
      <c r="AR31" s="485"/>
      <c r="AS31" s="485"/>
      <c r="AX31" s="679"/>
      <c r="AY31" s="680"/>
      <c r="AZ31" s="680"/>
      <c r="BA31" s="681"/>
      <c r="BB31" s="485"/>
      <c r="BC31" s="485"/>
      <c r="BD31" s="485"/>
      <c r="BE31" s="485"/>
      <c r="BF31" s="485"/>
      <c r="BR31" s="539" t="s">
        <v>409</v>
      </c>
      <c r="BS31" s="540"/>
      <c r="BT31" s="540"/>
      <c r="BU31" s="541"/>
      <c r="BV31" s="466">
        <v>1</v>
      </c>
      <c r="BW31" s="480">
        <v>0</v>
      </c>
      <c r="BX31" s="466">
        <v>0</v>
      </c>
      <c r="BY31" s="478">
        <v>0</v>
      </c>
      <c r="BZ31" s="480"/>
      <c r="CA31" s="480"/>
      <c r="CB31" s="466"/>
      <c r="CC31" s="478"/>
      <c r="CD31" s="795">
        <f>SUM(BV31:BY32)</f>
        <v>1</v>
      </c>
      <c r="CE31" s="797">
        <f>BV31*19+BW31*19+BX31*19+BY31*19</f>
        <v>19</v>
      </c>
      <c r="CF31" s="468" t="s">
        <v>403</v>
      </c>
      <c r="CG31" s="469"/>
      <c r="CH31" s="470"/>
      <c r="CI31" s="474"/>
      <c r="CJ31" s="474">
        <v>19</v>
      </c>
      <c r="CK31" s="468" t="s">
        <v>286</v>
      </c>
      <c r="CL31" s="470"/>
      <c r="CM31" s="464">
        <v>44734</v>
      </c>
      <c r="CQ31" s="8"/>
      <c r="CV31" s="21"/>
      <c r="CW31" s="21"/>
      <c r="DA31" s="22"/>
      <c r="DB31" s="22"/>
    </row>
    <row r="32" spans="4:106" ht="15.95" customHeight="1" thickBot="1">
      <c r="D32" s="10"/>
      <c r="E32" s="10"/>
      <c r="F32" s="10"/>
      <c r="G32" s="15"/>
      <c r="H32" s="16"/>
      <c r="I32" s="5"/>
      <c r="J32" s="5"/>
      <c r="K32" s="5"/>
      <c r="L32" s="5"/>
      <c r="M32" s="5"/>
      <c r="O32" s="10"/>
      <c r="P32" s="10"/>
      <c r="Q32" s="10"/>
      <c r="R32" s="15"/>
      <c r="S32" s="16"/>
      <c r="T32" s="5"/>
      <c r="U32" s="5"/>
      <c r="V32" s="5"/>
      <c r="W32" s="5"/>
      <c r="X32" s="5"/>
      <c r="AL32" s="882"/>
      <c r="AM32" s="547" t="s">
        <v>370</v>
      </c>
      <c r="AN32" s="548"/>
      <c r="AO32" s="549"/>
      <c r="AP32" s="650">
        <f>S7</f>
        <v>4.16</v>
      </c>
      <c r="AQ32" s="650">
        <f>AS16</f>
        <v>3.63</v>
      </c>
      <c r="AR32" s="650"/>
      <c r="AS32" s="650">
        <f>SUM(AP32:AR33)</f>
        <v>7.79</v>
      </c>
      <c r="AX32" s="882"/>
      <c r="AY32" s="547" t="s">
        <v>370</v>
      </c>
      <c r="AZ32" s="548"/>
      <c r="BA32" s="549"/>
      <c r="BB32" s="643">
        <v>1</v>
      </c>
      <c r="BC32" s="643">
        <v>1</v>
      </c>
      <c r="BD32" s="643">
        <f>BB32+BC32</f>
        <v>2</v>
      </c>
      <c r="BE32" s="643">
        <f>AS32</f>
        <v>7.79</v>
      </c>
      <c r="BF32" s="650">
        <f>BE32*BD32</f>
        <v>15.58</v>
      </c>
      <c r="BR32" s="542"/>
      <c r="BS32" s="543"/>
      <c r="BT32" s="543"/>
      <c r="BU32" s="544"/>
      <c r="BV32" s="467"/>
      <c r="BW32" s="481"/>
      <c r="BX32" s="467"/>
      <c r="BY32" s="479"/>
      <c r="BZ32" s="481"/>
      <c r="CA32" s="481"/>
      <c r="CB32" s="467"/>
      <c r="CC32" s="479"/>
      <c r="CD32" s="796"/>
      <c r="CE32" s="798"/>
      <c r="CF32" s="471"/>
      <c r="CG32" s="472"/>
      <c r="CH32" s="473"/>
      <c r="CI32" s="475"/>
      <c r="CJ32" s="475"/>
      <c r="CK32" s="471"/>
      <c r="CL32" s="473"/>
      <c r="CM32" s="465"/>
      <c r="CR32" s="112"/>
      <c r="CS32" s="112"/>
      <c r="CT32" s="112"/>
      <c r="CU32" s="112"/>
      <c r="CX32" s="21"/>
      <c r="CY32" s="21"/>
      <c r="DA32" s="22"/>
      <c r="DB32" s="22"/>
    </row>
    <row r="33" spans="4:106" ht="15.95" customHeight="1" thickBot="1">
      <c r="D33" s="10"/>
      <c r="E33" s="10"/>
      <c r="F33" s="10"/>
      <c r="G33" s="15"/>
      <c r="H33" s="16"/>
      <c r="I33" s="5"/>
      <c r="J33" s="5"/>
      <c r="K33" s="5"/>
      <c r="L33" s="17"/>
      <c r="M33" s="18"/>
      <c r="O33" s="10"/>
      <c r="P33" s="10"/>
      <c r="Q33" s="10"/>
      <c r="R33" s="15"/>
      <c r="S33" s="16"/>
      <c r="T33" s="5"/>
      <c r="U33" s="5"/>
      <c r="V33" s="5"/>
      <c r="W33" s="17"/>
      <c r="X33" s="18"/>
      <c r="AL33" s="957"/>
      <c r="AM33" s="550"/>
      <c r="AN33" s="551"/>
      <c r="AO33" s="552"/>
      <c r="AP33" s="644"/>
      <c r="AQ33" s="644"/>
      <c r="AR33" s="651"/>
      <c r="AS33" s="651"/>
      <c r="AX33" s="957"/>
      <c r="AY33" s="550"/>
      <c r="AZ33" s="551"/>
      <c r="BA33" s="552"/>
      <c r="BB33" s="644"/>
      <c r="BC33" s="644"/>
      <c r="BD33" s="644"/>
      <c r="BE33" s="644"/>
      <c r="BF33" s="651"/>
      <c r="BR33" s="539" t="s">
        <v>44</v>
      </c>
      <c r="BS33" s="540"/>
      <c r="BT33" s="540"/>
      <c r="BU33" s="541"/>
      <c r="BV33" s="466">
        <v>1</v>
      </c>
      <c r="BW33" s="480">
        <v>0</v>
      </c>
      <c r="BX33" s="466">
        <v>0</v>
      </c>
      <c r="BY33" s="478">
        <v>0</v>
      </c>
      <c r="BZ33" s="480"/>
      <c r="CA33" s="480"/>
      <c r="CB33" s="466"/>
      <c r="CC33" s="478"/>
      <c r="CD33" s="795">
        <f>SUM(BV33:BY34)</f>
        <v>1</v>
      </c>
      <c r="CE33" s="797">
        <f>BV33*19+BW33*19+BX33*19+BY33*19</f>
        <v>19</v>
      </c>
      <c r="CF33" s="468" t="s">
        <v>403</v>
      </c>
      <c r="CG33" s="469"/>
      <c r="CH33" s="470"/>
      <c r="CI33" s="474"/>
      <c r="CJ33" s="474">
        <v>19</v>
      </c>
      <c r="CK33" s="468" t="s">
        <v>286</v>
      </c>
      <c r="CL33" s="470"/>
      <c r="CM33" s="464">
        <v>44734</v>
      </c>
    </row>
    <row r="34" spans="4:106" ht="15.95" customHeight="1" thickBot="1">
      <c r="D34" s="10"/>
      <c r="E34" s="10"/>
      <c r="F34" s="10"/>
      <c r="G34" s="15"/>
      <c r="H34" s="16"/>
      <c r="I34" s="5"/>
      <c r="J34" s="5"/>
      <c r="K34" s="5"/>
      <c r="L34" s="5"/>
      <c r="M34" s="5"/>
      <c r="O34" s="10"/>
      <c r="P34" s="10"/>
      <c r="Q34" s="10"/>
      <c r="R34" s="15"/>
      <c r="S34" s="16"/>
      <c r="T34" s="5"/>
      <c r="U34" s="5"/>
      <c r="V34" s="5"/>
      <c r="W34" s="5"/>
      <c r="X34" s="5"/>
      <c r="AL34" s="659"/>
      <c r="AM34" s="547" t="s">
        <v>371</v>
      </c>
      <c r="AN34" s="548"/>
      <c r="AO34" s="549"/>
      <c r="AP34" s="519">
        <f>S9</f>
        <v>4.16</v>
      </c>
      <c r="AQ34" s="519">
        <f>AS18</f>
        <v>3.0249999999999999</v>
      </c>
      <c r="AR34" s="519"/>
      <c r="AS34" s="650">
        <f>SUM(AP34:AR35)</f>
        <v>7.1850000000000005</v>
      </c>
      <c r="AX34" s="659"/>
      <c r="AY34" s="547" t="s">
        <v>371</v>
      </c>
      <c r="AZ34" s="548"/>
      <c r="BA34" s="549"/>
      <c r="BB34" s="649">
        <v>1</v>
      </c>
      <c r="BC34" s="649">
        <v>1</v>
      </c>
      <c r="BD34" s="643">
        <f>BB34+BC34</f>
        <v>2</v>
      </c>
      <c r="BE34" s="650">
        <f>AS34</f>
        <v>7.1850000000000005</v>
      </c>
      <c r="BF34" s="650">
        <f>BE34*BD34</f>
        <v>14.370000000000001</v>
      </c>
      <c r="BR34" s="542"/>
      <c r="BS34" s="543"/>
      <c r="BT34" s="543"/>
      <c r="BU34" s="544"/>
      <c r="BV34" s="467"/>
      <c r="BW34" s="481"/>
      <c r="BX34" s="467"/>
      <c r="BY34" s="479"/>
      <c r="BZ34" s="481"/>
      <c r="CA34" s="481"/>
      <c r="CB34" s="467"/>
      <c r="CC34" s="479"/>
      <c r="CD34" s="796"/>
      <c r="CE34" s="798"/>
      <c r="CF34" s="471"/>
      <c r="CG34" s="472"/>
      <c r="CH34" s="473"/>
      <c r="CI34" s="475"/>
      <c r="CJ34" s="475"/>
      <c r="CK34" s="471"/>
      <c r="CL34" s="473"/>
      <c r="CM34" s="465"/>
      <c r="CP34" s="20"/>
      <c r="CQ34" s="20"/>
      <c r="CR34" s="20"/>
      <c r="CS34" s="20"/>
      <c r="CT34" s="20"/>
      <c r="CU34" s="20"/>
      <c r="CV34" s="20"/>
      <c r="CW34" s="20"/>
      <c r="CX34" s="20"/>
      <c r="CY34" s="20"/>
    </row>
    <row r="35" spans="4:106" ht="15.95" customHeight="1" thickBot="1">
      <c r="D35" s="10"/>
      <c r="E35" s="10"/>
      <c r="F35" s="10"/>
      <c r="G35" s="15"/>
      <c r="H35" s="16"/>
      <c r="I35" s="5"/>
      <c r="J35" s="5"/>
      <c r="K35" s="5"/>
      <c r="L35" s="17"/>
      <c r="M35" s="18"/>
      <c r="O35" s="10"/>
      <c r="P35" s="10"/>
      <c r="Q35" s="10"/>
      <c r="R35" s="15"/>
      <c r="S35" s="16"/>
      <c r="T35" s="5"/>
      <c r="U35" s="5"/>
      <c r="V35" s="5"/>
      <c r="W35" s="17"/>
      <c r="X35" s="18"/>
      <c r="AL35" s="955"/>
      <c r="AM35" s="550"/>
      <c r="AN35" s="551"/>
      <c r="AO35" s="552"/>
      <c r="AP35" s="640"/>
      <c r="AQ35" s="640"/>
      <c r="AR35" s="640"/>
      <c r="AS35" s="651"/>
      <c r="AX35" s="955"/>
      <c r="AY35" s="550"/>
      <c r="AZ35" s="551"/>
      <c r="BA35" s="552"/>
      <c r="BB35" s="520"/>
      <c r="BC35" s="520"/>
      <c r="BD35" s="644"/>
      <c r="BE35" s="644"/>
      <c r="BF35" s="651"/>
      <c r="BR35" s="539" t="s">
        <v>410</v>
      </c>
      <c r="BS35" s="540"/>
      <c r="BT35" s="540"/>
      <c r="BU35" s="541"/>
      <c r="BV35" s="466">
        <v>0</v>
      </c>
      <c r="BW35" s="480">
        <v>1</v>
      </c>
      <c r="BX35" s="466">
        <v>0</v>
      </c>
      <c r="BY35" s="478">
        <v>1</v>
      </c>
      <c r="BZ35" s="480"/>
      <c r="CA35" s="480"/>
      <c r="CB35" s="466"/>
      <c r="CC35" s="478"/>
      <c r="CD35" s="795">
        <f>SUM(BV35:BY36)</f>
        <v>2</v>
      </c>
      <c r="CE35" s="797">
        <f>BV35*19+BW35*19+BX35*19+BY35*19</f>
        <v>38</v>
      </c>
      <c r="CF35" s="468" t="s">
        <v>411</v>
      </c>
      <c r="CG35" s="469"/>
      <c r="CH35" s="470"/>
      <c r="CI35" s="474">
        <v>38</v>
      </c>
      <c r="CJ35" s="474"/>
      <c r="CK35" s="468" t="s">
        <v>286</v>
      </c>
      <c r="CL35" s="470"/>
      <c r="CM35" s="464">
        <v>44734</v>
      </c>
      <c r="CQ35" s="8"/>
      <c r="CV35" s="21"/>
      <c r="CW35" s="21"/>
      <c r="DA35" s="22"/>
      <c r="DB35" s="22"/>
    </row>
    <row r="36" spans="4:106" ht="15.95" customHeight="1" thickBot="1">
      <c r="D36" s="10"/>
      <c r="E36" s="10"/>
      <c r="F36" s="10"/>
      <c r="G36" s="15"/>
      <c r="H36" s="16"/>
      <c r="I36" s="5"/>
      <c r="J36" s="5"/>
      <c r="K36" s="5"/>
      <c r="L36" s="5"/>
      <c r="M36" s="5"/>
      <c r="O36" s="10"/>
      <c r="P36" s="10"/>
      <c r="Q36" s="10"/>
      <c r="R36" s="15"/>
      <c r="S36" s="16"/>
      <c r="T36" s="5"/>
      <c r="U36" s="5"/>
      <c r="V36" s="5"/>
      <c r="W36" s="5"/>
      <c r="X36" s="5"/>
      <c r="AL36" s="962"/>
      <c r="AM36" s="547"/>
      <c r="AN36" s="548"/>
      <c r="AO36" s="549"/>
      <c r="AP36" s="519"/>
      <c r="AQ36" s="519"/>
      <c r="AR36" s="519"/>
      <c r="AS36" s="650"/>
      <c r="AX36" s="962"/>
      <c r="AY36" s="547"/>
      <c r="AZ36" s="548"/>
      <c r="BA36" s="549"/>
      <c r="BB36" s="649"/>
      <c r="BC36" s="649"/>
      <c r="BD36" s="643"/>
      <c r="BE36" s="650"/>
      <c r="BF36" s="650"/>
      <c r="BR36" s="542"/>
      <c r="BS36" s="543"/>
      <c r="BT36" s="543"/>
      <c r="BU36" s="544"/>
      <c r="BV36" s="467"/>
      <c r="BW36" s="481"/>
      <c r="BX36" s="467"/>
      <c r="BY36" s="479"/>
      <c r="BZ36" s="481"/>
      <c r="CA36" s="481"/>
      <c r="CB36" s="467"/>
      <c r="CC36" s="479"/>
      <c r="CD36" s="796"/>
      <c r="CE36" s="798"/>
      <c r="CF36" s="471"/>
      <c r="CG36" s="472"/>
      <c r="CH36" s="473"/>
      <c r="CI36" s="475"/>
      <c r="CJ36" s="475"/>
      <c r="CK36" s="471"/>
      <c r="CL36" s="473"/>
      <c r="CM36" s="465"/>
      <c r="CR36" s="24"/>
      <c r="CS36" s="24"/>
      <c r="CT36" s="24"/>
      <c r="CU36" s="24"/>
      <c r="CX36" s="21"/>
      <c r="CY36" s="21"/>
      <c r="DA36" s="22"/>
      <c r="DB36" s="22"/>
    </row>
    <row r="37" spans="4:106" ht="15.95" customHeight="1" thickBot="1">
      <c r="G37" s="3"/>
      <c r="H37" s="3"/>
      <c r="AL37" s="962"/>
      <c r="AM37" s="550"/>
      <c r="AN37" s="551"/>
      <c r="AO37" s="552"/>
      <c r="AP37" s="640"/>
      <c r="AQ37" s="640"/>
      <c r="AR37" s="640"/>
      <c r="AS37" s="651"/>
      <c r="AX37" s="962"/>
      <c r="AY37" s="550"/>
      <c r="AZ37" s="551"/>
      <c r="BA37" s="552"/>
      <c r="BB37" s="520"/>
      <c r="BC37" s="520"/>
      <c r="BD37" s="644"/>
      <c r="BE37" s="644"/>
      <c r="BF37" s="651"/>
      <c r="BR37" s="539" t="s">
        <v>412</v>
      </c>
      <c r="BS37" s="540"/>
      <c r="BT37" s="540"/>
      <c r="BU37" s="541"/>
      <c r="BV37" s="466">
        <v>0</v>
      </c>
      <c r="BW37" s="480">
        <v>1</v>
      </c>
      <c r="BX37" s="466">
        <v>0</v>
      </c>
      <c r="BY37" s="478">
        <v>1</v>
      </c>
      <c r="BZ37" s="480"/>
      <c r="CA37" s="480"/>
      <c r="CB37" s="466"/>
      <c r="CC37" s="478"/>
      <c r="CD37" s="795">
        <f>SUM(BV37:BY38)</f>
        <v>2</v>
      </c>
      <c r="CE37" s="797">
        <f>BV37*19+BW37*19+BX37*19+BY37*19</f>
        <v>38</v>
      </c>
      <c r="CF37" s="468" t="s">
        <v>404</v>
      </c>
      <c r="CG37" s="469"/>
      <c r="CH37" s="470"/>
      <c r="CI37" s="474"/>
      <c r="CJ37" s="474">
        <v>38</v>
      </c>
      <c r="CK37" s="468" t="s">
        <v>286</v>
      </c>
      <c r="CL37" s="470"/>
      <c r="CM37" s="464">
        <v>44736</v>
      </c>
    </row>
    <row r="38" spans="4:106" ht="15.95" customHeight="1" thickBot="1">
      <c r="G38" s="3"/>
      <c r="H38" s="3"/>
      <c r="AL38" s="962"/>
      <c r="AM38" s="547"/>
      <c r="AN38" s="548"/>
      <c r="AO38" s="549"/>
      <c r="AP38" s="519"/>
      <c r="AQ38" s="519"/>
      <c r="AR38" s="519"/>
      <c r="AS38" s="650"/>
      <c r="AX38" s="962"/>
      <c r="AY38" s="547"/>
      <c r="AZ38" s="548"/>
      <c r="BA38" s="549"/>
      <c r="BB38" s="649"/>
      <c r="BC38" s="649"/>
      <c r="BD38" s="643"/>
      <c r="BE38" s="650"/>
      <c r="BF38" s="650"/>
      <c r="BR38" s="542"/>
      <c r="BS38" s="543"/>
      <c r="BT38" s="543"/>
      <c r="BU38" s="544"/>
      <c r="BV38" s="467"/>
      <c r="BW38" s="481"/>
      <c r="BX38" s="467"/>
      <c r="BY38" s="479"/>
      <c r="BZ38" s="481"/>
      <c r="CA38" s="481"/>
      <c r="CB38" s="467"/>
      <c r="CC38" s="479"/>
      <c r="CD38" s="796"/>
      <c r="CE38" s="798"/>
      <c r="CF38" s="471"/>
      <c r="CG38" s="472"/>
      <c r="CH38" s="473"/>
      <c r="CI38" s="475"/>
      <c r="CJ38" s="475"/>
      <c r="CK38" s="471"/>
      <c r="CL38" s="473"/>
      <c r="CM38" s="465"/>
      <c r="CP38" s="20"/>
      <c r="CQ38" s="20"/>
      <c r="CR38" s="20"/>
      <c r="CS38" s="20"/>
      <c r="CT38" s="20"/>
      <c r="CU38" s="20"/>
      <c r="CV38" s="20"/>
      <c r="CW38" s="20"/>
      <c r="CX38" s="20"/>
      <c r="CY38" s="20"/>
    </row>
    <row r="39" spans="4:106" ht="15.95" customHeight="1" thickBot="1">
      <c r="AL39" s="963"/>
      <c r="AM39" s="550"/>
      <c r="AN39" s="551"/>
      <c r="AO39" s="552"/>
      <c r="AP39" s="669"/>
      <c r="AQ39" s="669"/>
      <c r="AR39" s="669"/>
      <c r="AS39" s="665"/>
      <c r="AX39" s="963"/>
      <c r="AY39" s="550"/>
      <c r="AZ39" s="551"/>
      <c r="BA39" s="552"/>
      <c r="BB39" s="657"/>
      <c r="BC39" s="657"/>
      <c r="BD39" s="644"/>
      <c r="BE39" s="664"/>
      <c r="BF39" s="665"/>
      <c r="BR39" s="539" t="s">
        <v>413</v>
      </c>
      <c r="BS39" s="540"/>
      <c r="BT39" s="540"/>
      <c r="BU39" s="541"/>
      <c r="BV39" s="466">
        <v>0</v>
      </c>
      <c r="BW39" s="480">
        <v>0</v>
      </c>
      <c r="BX39" s="466">
        <v>1</v>
      </c>
      <c r="BY39" s="478">
        <v>0</v>
      </c>
      <c r="BZ39" s="480"/>
      <c r="CA39" s="480"/>
      <c r="CB39" s="466"/>
      <c r="CC39" s="478"/>
      <c r="CD39" s="795">
        <f>SUM(BV39:BY40)</f>
        <v>1</v>
      </c>
      <c r="CE39" s="797">
        <f>BV39*19+BW39*19+BX39*19+BY39*19</f>
        <v>19</v>
      </c>
      <c r="CF39" s="468" t="s">
        <v>403</v>
      </c>
      <c r="CG39" s="469"/>
      <c r="CH39" s="470"/>
      <c r="CI39" s="474"/>
      <c r="CJ39" s="474">
        <v>19</v>
      </c>
      <c r="CK39" s="468" t="s">
        <v>286</v>
      </c>
      <c r="CL39" s="470"/>
      <c r="CM39" s="464">
        <v>44736</v>
      </c>
      <c r="CQ39" s="8"/>
      <c r="CV39" s="21"/>
      <c r="CW39" s="21"/>
      <c r="DA39" s="22"/>
      <c r="DB39" s="22"/>
    </row>
    <row r="40" spans="4:106" ht="15.95" customHeight="1" thickBot="1">
      <c r="BB40" s="3"/>
      <c r="BC40" s="3"/>
      <c r="BD40" s="643">
        <f>SUM(BD32:BD39)</f>
        <v>4</v>
      </c>
      <c r="BE40" s="3"/>
      <c r="BF40" s="650">
        <f>SUM(BF32:BF39)</f>
        <v>29.950000000000003</v>
      </c>
      <c r="BR40" s="542"/>
      <c r="BS40" s="543"/>
      <c r="BT40" s="543"/>
      <c r="BU40" s="544"/>
      <c r="BV40" s="467"/>
      <c r="BW40" s="481"/>
      <c r="BX40" s="467"/>
      <c r="BY40" s="479"/>
      <c r="BZ40" s="481"/>
      <c r="CA40" s="481"/>
      <c r="CB40" s="467"/>
      <c r="CC40" s="479"/>
      <c r="CD40" s="796"/>
      <c r="CE40" s="798"/>
      <c r="CF40" s="471"/>
      <c r="CG40" s="472"/>
      <c r="CH40" s="473"/>
      <c r="CI40" s="475"/>
      <c r="CJ40" s="475"/>
      <c r="CK40" s="471"/>
      <c r="CL40" s="473"/>
      <c r="CM40" s="465"/>
      <c r="CR40" s="112"/>
      <c r="CS40" s="112"/>
      <c r="CT40" s="112"/>
      <c r="CU40" s="112"/>
      <c r="CX40" s="21"/>
      <c r="CY40" s="21"/>
      <c r="DA40" s="22"/>
      <c r="DB40" s="22"/>
    </row>
    <row r="41" spans="4:106" ht="15.95" customHeight="1" thickBot="1">
      <c r="BB41" s="3"/>
      <c r="BC41" s="3"/>
      <c r="BD41" s="664"/>
      <c r="BE41" s="3"/>
      <c r="BF41" s="665"/>
      <c r="BR41" s="539" t="s">
        <v>51</v>
      </c>
      <c r="BS41" s="540"/>
      <c r="BT41" s="540"/>
      <c r="BU41" s="541"/>
      <c r="BV41" s="466">
        <v>1</v>
      </c>
      <c r="BW41" s="480">
        <v>0</v>
      </c>
      <c r="BX41" s="466">
        <v>0</v>
      </c>
      <c r="BY41" s="478">
        <v>0</v>
      </c>
      <c r="BZ41" s="480"/>
      <c r="CA41" s="480"/>
      <c r="CB41" s="466"/>
      <c r="CC41" s="478"/>
      <c r="CD41" s="795">
        <f>SUM(BV41:BY42)</f>
        <v>1</v>
      </c>
      <c r="CE41" s="797">
        <f>BV41*19+BW41*19+BX41*19+BY41*19</f>
        <v>19</v>
      </c>
      <c r="CF41" s="468" t="s">
        <v>403</v>
      </c>
      <c r="CG41" s="469"/>
      <c r="CH41" s="470"/>
      <c r="CI41" s="474"/>
      <c r="CJ41" s="474">
        <v>19</v>
      </c>
      <c r="CK41" s="468" t="s">
        <v>286</v>
      </c>
      <c r="CL41" s="470"/>
      <c r="CM41" s="464">
        <v>44736</v>
      </c>
    </row>
    <row r="42" spans="4:106" ht="15.95" customHeight="1" thickBot="1">
      <c r="BB42" s="3"/>
      <c r="BC42" s="3"/>
      <c r="BD42" s="3"/>
      <c r="BE42" s="3"/>
      <c r="BF42" s="3"/>
      <c r="BR42" s="542"/>
      <c r="BS42" s="543"/>
      <c r="BT42" s="543"/>
      <c r="BU42" s="544"/>
      <c r="BV42" s="467"/>
      <c r="BW42" s="481"/>
      <c r="BX42" s="467"/>
      <c r="BY42" s="479"/>
      <c r="BZ42" s="481"/>
      <c r="CA42" s="481"/>
      <c r="CB42" s="467"/>
      <c r="CC42" s="479"/>
      <c r="CD42" s="796"/>
      <c r="CE42" s="798"/>
      <c r="CF42" s="471"/>
      <c r="CG42" s="472"/>
      <c r="CH42" s="473"/>
      <c r="CI42" s="475"/>
      <c r="CJ42" s="475"/>
      <c r="CK42" s="471"/>
      <c r="CL42" s="473"/>
      <c r="CM42" s="465"/>
      <c r="CP42" s="20"/>
      <c r="CQ42" s="20"/>
      <c r="CR42" s="20"/>
      <c r="CS42" s="20"/>
      <c r="CT42" s="20"/>
      <c r="CU42" s="20"/>
      <c r="CV42" s="20"/>
      <c r="CW42" s="20"/>
      <c r="CX42" s="20"/>
      <c r="CY42" s="20"/>
    </row>
    <row r="43" spans="4:106" ht="15.95" customHeight="1" thickBot="1">
      <c r="BB43" s="3"/>
      <c r="BC43" s="3"/>
      <c r="BD43" s="3"/>
      <c r="BE43" s="3"/>
      <c r="BF43" s="3"/>
      <c r="BR43" s="539" t="s">
        <v>414</v>
      </c>
      <c r="BS43" s="540"/>
      <c r="BT43" s="540"/>
      <c r="BU43" s="541"/>
      <c r="BV43" s="466">
        <v>0</v>
      </c>
      <c r="BW43" s="480">
        <v>0</v>
      </c>
      <c r="BX43" s="466">
        <v>1</v>
      </c>
      <c r="BY43" s="478">
        <v>0</v>
      </c>
      <c r="BZ43" s="480"/>
      <c r="CA43" s="480"/>
      <c r="CB43" s="466"/>
      <c r="CC43" s="478"/>
      <c r="CD43" s="795">
        <f>SUM(BV43:BY44)</f>
        <v>1</v>
      </c>
      <c r="CE43" s="797">
        <f>BV43*19+BW43*19+BX43*19+BY43*19</f>
        <v>19</v>
      </c>
      <c r="CF43" s="468" t="s">
        <v>403</v>
      </c>
      <c r="CG43" s="469"/>
      <c r="CH43" s="470"/>
      <c r="CI43" s="474"/>
      <c r="CJ43" s="474">
        <v>19</v>
      </c>
      <c r="CK43" s="468" t="s">
        <v>286</v>
      </c>
      <c r="CL43" s="470"/>
      <c r="CM43" s="464">
        <v>44743</v>
      </c>
      <c r="CQ43" s="8"/>
      <c r="CV43" s="21"/>
      <c r="CW43" s="21"/>
      <c r="DA43" s="22"/>
      <c r="DB43" s="22"/>
    </row>
    <row r="44" spans="4:106" ht="15.95" customHeight="1" thickBot="1">
      <c r="AL44" s="705" t="s">
        <v>328</v>
      </c>
      <c r="AM44" s="706"/>
      <c r="AN44" s="706"/>
      <c r="AO44" s="707"/>
      <c r="AX44" s="492"/>
      <c r="AY44" s="493"/>
      <c r="AZ44" s="493"/>
      <c r="BA44" s="494"/>
      <c r="BB44" s="3"/>
      <c r="BC44" s="3"/>
      <c r="BD44" s="3"/>
      <c r="BE44" s="3"/>
      <c r="BF44" s="3"/>
      <c r="BH44" s="9"/>
      <c r="BI44" s="9"/>
      <c r="BJ44" s="9"/>
      <c r="BK44" s="9"/>
      <c r="BL44" s="3"/>
      <c r="BM44" s="3"/>
      <c r="BN44" s="3"/>
      <c r="BO44" s="3"/>
      <c r="BP44" s="3"/>
      <c r="BR44" s="542"/>
      <c r="BS44" s="543"/>
      <c r="BT44" s="543"/>
      <c r="BU44" s="544"/>
      <c r="BV44" s="467"/>
      <c r="BW44" s="481"/>
      <c r="BX44" s="467"/>
      <c r="BY44" s="479"/>
      <c r="BZ44" s="481"/>
      <c r="CA44" s="481"/>
      <c r="CB44" s="467"/>
      <c r="CC44" s="479"/>
      <c r="CD44" s="796"/>
      <c r="CE44" s="798"/>
      <c r="CF44" s="471"/>
      <c r="CG44" s="472"/>
      <c r="CH44" s="473"/>
      <c r="CI44" s="475"/>
      <c r="CJ44" s="475"/>
      <c r="CK44" s="471"/>
      <c r="CL44" s="473"/>
      <c r="CM44" s="465"/>
      <c r="CR44" s="112"/>
      <c r="CS44" s="112"/>
      <c r="CT44" s="112"/>
      <c r="CU44" s="112"/>
      <c r="CX44" s="21"/>
      <c r="CY44" s="21"/>
      <c r="DA44" s="22"/>
      <c r="DB44" s="22"/>
    </row>
    <row r="45" spans="4:106" ht="15.95" customHeight="1" thickBot="1">
      <c r="AL45" s="708"/>
      <c r="AM45" s="709"/>
      <c r="AN45" s="709"/>
      <c r="AO45" s="710"/>
      <c r="AX45" s="495"/>
      <c r="AY45" s="496"/>
      <c r="AZ45" s="496"/>
      <c r="BA45" s="497"/>
      <c r="BB45" s="3"/>
      <c r="BC45" s="3"/>
      <c r="BD45" s="3"/>
      <c r="BE45" s="3"/>
      <c r="BF45" s="3"/>
      <c r="BH45" s="9"/>
      <c r="BI45" s="9"/>
      <c r="BJ45" s="9"/>
      <c r="BK45" s="9"/>
      <c r="BL45" s="3"/>
      <c r="BM45" s="3"/>
      <c r="BN45" s="3"/>
      <c r="BO45" s="3"/>
      <c r="BP45" s="3"/>
      <c r="BR45" s="539" t="s">
        <v>415</v>
      </c>
      <c r="BS45" s="540"/>
      <c r="BT45" s="540"/>
      <c r="BU45" s="541"/>
      <c r="BV45" s="466">
        <v>0</v>
      </c>
      <c r="BW45" s="480">
        <v>1</v>
      </c>
      <c r="BX45" s="466">
        <v>0</v>
      </c>
      <c r="BY45" s="478">
        <v>1</v>
      </c>
      <c r="BZ45" s="480"/>
      <c r="CA45" s="480"/>
      <c r="CB45" s="466"/>
      <c r="CC45" s="478"/>
      <c r="CD45" s="795">
        <f>SUM(BV45:BY46)</f>
        <v>2</v>
      </c>
      <c r="CE45" s="797">
        <f>BV45*19+BW45*19+BX45*19+BY45*19</f>
        <v>38</v>
      </c>
      <c r="CF45" s="468" t="s">
        <v>416</v>
      </c>
      <c r="CG45" s="469"/>
      <c r="CH45" s="470"/>
      <c r="CI45" s="474"/>
      <c r="CJ45" s="474">
        <v>38</v>
      </c>
      <c r="CK45" s="468" t="s">
        <v>286</v>
      </c>
      <c r="CL45" s="470"/>
      <c r="CM45" s="464">
        <v>44783</v>
      </c>
    </row>
    <row r="46" spans="4:106" ht="15.95" customHeight="1" thickBot="1">
      <c r="AL46" s="708"/>
      <c r="AM46" s="709"/>
      <c r="AN46" s="709"/>
      <c r="AO46" s="710"/>
      <c r="AP46" s="484" t="s">
        <v>329</v>
      </c>
      <c r="AQ46" s="484" t="s">
        <v>330</v>
      </c>
      <c r="AR46" s="484" t="s">
        <v>331</v>
      </c>
      <c r="AS46" s="484" t="s">
        <v>332</v>
      </c>
      <c r="AX46" s="495"/>
      <c r="AY46" s="496"/>
      <c r="AZ46" s="496"/>
      <c r="BA46" s="497"/>
      <c r="BB46" s="484" t="s">
        <v>293</v>
      </c>
      <c r="BC46" s="484" t="s">
        <v>13</v>
      </c>
      <c r="BD46" s="484" t="s">
        <v>118</v>
      </c>
      <c r="BE46" s="484" t="s">
        <v>275</v>
      </c>
      <c r="BF46" s="484" t="s">
        <v>277</v>
      </c>
      <c r="BH46" s="9"/>
      <c r="BI46" s="9"/>
      <c r="BJ46" s="9"/>
      <c r="BK46" s="9"/>
      <c r="BL46" s="5"/>
      <c r="BM46" s="5"/>
      <c r="BN46" s="5"/>
      <c r="BO46" s="5"/>
      <c r="BP46" s="5"/>
      <c r="BR46" s="542"/>
      <c r="BS46" s="543"/>
      <c r="BT46" s="543"/>
      <c r="BU46" s="544"/>
      <c r="BV46" s="467"/>
      <c r="BW46" s="481"/>
      <c r="BX46" s="467"/>
      <c r="BY46" s="479"/>
      <c r="BZ46" s="481"/>
      <c r="CA46" s="481"/>
      <c r="CB46" s="467"/>
      <c r="CC46" s="479"/>
      <c r="CD46" s="796"/>
      <c r="CE46" s="798"/>
      <c r="CF46" s="471"/>
      <c r="CG46" s="472"/>
      <c r="CH46" s="473"/>
      <c r="CI46" s="475"/>
      <c r="CJ46" s="475"/>
      <c r="CK46" s="471"/>
      <c r="CL46" s="473"/>
      <c r="CM46" s="465"/>
      <c r="CP46" s="20"/>
      <c r="CQ46" s="20"/>
      <c r="CR46" s="20"/>
      <c r="CS46" s="20"/>
      <c r="CT46" s="20"/>
      <c r="CU46" s="20"/>
      <c r="CV46" s="20"/>
      <c r="CW46" s="20"/>
      <c r="CX46" s="20"/>
      <c r="CY46" s="20"/>
    </row>
    <row r="47" spans="4:106" ht="15.95" customHeight="1" thickBot="1">
      <c r="AL47" s="711"/>
      <c r="AM47" s="712"/>
      <c r="AN47" s="712"/>
      <c r="AO47" s="713"/>
      <c r="AP47" s="485"/>
      <c r="AQ47" s="485"/>
      <c r="AR47" s="485"/>
      <c r="AS47" s="485"/>
      <c r="AX47" s="498"/>
      <c r="AY47" s="499"/>
      <c r="AZ47" s="499"/>
      <c r="BA47" s="500"/>
      <c r="BB47" s="485"/>
      <c r="BC47" s="485"/>
      <c r="BD47" s="485"/>
      <c r="BE47" s="485"/>
      <c r="BF47" s="485"/>
      <c r="BH47" s="9"/>
      <c r="BI47" s="9"/>
      <c r="BJ47" s="9"/>
      <c r="BK47" s="9"/>
      <c r="BL47" s="5"/>
      <c r="BM47" s="5"/>
      <c r="BN47" s="5"/>
      <c r="BO47" s="5"/>
      <c r="BP47" s="5"/>
      <c r="BR47" s="539" t="s">
        <v>391</v>
      </c>
      <c r="BS47" s="540"/>
      <c r="BT47" s="540"/>
      <c r="BU47" s="541"/>
      <c r="BV47" s="466">
        <v>0</v>
      </c>
      <c r="BW47" s="480">
        <v>0</v>
      </c>
      <c r="BX47" s="466">
        <v>1</v>
      </c>
      <c r="BY47" s="478">
        <v>0</v>
      </c>
      <c r="BZ47" s="480"/>
      <c r="CA47" s="480"/>
      <c r="CB47" s="466"/>
      <c r="CC47" s="478"/>
      <c r="CD47" s="795">
        <f>SUM(BV47:BY48)</f>
        <v>1</v>
      </c>
      <c r="CE47" s="797">
        <f>BV47*19+BW47*19+BX47*19+BY47*19</f>
        <v>19</v>
      </c>
      <c r="CF47" s="468" t="s">
        <v>403</v>
      </c>
      <c r="CG47" s="469"/>
      <c r="CH47" s="470"/>
      <c r="CI47" s="474"/>
      <c r="CJ47" s="474">
        <v>19</v>
      </c>
      <c r="CK47" s="468" t="s">
        <v>286</v>
      </c>
      <c r="CL47" s="470"/>
      <c r="CM47" s="464">
        <v>44783</v>
      </c>
      <c r="CQ47" s="8"/>
      <c r="CV47" s="21"/>
      <c r="CW47" s="21"/>
      <c r="DA47" s="22"/>
      <c r="DB47" s="22"/>
    </row>
    <row r="48" spans="4:106" ht="15.95" customHeight="1" thickBot="1">
      <c r="AL48" s="882"/>
      <c r="AM48" s="547" t="s">
        <v>370</v>
      </c>
      <c r="AN48" s="548"/>
      <c r="AO48" s="549"/>
      <c r="AP48" s="641">
        <v>19</v>
      </c>
      <c r="AQ48" s="650">
        <f>AS32</f>
        <v>7.79</v>
      </c>
      <c r="AR48" s="650">
        <f>AP48-AQ48</f>
        <v>11.21</v>
      </c>
      <c r="AS48" s="752">
        <f>(AP48-AQ48)/AQ48</f>
        <v>1.4390243902439026</v>
      </c>
      <c r="AX48" s="882"/>
      <c r="AY48" s="547" t="s">
        <v>370</v>
      </c>
      <c r="AZ48" s="548"/>
      <c r="BA48" s="549"/>
      <c r="BB48" s="641">
        <f>AP48</f>
        <v>19</v>
      </c>
      <c r="BC48" s="643">
        <f>BC16-BB32</f>
        <v>7</v>
      </c>
      <c r="BD48" s="643">
        <f>BD16-BC32</f>
        <v>6</v>
      </c>
      <c r="BE48" s="643">
        <f>BC48+BD48</f>
        <v>13</v>
      </c>
      <c r="BF48" s="650">
        <f>BB48*BE48</f>
        <v>247</v>
      </c>
      <c r="BI48" s="10"/>
      <c r="BJ48" s="10"/>
      <c r="BK48" s="10"/>
      <c r="BL48" s="11"/>
      <c r="BM48" s="12"/>
      <c r="BN48" s="12"/>
      <c r="BO48" s="12"/>
      <c r="BP48" s="11"/>
      <c r="BR48" s="542"/>
      <c r="BS48" s="543"/>
      <c r="BT48" s="543"/>
      <c r="BU48" s="544"/>
      <c r="BV48" s="467"/>
      <c r="BW48" s="481"/>
      <c r="BX48" s="467"/>
      <c r="BY48" s="479"/>
      <c r="BZ48" s="481"/>
      <c r="CA48" s="481"/>
      <c r="CB48" s="467"/>
      <c r="CC48" s="479"/>
      <c r="CD48" s="796"/>
      <c r="CE48" s="798"/>
      <c r="CF48" s="471"/>
      <c r="CG48" s="472"/>
      <c r="CH48" s="473"/>
      <c r="CI48" s="475"/>
      <c r="CJ48" s="475"/>
      <c r="CK48" s="471"/>
      <c r="CL48" s="473"/>
      <c r="CM48" s="465"/>
      <c r="CR48" s="112"/>
      <c r="CS48" s="112"/>
      <c r="CT48" s="112"/>
      <c r="CU48" s="112"/>
      <c r="CX48" s="21"/>
      <c r="CY48" s="21"/>
      <c r="DA48" s="22"/>
      <c r="DB48" s="22"/>
    </row>
    <row r="49" spans="38:106" ht="15.95" customHeight="1" thickBot="1">
      <c r="AL49" s="957"/>
      <c r="AM49" s="550"/>
      <c r="AN49" s="551"/>
      <c r="AO49" s="552"/>
      <c r="AP49" s="642"/>
      <c r="AQ49" s="651"/>
      <c r="AR49" s="651"/>
      <c r="AS49" s="753"/>
      <c r="AX49" s="957"/>
      <c r="AY49" s="550"/>
      <c r="AZ49" s="551"/>
      <c r="BA49" s="552"/>
      <c r="BB49" s="754"/>
      <c r="BC49" s="644"/>
      <c r="BD49" s="644"/>
      <c r="BE49" s="644"/>
      <c r="BF49" s="651"/>
      <c r="BI49" s="10"/>
      <c r="BJ49" s="10"/>
      <c r="BK49" s="10"/>
      <c r="BL49" s="12"/>
      <c r="BM49" s="12"/>
      <c r="BN49" s="12"/>
      <c r="BO49" s="12"/>
      <c r="BP49" s="11"/>
      <c r="BR49" s="583"/>
      <c r="BS49" s="594"/>
      <c r="BT49" s="594"/>
      <c r="BU49" s="584"/>
      <c r="BV49" s="714"/>
      <c r="BW49" s="718"/>
      <c r="BX49" s="714"/>
      <c r="BY49" s="716"/>
      <c r="BZ49" s="718"/>
      <c r="CA49" s="718"/>
      <c r="CB49" s="714"/>
      <c r="CC49" s="716"/>
      <c r="CD49" s="968">
        <f>SUM(BV49:BY50)</f>
        <v>0</v>
      </c>
      <c r="CE49" s="970">
        <f>BV49*19+BW49*19+BX49*19+BY49*19</f>
        <v>0</v>
      </c>
      <c r="CF49" s="738"/>
      <c r="CG49" s="748"/>
      <c r="CH49" s="739"/>
      <c r="CI49" s="736"/>
      <c r="CJ49" s="736"/>
      <c r="CK49" s="738"/>
      <c r="CL49" s="739"/>
      <c r="CM49" s="742"/>
    </row>
    <row r="50" spans="38:106" ht="15.95" customHeight="1" thickBot="1">
      <c r="AL50" s="659"/>
      <c r="AM50" s="547" t="s">
        <v>371</v>
      </c>
      <c r="AN50" s="548"/>
      <c r="AO50" s="549"/>
      <c r="AP50" s="755">
        <v>19</v>
      </c>
      <c r="AQ50" s="519">
        <f>AS34</f>
        <v>7.1850000000000005</v>
      </c>
      <c r="AR50" s="650">
        <f>AP50-AQ50</f>
        <v>11.815</v>
      </c>
      <c r="AS50" s="752">
        <f>(AP50-AQ50)/AQ50</f>
        <v>1.6443980514961725</v>
      </c>
      <c r="AX50" s="659"/>
      <c r="AY50" s="547" t="s">
        <v>371</v>
      </c>
      <c r="AZ50" s="548"/>
      <c r="BA50" s="549"/>
      <c r="BB50" s="641">
        <f>AP50</f>
        <v>19</v>
      </c>
      <c r="BC50" s="643">
        <f>BC18-BB34</f>
        <v>6</v>
      </c>
      <c r="BD50" s="643">
        <f>BD18-BC34</f>
        <v>7</v>
      </c>
      <c r="BE50" s="643">
        <f>BC50+BD50</f>
        <v>13</v>
      </c>
      <c r="BF50" s="650">
        <f>BB50*BE50</f>
        <v>247</v>
      </c>
      <c r="BI50" s="10"/>
      <c r="BJ50" s="10"/>
      <c r="BK50" s="10"/>
      <c r="BL50" s="11"/>
      <c r="BM50" s="12"/>
      <c r="BN50" s="12"/>
      <c r="BO50" s="12"/>
      <c r="BP50" s="11"/>
      <c r="BR50" s="529"/>
      <c r="BS50" s="530"/>
      <c r="BT50" s="530"/>
      <c r="BU50" s="531"/>
      <c r="BV50" s="715"/>
      <c r="BW50" s="719"/>
      <c r="BX50" s="715"/>
      <c r="BY50" s="717"/>
      <c r="BZ50" s="719"/>
      <c r="CA50" s="719"/>
      <c r="CB50" s="715"/>
      <c r="CC50" s="717"/>
      <c r="CD50" s="969"/>
      <c r="CE50" s="971"/>
      <c r="CF50" s="740"/>
      <c r="CG50" s="749"/>
      <c r="CH50" s="741"/>
      <c r="CI50" s="737"/>
      <c r="CJ50" s="737"/>
      <c r="CK50" s="740"/>
      <c r="CL50" s="741"/>
      <c r="CM50" s="743"/>
      <c r="CP50" s="20"/>
      <c r="CQ50" s="20"/>
      <c r="CR50" s="20"/>
      <c r="CS50" s="20"/>
      <c r="CT50" s="20"/>
      <c r="CU50" s="20"/>
      <c r="CV50" s="20"/>
      <c r="CW50" s="20"/>
      <c r="CX50" s="20"/>
      <c r="CY50" s="20"/>
    </row>
    <row r="51" spans="38:106" ht="15.95" customHeight="1" thickBot="1">
      <c r="AL51" s="955"/>
      <c r="AM51" s="550"/>
      <c r="AN51" s="551"/>
      <c r="AO51" s="552"/>
      <c r="AP51" s="756"/>
      <c r="AQ51" s="640"/>
      <c r="AR51" s="651"/>
      <c r="AS51" s="753"/>
      <c r="AX51" s="955"/>
      <c r="AY51" s="550"/>
      <c r="AZ51" s="551"/>
      <c r="BA51" s="552"/>
      <c r="BB51" s="754"/>
      <c r="BC51" s="644"/>
      <c r="BD51" s="644"/>
      <c r="BE51" s="644"/>
      <c r="BF51" s="651"/>
      <c r="BI51" s="10"/>
      <c r="BJ51" s="10"/>
      <c r="BK51" s="10"/>
      <c r="BL51" s="12"/>
      <c r="BM51" s="12"/>
      <c r="BN51" s="12"/>
      <c r="BO51" s="12"/>
      <c r="BP51" s="11"/>
      <c r="BR51" s="583"/>
      <c r="BS51" s="594"/>
      <c r="BT51" s="594"/>
      <c r="BU51" s="584"/>
      <c r="BV51" s="728"/>
      <c r="BW51" s="703"/>
      <c r="BX51" s="728"/>
      <c r="BY51" s="701"/>
      <c r="BZ51" s="703"/>
      <c r="CA51" s="703"/>
      <c r="CB51" s="728"/>
      <c r="CC51" s="701"/>
      <c r="CD51" s="964">
        <f>SUM(BV51:BY52)</f>
        <v>0</v>
      </c>
      <c r="CE51" s="966">
        <f>BV51*19+BW51*19+BX51*19+BY51*19</f>
        <v>0</v>
      </c>
      <c r="CF51" s="722"/>
      <c r="CG51" s="734"/>
      <c r="CH51" s="723"/>
      <c r="CI51" s="720"/>
      <c r="CJ51" s="720"/>
      <c r="CK51" s="722"/>
      <c r="CL51" s="723"/>
      <c r="CM51" s="726"/>
      <c r="CQ51" s="8"/>
      <c r="CV51" s="21"/>
      <c r="CW51" s="21"/>
      <c r="DA51" s="22"/>
      <c r="DB51" s="22"/>
    </row>
    <row r="52" spans="38:106" ht="15.95" customHeight="1" thickBot="1">
      <c r="AL52" s="962"/>
      <c r="AM52" s="547"/>
      <c r="AN52" s="548"/>
      <c r="AO52" s="549"/>
      <c r="AP52" s="755"/>
      <c r="AQ52" s="519"/>
      <c r="AR52" s="650"/>
      <c r="AS52" s="752"/>
      <c r="AX52" s="962"/>
      <c r="AY52" s="547"/>
      <c r="AZ52" s="548"/>
      <c r="BA52" s="549"/>
      <c r="BB52" s="641"/>
      <c r="BC52" s="643"/>
      <c r="BD52" s="643"/>
      <c r="BE52" s="643"/>
      <c r="BF52" s="650"/>
      <c r="BI52" s="10"/>
      <c r="BJ52" s="10"/>
      <c r="BK52" s="10"/>
      <c r="BL52" s="11"/>
      <c r="BM52" s="12"/>
      <c r="BN52" s="12"/>
      <c r="BO52" s="12"/>
      <c r="BP52" s="11"/>
      <c r="BR52" s="529"/>
      <c r="BS52" s="530"/>
      <c r="BT52" s="530"/>
      <c r="BU52" s="531"/>
      <c r="BV52" s="729"/>
      <c r="BW52" s="704"/>
      <c r="BX52" s="729"/>
      <c r="BY52" s="702"/>
      <c r="BZ52" s="704"/>
      <c r="CA52" s="704"/>
      <c r="CB52" s="729"/>
      <c r="CC52" s="702"/>
      <c r="CD52" s="965"/>
      <c r="CE52" s="967"/>
      <c r="CF52" s="724"/>
      <c r="CG52" s="735"/>
      <c r="CH52" s="725"/>
      <c r="CI52" s="721"/>
      <c r="CJ52" s="721"/>
      <c r="CK52" s="724"/>
      <c r="CL52" s="725"/>
      <c r="CM52" s="727"/>
      <c r="CR52" s="24"/>
      <c r="CS52" s="24"/>
      <c r="CT52" s="24"/>
      <c r="CU52" s="24"/>
      <c r="CX52" s="21"/>
      <c r="CY52" s="21"/>
      <c r="DA52" s="22"/>
      <c r="DB52" s="22"/>
    </row>
    <row r="53" spans="38:106" ht="15.95" customHeight="1" thickBot="1">
      <c r="AL53" s="962"/>
      <c r="AM53" s="550"/>
      <c r="AN53" s="551"/>
      <c r="AO53" s="552"/>
      <c r="AP53" s="756"/>
      <c r="AQ53" s="640"/>
      <c r="AR53" s="651"/>
      <c r="AS53" s="753"/>
      <c r="AX53" s="962"/>
      <c r="AY53" s="550"/>
      <c r="AZ53" s="551"/>
      <c r="BA53" s="552"/>
      <c r="BB53" s="754"/>
      <c r="BC53" s="644"/>
      <c r="BD53" s="644"/>
      <c r="BE53" s="644"/>
      <c r="BF53" s="651"/>
      <c r="BI53" s="10"/>
      <c r="BJ53" s="10"/>
      <c r="BK53" s="10"/>
      <c r="BL53" s="12"/>
      <c r="BM53" s="12"/>
      <c r="BN53" s="12"/>
      <c r="BO53" s="12"/>
      <c r="BP53" s="11"/>
      <c r="BR53" s="583"/>
      <c r="BS53" s="594"/>
      <c r="BT53" s="594"/>
      <c r="BU53" s="584"/>
      <c r="BV53" s="714"/>
      <c r="BW53" s="718"/>
      <c r="BX53" s="714"/>
      <c r="BY53" s="716"/>
      <c r="BZ53" s="718"/>
      <c r="CA53" s="718"/>
      <c r="CB53" s="714"/>
      <c r="CC53" s="716"/>
      <c r="CD53" s="968">
        <f>SUM(BV53:BY54)</f>
        <v>0</v>
      </c>
      <c r="CE53" s="970">
        <f>BV53*19+BW53*19+BX53*19+BY53*19</f>
        <v>0</v>
      </c>
      <c r="CF53" s="738"/>
      <c r="CG53" s="748"/>
      <c r="CH53" s="739"/>
      <c r="CI53" s="736"/>
      <c r="CJ53" s="736"/>
      <c r="CK53" s="738"/>
      <c r="CL53" s="739"/>
      <c r="CM53" s="742"/>
    </row>
    <row r="54" spans="38:106" ht="15.95" customHeight="1" thickBot="1">
      <c r="AL54" s="962"/>
      <c r="AM54" s="547"/>
      <c r="AN54" s="548"/>
      <c r="AO54" s="549"/>
      <c r="AP54" s="755"/>
      <c r="AQ54" s="519"/>
      <c r="AR54" s="650"/>
      <c r="AS54" s="752"/>
      <c r="AX54" s="962"/>
      <c r="AY54" s="547"/>
      <c r="AZ54" s="548"/>
      <c r="BA54" s="549"/>
      <c r="BB54" s="641"/>
      <c r="BC54" s="643"/>
      <c r="BD54" s="643"/>
      <c r="BE54" s="643"/>
      <c r="BF54" s="650"/>
      <c r="BI54" s="10"/>
      <c r="BJ54" s="10"/>
      <c r="BK54" s="10"/>
      <c r="BL54" s="11"/>
      <c r="BM54" s="12"/>
      <c r="BN54" s="12"/>
      <c r="BO54" s="12"/>
      <c r="BP54" s="11"/>
      <c r="BR54" s="529"/>
      <c r="BS54" s="530"/>
      <c r="BT54" s="530"/>
      <c r="BU54" s="531"/>
      <c r="BV54" s="715"/>
      <c r="BW54" s="719"/>
      <c r="BX54" s="715"/>
      <c r="BY54" s="717"/>
      <c r="BZ54" s="719"/>
      <c r="CA54" s="719"/>
      <c r="CB54" s="715"/>
      <c r="CC54" s="717"/>
      <c r="CD54" s="969"/>
      <c r="CE54" s="971"/>
      <c r="CF54" s="740"/>
      <c r="CG54" s="749"/>
      <c r="CH54" s="741"/>
      <c r="CI54" s="737"/>
      <c r="CJ54" s="737"/>
      <c r="CK54" s="740"/>
      <c r="CL54" s="741"/>
      <c r="CM54" s="743"/>
      <c r="CP54" s="20"/>
      <c r="CQ54" s="20"/>
      <c r="CR54" s="20"/>
      <c r="CS54" s="20"/>
      <c r="CT54" s="20"/>
      <c r="CU54" s="20"/>
      <c r="CV54" s="20"/>
      <c r="CW54" s="20"/>
      <c r="CX54" s="20"/>
      <c r="CY54" s="20"/>
    </row>
    <row r="55" spans="38:106" ht="15.95" customHeight="1" thickBot="1">
      <c r="AL55" s="963"/>
      <c r="AM55" s="550"/>
      <c r="AN55" s="551"/>
      <c r="AO55" s="552"/>
      <c r="AP55" s="757"/>
      <c r="AQ55" s="669"/>
      <c r="AR55" s="665"/>
      <c r="AS55" s="758"/>
      <c r="AX55" s="963"/>
      <c r="AY55" s="550"/>
      <c r="AZ55" s="551"/>
      <c r="BA55" s="552"/>
      <c r="BB55" s="759"/>
      <c r="BC55" s="664"/>
      <c r="BD55" s="664"/>
      <c r="BE55" s="644"/>
      <c r="BF55" s="651"/>
      <c r="BI55" s="10"/>
      <c r="BJ55" s="10"/>
      <c r="BK55" s="10"/>
      <c r="BL55" s="12"/>
      <c r="BM55" s="12"/>
      <c r="BN55" s="12"/>
      <c r="BO55" s="12"/>
      <c r="BP55" s="11"/>
      <c r="BR55" s="583"/>
      <c r="BS55" s="594"/>
      <c r="BT55" s="594"/>
      <c r="BU55" s="584"/>
      <c r="BV55" s="728"/>
      <c r="BW55" s="703"/>
      <c r="BX55" s="728"/>
      <c r="BY55" s="701"/>
      <c r="BZ55" s="703"/>
      <c r="CA55" s="703"/>
      <c r="CB55" s="728"/>
      <c r="CC55" s="701"/>
      <c r="CD55" s="964">
        <f>SUM(BV55:BY56)</f>
        <v>0</v>
      </c>
      <c r="CE55" s="966">
        <f>BV55*19+BW55*19+BX55*19+BY55*19</f>
        <v>0</v>
      </c>
      <c r="CF55" s="722"/>
      <c r="CG55" s="734"/>
      <c r="CH55" s="723"/>
      <c r="CI55" s="720"/>
      <c r="CJ55" s="720"/>
      <c r="CK55" s="722"/>
      <c r="CL55" s="723"/>
      <c r="CM55" s="726"/>
      <c r="CQ55" s="8"/>
      <c r="CV55" s="21"/>
      <c r="CW55" s="21"/>
      <c r="DA55" s="22"/>
      <c r="DB55" s="22"/>
    </row>
    <row r="56" spans="38:106" ht="15.95" customHeight="1" thickBot="1">
      <c r="BB56" s="3"/>
      <c r="BC56" s="3"/>
      <c r="BD56" s="3"/>
      <c r="BE56" s="643">
        <f>SUM(BE48:BE55)</f>
        <v>26</v>
      </c>
      <c r="BF56" s="650">
        <f>SUM(BF48:BF55)</f>
        <v>494</v>
      </c>
      <c r="BL56" s="3"/>
      <c r="BM56" s="3"/>
      <c r="BN56" s="3"/>
      <c r="BO56" s="12"/>
      <c r="BP56" s="11"/>
      <c r="BR56" s="529"/>
      <c r="BS56" s="530"/>
      <c r="BT56" s="530"/>
      <c r="BU56" s="531"/>
      <c r="BV56" s="729"/>
      <c r="BW56" s="704"/>
      <c r="BX56" s="729"/>
      <c r="BY56" s="702"/>
      <c r="BZ56" s="704"/>
      <c r="CA56" s="704"/>
      <c r="CB56" s="729"/>
      <c r="CC56" s="702"/>
      <c r="CD56" s="965"/>
      <c r="CE56" s="967"/>
      <c r="CF56" s="724"/>
      <c r="CG56" s="735"/>
      <c r="CH56" s="725"/>
      <c r="CI56" s="721"/>
      <c r="CJ56" s="721"/>
      <c r="CK56" s="724"/>
      <c r="CL56" s="725"/>
      <c r="CM56" s="727"/>
      <c r="CX56" s="21"/>
      <c r="CY56" s="21"/>
      <c r="DA56" s="22"/>
      <c r="DB56" s="22"/>
    </row>
    <row r="57" spans="38:106" ht="15.95" customHeight="1" thickBot="1">
      <c r="BB57" s="3"/>
      <c r="BC57" s="3"/>
      <c r="BD57" s="3"/>
      <c r="BE57" s="664"/>
      <c r="BF57" s="665"/>
      <c r="BL57" s="3"/>
      <c r="BM57" s="3"/>
      <c r="BN57" s="3"/>
      <c r="BO57" s="12"/>
      <c r="BP57" s="11"/>
      <c r="BR57" s="583"/>
      <c r="BS57" s="594"/>
      <c r="BT57" s="594"/>
      <c r="BU57" s="584"/>
      <c r="BV57" s="714"/>
      <c r="BW57" s="718"/>
      <c r="BX57" s="714"/>
      <c r="BY57" s="716"/>
      <c r="BZ57" s="718"/>
      <c r="CA57" s="718"/>
      <c r="CB57" s="714"/>
      <c r="CC57" s="716"/>
      <c r="CD57" s="968">
        <f>SUM(BV57:BY58)</f>
        <v>0</v>
      </c>
      <c r="CE57" s="970">
        <f>BV57*19+BW57*19+BX57*19+BY57*19</f>
        <v>0</v>
      </c>
      <c r="CF57" s="738"/>
      <c r="CG57" s="748"/>
      <c r="CH57" s="739"/>
      <c r="CI57" s="736"/>
      <c r="CJ57" s="736"/>
      <c r="CK57" s="738"/>
      <c r="CL57" s="739"/>
      <c r="CM57" s="742"/>
    </row>
    <row r="58" spans="38:106" ht="15.95" customHeight="1" thickBot="1">
      <c r="BB58" s="3"/>
      <c r="BC58" s="3"/>
      <c r="BD58" s="3"/>
      <c r="BE58" s="3"/>
      <c r="BF58" s="3"/>
      <c r="BR58" s="529"/>
      <c r="BS58" s="530"/>
      <c r="BT58" s="530"/>
      <c r="BU58" s="531"/>
      <c r="BV58" s="715"/>
      <c r="BW58" s="719"/>
      <c r="BX58" s="715"/>
      <c r="BY58" s="717"/>
      <c r="BZ58" s="719"/>
      <c r="CA58" s="719"/>
      <c r="CB58" s="715"/>
      <c r="CC58" s="717"/>
      <c r="CD58" s="969"/>
      <c r="CE58" s="971"/>
      <c r="CF58" s="740"/>
      <c r="CG58" s="749"/>
      <c r="CH58" s="741"/>
      <c r="CI58" s="737"/>
      <c r="CJ58" s="737"/>
      <c r="CK58" s="740"/>
      <c r="CL58" s="741"/>
      <c r="CM58" s="743"/>
      <c r="CP58" s="20"/>
      <c r="CQ58" s="20"/>
      <c r="CR58" s="20"/>
      <c r="CS58" s="20"/>
      <c r="CT58" s="20"/>
      <c r="CU58" s="20"/>
      <c r="CV58" s="20"/>
      <c r="CW58" s="20"/>
      <c r="CX58" s="20"/>
      <c r="CY58" s="20"/>
    </row>
    <row r="59" spans="38:106" ht="15.95" customHeight="1">
      <c r="BR59" s="583"/>
      <c r="BS59" s="594"/>
      <c r="BT59" s="594"/>
      <c r="BU59" s="584"/>
      <c r="BV59" s="728"/>
      <c r="BW59" s="703"/>
      <c r="BX59" s="728"/>
      <c r="BY59" s="701"/>
      <c r="BZ59" s="703"/>
      <c r="CA59" s="703"/>
      <c r="CB59" s="728"/>
      <c r="CC59" s="701"/>
      <c r="CD59" s="964">
        <f>SUM(BV59:BY60)</f>
        <v>0</v>
      </c>
      <c r="CE59" s="966">
        <f>BV59*19+BW59*19+BX59*19+BY59*19</f>
        <v>0</v>
      </c>
      <c r="CF59" s="722"/>
      <c r="CG59" s="734"/>
      <c r="CH59" s="723"/>
      <c r="CI59" s="720"/>
      <c r="CJ59" s="720"/>
      <c r="CK59" s="722"/>
      <c r="CL59" s="723"/>
      <c r="CM59" s="726"/>
      <c r="CQ59" s="8"/>
      <c r="CV59" s="21"/>
      <c r="CW59" s="21"/>
      <c r="DA59" s="22"/>
      <c r="DB59" s="22"/>
    </row>
    <row r="60" spans="38:106" ht="15.95" customHeight="1" thickBot="1">
      <c r="BB60" s="3"/>
      <c r="BC60" s="3"/>
      <c r="BD60" s="3"/>
      <c r="BE60" s="3"/>
      <c r="BF60" s="3"/>
      <c r="BR60" s="529"/>
      <c r="BS60" s="530"/>
      <c r="BT60" s="530"/>
      <c r="BU60" s="531"/>
      <c r="BV60" s="729"/>
      <c r="BW60" s="704"/>
      <c r="BX60" s="729"/>
      <c r="BY60" s="702"/>
      <c r="BZ60" s="704"/>
      <c r="CA60" s="704"/>
      <c r="CB60" s="729"/>
      <c r="CC60" s="702"/>
      <c r="CD60" s="965"/>
      <c r="CE60" s="967"/>
      <c r="CF60" s="724"/>
      <c r="CG60" s="735"/>
      <c r="CH60" s="725"/>
      <c r="CI60" s="721"/>
      <c r="CJ60" s="721"/>
      <c r="CK60" s="724"/>
      <c r="CL60" s="725"/>
      <c r="CM60" s="727"/>
      <c r="CX60" s="21"/>
      <c r="CY60" s="21"/>
      <c r="DA60" s="22"/>
      <c r="DB60" s="22"/>
    </row>
    <row r="61" spans="38:106" ht="15.95" customHeight="1">
      <c r="AX61" s="19"/>
      <c r="AY61" s="19"/>
      <c r="AZ61" s="19"/>
      <c r="BA61" s="19"/>
      <c r="BB61" s="3"/>
      <c r="BC61" s="3"/>
      <c r="BD61" s="3"/>
      <c r="BE61" s="3"/>
      <c r="BF61" s="3"/>
      <c r="BH61" s="9"/>
      <c r="BI61" s="9"/>
      <c r="BJ61" s="9"/>
      <c r="BK61" s="9"/>
      <c r="BL61" s="3"/>
      <c r="BM61" s="3"/>
      <c r="BN61" s="3"/>
      <c r="BO61" s="3"/>
      <c r="BP61" s="3"/>
      <c r="BR61" s="583"/>
      <c r="BS61" s="594"/>
      <c r="BT61" s="594"/>
      <c r="BU61" s="584"/>
      <c r="BV61" s="714"/>
      <c r="BW61" s="718"/>
      <c r="BX61" s="714"/>
      <c r="BY61" s="716"/>
      <c r="BZ61" s="718"/>
      <c r="CA61" s="718"/>
      <c r="CB61" s="714"/>
      <c r="CC61" s="716"/>
      <c r="CD61" s="968">
        <f>SUM(BV61:BY62)</f>
        <v>0</v>
      </c>
      <c r="CE61" s="970">
        <f>BV61*19+BW61*19+BX61*19+BY61*19</f>
        <v>0</v>
      </c>
      <c r="CF61" s="738"/>
      <c r="CG61" s="748"/>
      <c r="CH61" s="739"/>
      <c r="CI61" s="736"/>
      <c r="CJ61" s="736"/>
      <c r="CK61" s="738"/>
      <c r="CL61" s="739"/>
      <c r="CM61" s="742"/>
    </row>
    <row r="62" spans="38:106" ht="15.95" customHeight="1" thickBot="1">
      <c r="AX62" s="19"/>
      <c r="AY62" s="19"/>
      <c r="AZ62" s="19"/>
      <c r="BA62" s="19"/>
      <c r="BB62" s="3"/>
      <c r="BC62" s="3"/>
      <c r="BD62" s="3"/>
      <c r="BE62" s="3"/>
      <c r="BF62" s="3"/>
      <c r="BH62" s="9"/>
      <c r="BI62" s="9"/>
      <c r="BJ62" s="9"/>
      <c r="BK62" s="9"/>
      <c r="BL62" s="3"/>
      <c r="BM62" s="3"/>
      <c r="BN62" s="3"/>
      <c r="BO62" s="3"/>
      <c r="BP62" s="3"/>
      <c r="BR62" s="529"/>
      <c r="BS62" s="530"/>
      <c r="BT62" s="530"/>
      <c r="BU62" s="531"/>
      <c r="BV62" s="715"/>
      <c r="BW62" s="719"/>
      <c r="BX62" s="715"/>
      <c r="BY62" s="717"/>
      <c r="BZ62" s="719"/>
      <c r="CA62" s="719"/>
      <c r="CB62" s="715"/>
      <c r="CC62" s="717"/>
      <c r="CD62" s="969"/>
      <c r="CE62" s="971"/>
      <c r="CF62" s="740"/>
      <c r="CG62" s="749"/>
      <c r="CH62" s="741"/>
      <c r="CI62" s="737"/>
      <c r="CJ62" s="737"/>
      <c r="CK62" s="740"/>
      <c r="CL62" s="741"/>
      <c r="CM62" s="743"/>
      <c r="CP62" s="20"/>
      <c r="CQ62" s="20"/>
      <c r="CR62" s="20"/>
      <c r="CS62" s="20"/>
      <c r="CT62" s="20"/>
      <c r="CU62" s="20"/>
      <c r="CV62" s="20"/>
      <c r="CW62" s="20"/>
      <c r="CX62" s="20"/>
      <c r="CY62" s="20"/>
    </row>
    <row r="63" spans="38:106" ht="15.95" customHeight="1">
      <c r="AX63" s="19"/>
      <c r="AY63" s="19"/>
      <c r="AZ63" s="19"/>
      <c r="BA63" s="19"/>
      <c r="BB63" s="5"/>
      <c r="BC63" s="5"/>
      <c r="BD63" s="5"/>
      <c r="BE63" s="5"/>
      <c r="BF63" s="5"/>
      <c r="BH63" s="9"/>
      <c r="BI63" s="9"/>
      <c r="BJ63" s="9"/>
      <c r="BK63" s="9"/>
      <c r="BL63" s="5"/>
      <c r="BM63" s="5"/>
      <c r="BN63" s="5"/>
      <c r="BO63" s="5"/>
      <c r="BP63" s="5"/>
      <c r="BR63" s="583"/>
      <c r="BS63" s="594"/>
      <c r="BT63" s="594"/>
      <c r="BU63" s="584"/>
      <c r="BV63" s="728"/>
      <c r="BW63" s="703"/>
      <c r="BX63" s="728"/>
      <c r="BY63" s="701"/>
      <c r="BZ63" s="703"/>
      <c r="CA63" s="703"/>
      <c r="CB63" s="728"/>
      <c r="CC63" s="701"/>
      <c r="CD63" s="964">
        <f>SUM(BV63:BY64)</f>
        <v>0</v>
      </c>
      <c r="CE63" s="966">
        <f>BV63*19+BW63*19+BX63*19+BY63*19</f>
        <v>0</v>
      </c>
      <c r="CF63" s="722"/>
      <c r="CG63" s="734"/>
      <c r="CH63" s="723"/>
      <c r="CI63" s="720"/>
      <c r="CJ63" s="720"/>
      <c r="CK63" s="722"/>
      <c r="CL63" s="723"/>
      <c r="CM63" s="726"/>
      <c r="CQ63" s="8"/>
      <c r="CV63" s="21"/>
      <c r="CW63" s="21"/>
      <c r="DA63" s="22"/>
      <c r="DB63" s="22"/>
    </row>
    <row r="64" spans="38:106" ht="15.95" customHeight="1" thickBot="1">
      <c r="AX64" s="19"/>
      <c r="AY64" s="19"/>
      <c r="AZ64" s="19"/>
      <c r="BA64" s="19"/>
      <c r="BB64" s="5"/>
      <c r="BC64" s="5"/>
      <c r="BD64" s="5"/>
      <c r="BE64" s="5"/>
      <c r="BF64" s="5"/>
      <c r="BH64" s="9"/>
      <c r="BI64" s="9"/>
      <c r="BJ64" s="9"/>
      <c r="BK64" s="9"/>
      <c r="BL64" s="5"/>
      <c r="BM64" s="5"/>
      <c r="BN64" s="5"/>
      <c r="BO64" s="5"/>
      <c r="BP64" s="5"/>
      <c r="BR64" s="529"/>
      <c r="BS64" s="530"/>
      <c r="BT64" s="530"/>
      <c r="BU64" s="531"/>
      <c r="BV64" s="729"/>
      <c r="BW64" s="704"/>
      <c r="BX64" s="729"/>
      <c r="BY64" s="702"/>
      <c r="BZ64" s="704"/>
      <c r="CA64" s="704"/>
      <c r="CB64" s="729"/>
      <c r="CC64" s="702"/>
      <c r="CD64" s="965"/>
      <c r="CE64" s="967"/>
      <c r="CF64" s="724"/>
      <c r="CG64" s="735"/>
      <c r="CH64" s="725"/>
      <c r="CI64" s="721"/>
      <c r="CJ64" s="721"/>
      <c r="CK64" s="724"/>
      <c r="CL64" s="725"/>
      <c r="CM64" s="727"/>
      <c r="CX64" s="21"/>
      <c r="CY64" s="21"/>
      <c r="DA64" s="22"/>
      <c r="DB64" s="22"/>
    </row>
    <row r="65" spans="51:106" ht="15.95" customHeight="1">
      <c r="AY65" s="10"/>
      <c r="AZ65" s="10"/>
      <c r="BA65" s="10"/>
      <c r="BB65" s="11"/>
      <c r="BC65" s="12"/>
      <c r="BD65" s="12"/>
      <c r="BE65" s="12"/>
      <c r="BF65" s="11"/>
      <c r="BI65" s="10"/>
      <c r="BJ65" s="10"/>
      <c r="BK65" s="10"/>
      <c r="BL65" s="11"/>
      <c r="BM65" s="12"/>
      <c r="BN65" s="12"/>
      <c r="BO65" s="12"/>
      <c r="BP65" s="11"/>
      <c r="BR65" s="583"/>
      <c r="BS65" s="594"/>
      <c r="BT65" s="594"/>
      <c r="BU65" s="584"/>
      <c r="BV65" s="714"/>
      <c r="BW65" s="718"/>
      <c r="BX65" s="714"/>
      <c r="BY65" s="716"/>
      <c r="BZ65" s="718"/>
      <c r="CA65" s="718"/>
      <c r="CB65" s="714"/>
      <c r="CC65" s="716"/>
      <c r="CD65" s="968">
        <f>SUM(BV65:BY66)</f>
        <v>0</v>
      </c>
      <c r="CE65" s="970">
        <f>BV65*19+BW65*19+BX65*19+BY65*19</f>
        <v>0</v>
      </c>
      <c r="CF65" s="738"/>
      <c r="CG65" s="748"/>
      <c r="CH65" s="739"/>
      <c r="CI65" s="736"/>
      <c r="CJ65" s="736"/>
      <c r="CK65" s="738"/>
      <c r="CL65" s="739"/>
      <c r="CM65" s="742"/>
    </row>
    <row r="66" spans="51:106" ht="15.95" customHeight="1" thickBot="1">
      <c r="AY66" s="10"/>
      <c r="AZ66" s="10"/>
      <c r="BA66" s="10"/>
      <c r="BB66" s="12"/>
      <c r="BC66" s="12"/>
      <c r="BD66" s="12"/>
      <c r="BE66" s="12"/>
      <c r="BF66" s="11"/>
      <c r="BI66" s="10"/>
      <c r="BJ66" s="10"/>
      <c r="BK66" s="10"/>
      <c r="BL66" s="12"/>
      <c r="BM66" s="12"/>
      <c r="BN66" s="12"/>
      <c r="BO66" s="12"/>
      <c r="BP66" s="11"/>
      <c r="BR66" s="529"/>
      <c r="BS66" s="530"/>
      <c r="BT66" s="530"/>
      <c r="BU66" s="531"/>
      <c r="BV66" s="715"/>
      <c r="BW66" s="719"/>
      <c r="BX66" s="715"/>
      <c r="BY66" s="717"/>
      <c r="BZ66" s="719"/>
      <c r="CA66" s="719"/>
      <c r="CB66" s="715"/>
      <c r="CC66" s="717"/>
      <c r="CD66" s="969"/>
      <c r="CE66" s="971"/>
      <c r="CF66" s="740"/>
      <c r="CG66" s="749"/>
      <c r="CH66" s="741"/>
      <c r="CI66" s="737"/>
      <c r="CJ66" s="737"/>
      <c r="CK66" s="740"/>
      <c r="CL66" s="741"/>
      <c r="CM66" s="743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DA66" s="47"/>
      <c r="DB66" s="47"/>
    </row>
    <row r="67" spans="51:106" ht="15.95" customHeight="1">
      <c r="AY67" s="10"/>
      <c r="AZ67" s="10"/>
      <c r="BA67" s="10"/>
      <c r="BB67" s="11"/>
      <c r="BC67" s="12"/>
      <c r="BD67" s="12"/>
      <c r="BE67" s="12"/>
      <c r="BF67" s="11"/>
      <c r="BI67" s="10"/>
      <c r="BJ67" s="10"/>
      <c r="BK67" s="10"/>
      <c r="BL67" s="11"/>
      <c r="BM67" s="12"/>
      <c r="BN67" s="12"/>
      <c r="BO67" s="12"/>
      <c r="BP67" s="11"/>
      <c r="BR67" s="583"/>
      <c r="BS67" s="594"/>
      <c r="BT67" s="594"/>
      <c r="BU67" s="584"/>
      <c r="BV67" s="728"/>
      <c r="BW67" s="703"/>
      <c r="BX67" s="728"/>
      <c r="BY67" s="701"/>
      <c r="BZ67" s="703"/>
      <c r="CA67" s="703"/>
      <c r="CB67" s="728"/>
      <c r="CC67" s="701"/>
      <c r="CD67" s="964">
        <f>SUM(BV67:BY68)</f>
        <v>0</v>
      </c>
      <c r="CE67" s="966">
        <f>BV67*19+BW67*19+BX67*19+BY67*19</f>
        <v>0</v>
      </c>
      <c r="CF67" s="722"/>
      <c r="CG67" s="734"/>
      <c r="CH67" s="723"/>
      <c r="CI67" s="720"/>
      <c r="CJ67" s="720"/>
      <c r="CK67" s="722"/>
      <c r="CL67" s="723"/>
      <c r="CM67" s="726"/>
      <c r="CQ67" s="8"/>
      <c r="CV67" s="21"/>
      <c r="CW67" s="21"/>
      <c r="DA67" s="47"/>
      <c r="DB67" s="47"/>
    </row>
    <row r="68" spans="51:106" ht="15.95" customHeight="1" thickBot="1">
      <c r="AY68" s="10"/>
      <c r="AZ68" s="10"/>
      <c r="BA68" s="10"/>
      <c r="BB68" s="12"/>
      <c r="BC68" s="12"/>
      <c r="BD68" s="12"/>
      <c r="BE68" s="12"/>
      <c r="BF68" s="11"/>
      <c r="BI68" s="10"/>
      <c r="BJ68" s="10"/>
      <c r="BK68" s="10"/>
      <c r="BL68" s="12"/>
      <c r="BM68" s="12"/>
      <c r="BN68" s="12"/>
      <c r="BO68" s="12"/>
      <c r="BP68" s="11"/>
      <c r="BR68" s="529"/>
      <c r="BS68" s="530"/>
      <c r="BT68" s="530"/>
      <c r="BU68" s="531"/>
      <c r="BV68" s="729"/>
      <c r="BW68" s="704"/>
      <c r="BX68" s="729"/>
      <c r="BY68" s="702"/>
      <c r="BZ68" s="704"/>
      <c r="CA68" s="704"/>
      <c r="CB68" s="729"/>
      <c r="CC68" s="702"/>
      <c r="CD68" s="965"/>
      <c r="CE68" s="967"/>
      <c r="CF68" s="724"/>
      <c r="CG68" s="735"/>
      <c r="CH68" s="725"/>
      <c r="CI68" s="721"/>
      <c r="CJ68" s="721"/>
      <c r="CK68" s="750"/>
      <c r="CL68" s="751"/>
      <c r="CM68" s="727"/>
      <c r="CX68" s="21"/>
      <c r="CY68" s="21"/>
      <c r="DA68" s="22"/>
      <c r="DB68" s="22"/>
    </row>
    <row r="69" spans="51:106" ht="15.95" customHeight="1">
      <c r="AY69" s="10"/>
      <c r="AZ69" s="10"/>
      <c r="BA69" s="10"/>
      <c r="BB69" s="11"/>
      <c r="BC69" s="12"/>
      <c r="BD69" s="12"/>
      <c r="BE69" s="12"/>
      <c r="BF69" s="11"/>
      <c r="BI69" s="10"/>
      <c r="BJ69" s="10"/>
      <c r="BK69" s="10"/>
      <c r="BL69" s="11"/>
      <c r="BM69" s="12"/>
      <c r="BN69" s="12"/>
      <c r="BO69" s="12"/>
      <c r="BP69" s="11"/>
      <c r="BR69" s="583"/>
      <c r="BS69" s="594"/>
      <c r="BT69" s="594"/>
      <c r="BU69" s="584"/>
      <c r="BV69" s="714"/>
      <c r="BW69" s="718"/>
      <c r="BX69" s="714"/>
      <c r="BY69" s="716"/>
      <c r="BZ69" s="718"/>
      <c r="CA69" s="718"/>
      <c r="CB69" s="714"/>
      <c r="CC69" s="716"/>
      <c r="CD69" s="968">
        <f>SUM(BV69:BY70)</f>
        <v>0</v>
      </c>
      <c r="CE69" s="970">
        <f>BV69*19+BW69*19+BX69*19+BY69*19</f>
        <v>0</v>
      </c>
      <c r="CF69" s="738"/>
      <c r="CG69" s="748"/>
      <c r="CH69" s="739"/>
      <c r="CI69" s="736"/>
      <c r="CJ69" s="736"/>
      <c r="CK69" s="738"/>
      <c r="CL69" s="739"/>
      <c r="CM69" s="742"/>
    </row>
    <row r="70" spans="51:106" ht="15.95" customHeight="1" thickBot="1">
      <c r="AY70" s="10"/>
      <c r="AZ70" s="10"/>
      <c r="BA70" s="10"/>
      <c r="BB70" s="12"/>
      <c r="BC70" s="12"/>
      <c r="BD70" s="12"/>
      <c r="BE70" s="12"/>
      <c r="BF70" s="11"/>
      <c r="BI70" s="10"/>
      <c r="BJ70" s="10"/>
      <c r="BK70" s="10"/>
      <c r="BL70" s="12"/>
      <c r="BM70" s="12"/>
      <c r="BN70" s="12"/>
      <c r="BO70" s="12"/>
      <c r="BP70" s="11"/>
      <c r="BR70" s="585"/>
      <c r="BS70" s="595"/>
      <c r="BT70" s="595"/>
      <c r="BU70" s="586"/>
      <c r="BV70" s="715"/>
      <c r="BW70" s="719"/>
      <c r="BX70" s="715"/>
      <c r="BY70" s="717"/>
      <c r="BZ70" s="719"/>
      <c r="CA70" s="719"/>
      <c r="CB70" s="715"/>
      <c r="CC70" s="717"/>
      <c r="CD70" s="969"/>
      <c r="CE70" s="971"/>
      <c r="CF70" s="740"/>
      <c r="CG70" s="749"/>
      <c r="CH70" s="741"/>
      <c r="CI70" s="737"/>
      <c r="CJ70" s="737"/>
      <c r="CK70" s="740"/>
      <c r="CL70" s="741"/>
      <c r="CM70" s="743"/>
      <c r="CP70" s="20"/>
      <c r="CQ70" s="20"/>
      <c r="CR70" s="20"/>
      <c r="CS70" s="20"/>
      <c r="CT70" s="20"/>
      <c r="CU70" s="20"/>
      <c r="CV70" s="20"/>
      <c r="CW70" s="20"/>
      <c r="CX70" s="20"/>
      <c r="CY70" s="20"/>
    </row>
    <row r="71" spans="51:106" ht="15.95" customHeight="1" thickBot="1">
      <c r="AY71" s="10"/>
      <c r="AZ71" s="10"/>
      <c r="BA71" s="10"/>
      <c r="BB71" s="11"/>
      <c r="BC71" s="12"/>
      <c r="BD71" s="12"/>
      <c r="BE71" s="12"/>
      <c r="BF71" s="11"/>
      <c r="BI71" s="10"/>
      <c r="BJ71" s="10"/>
      <c r="BK71" s="10"/>
      <c r="BL71" s="11"/>
      <c r="BM71" s="12"/>
      <c r="BN71" s="12"/>
      <c r="BO71" s="12"/>
      <c r="BP71" s="11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Q71" s="8"/>
      <c r="CV71" s="21"/>
      <c r="CW71" s="21"/>
      <c r="DA71" s="22"/>
      <c r="DB71" s="22"/>
    </row>
    <row r="72" spans="51:106" ht="15.95" customHeight="1">
      <c r="AY72" s="10"/>
      <c r="AZ72" s="10"/>
      <c r="BA72" s="10"/>
      <c r="BB72" s="12"/>
      <c r="BC72" s="12"/>
      <c r="BD72" s="12"/>
      <c r="BE72" s="12"/>
      <c r="BF72" s="11"/>
      <c r="BI72" s="10"/>
      <c r="BJ72" s="10"/>
      <c r="BK72" s="10"/>
      <c r="BL72" s="12"/>
      <c r="BM72" s="12"/>
      <c r="BN72" s="12"/>
      <c r="BO72" s="12"/>
      <c r="BP72" s="11"/>
      <c r="BT72" s="523" t="s">
        <v>136</v>
      </c>
      <c r="BU72" s="525"/>
      <c r="BV72" s="649">
        <f t="shared" ref="BV72:CC72" si="0">SUM(BV9:BV70)</f>
        <v>7</v>
      </c>
      <c r="BW72" s="649">
        <f t="shared" si="0"/>
        <v>6</v>
      </c>
      <c r="BX72" s="649">
        <f t="shared" si="0"/>
        <v>6</v>
      </c>
      <c r="BY72" s="649">
        <f t="shared" si="0"/>
        <v>7</v>
      </c>
      <c r="BZ72" s="649">
        <f t="shared" si="0"/>
        <v>0</v>
      </c>
      <c r="CA72" s="649">
        <f t="shared" si="0"/>
        <v>0</v>
      </c>
      <c r="CB72" s="649">
        <f t="shared" si="0"/>
        <v>0</v>
      </c>
      <c r="CC72" s="649">
        <f t="shared" si="0"/>
        <v>0</v>
      </c>
      <c r="CD72" s="763">
        <f>SUM(CD9:CD70)</f>
        <v>26</v>
      </c>
      <c r="CE72" s="762">
        <f>SUM(CE9:CE70)</f>
        <v>494</v>
      </c>
      <c r="CF72" s="3"/>
      <c r="CG72" s="3"/>
      <c r="CH72" s="3"/>
      <c r="CI72" s="762">
        <f>SUM(CI9:CI70)</f>
        <v>76</v>
      </c>
      <c r="CJ72" s="762">
        <f>SUM(CJ9:CJ70)</f>
        <v>418</v>
      </c>
      <c r="CK72" s="762">
        <f>SUM(CK9:CL70)</f>
        <v>0</v>
      </c>
      <c r="CL72" s="3"/>
      <c r="CM72" s="3"/>
      <c r="CX72" s="21"/>
      <c r="CY72" s="21"/>
      <c r="DA72" s="22"/>
      <c r="DB72" s="22"/>
    </row>
    <row r="73" spans="51:106" ht="15.95" customHeight="1" thickBot="1">
      <c r="BB73" s="3"/>
      <c r="BC73" s="3"/>
      <c r="BD73" s="3"/>
      <c r="BE73" s="12"/>
      <c r="BF73" s="11"/>
      <c r="BL73" s="3"/>
      <c r="BM73" s="3"/>
      <c r="BN73" s="3"/>
      <c r="BO73" s="12"/>
      <c r="BP73" s="11"/>
      <c r="BT73" s="526"/>
      <c r="BU73" s="528"/>
      <c r="BV73" s="657"/>
      <c r="BW73" s="657"/>
      <c r="BX73" s="657"/>
      <c r="BY73" s="657"/>
      <c r="BZ73" s="657"/>
      <c r="CA73" s="657"/>
      <c r="CB73" s="657"/>
      <c r="CC73" s="657"/>
      <c r="CD73" s="761"/>
      <c r="CE73" s="761"/>
      <c r="CF73" s="3"/>
      <c r="CG73" s="3"/>
      <c r="CH73" s="3"/>
      <c r="CI73" s="761"/>
      <c r="CJ73" s="761"/>
      <c r="CK73" s="761"/>
      <c r="CL73" s="3"/>
      <c r="CM73" s="3"/>
    </row>
    <row r="74" spans="51:106" ht="15.95" customHeight="1">
      <c r="BB74" s="3"/>
      <c r="BC74" s="3"/>
      <c r="BD74" s="3"/>
      <c r="BE74" s="12"/>
      <c r="BF74" s="11"/>
      <c r="BL74" s="3"/>
      <c r="BM74" s="3"/>
      <c r="BN74" s="3"/>
      <c r="BO74" s="12"/>
      <c r="BP74" s="11"/>
      <c r="BT74" s="523" t="s">
        <v>137</v>
      </c>
      <c r="BU74" s="525"/>
      <c r="BV74" s="649">
        <f t="shared" ref="BV74:CD74" si="1">BV5-BV72</f>
        <v>0</v>
      </c>
      <c r="BW74" s="649">
        <f t="shared" si="1"/>
        <v>0</v>
      </c>
      <c r="BX74" s="649">
        <f t="shared" si="1"/>
        <v>0</v>
      </c>
      <c r="BY74" s="649">
        <f t="shared" si="1"/>
        <v>0</v>
      </c>
      <c r="BZ74" s="649">
        <f t="shared" si="1"/>
        <v>0</v>
      </c>
      <c r="CA74" s="649">
        <f t="shared" si="1"/>
        <v>0</v>
      </c>
      <c r="CB74" s="649">
        <f t="shared" si="1"/>
        <v>0</v>
      </c>
      <c r="CC74" s="649">
        <f t="shared" si="1"/>
        <v>0</v>
      </c>
      <c r="CD74" s="763">
        <f t="shared" si="1"/>
        <v>0</v>
      </c>
      <c r="CE74" s="5"/>
      <c r="CF74" s="3"/>
      <c r="CG74" s="3"/>
      <c r="CH74" s="3"/>
      <c r="CI74" s="3"/>
      <c r="CJ74" s="474">
        <f>CI72+CJ72+CK72</f>
        <v>494</v>
      </c>
      <c r="CK74" s="3"/>
      <c r="CL74" s="3"/>
      <c r="CM74" s="3"/>
      <c r="CP74" s="20"/>
      <c r="CQ74" s="20"/>
      <c r="CR74" s="20"/>
      <c r="CS74" s="20"/>
      <c r="CT74" s="20"/>
      <c r="CU74" s="20"/>
      <c r="CV74" s="20"/>
      <c r="CW74" s="20"/>
      <c r="CX74" s="20"/>
      <c r="CY74" s="20"/>
    </row>
    <row r="75" spans="51:106" ht="15.95" customHeight="1" thickBot="1">
      <c r="BT75" s="526"/>
      <c r="BU75" s="528"/>
      <c r="BV75" s="657"/>
      <c r="BW75" s="657"/>
      <c r="BX75" s="657"/>
      <c r="BY75" s="657"/>
      <c r="BZ75" s="657"/>
      <c r="CA75" s="657"/>
      <c r="CB75" s="657"/>
      <c r="CC75" s="657"/>
      <c r="CD75" s="761"/>
      <c r="CE75" s="5"/>
      <c r="CF75" s="3"/>
      <c r="CG75" s="3"/>
      <c r="CH75" s="3"/>
      <c r="CI75" s="3"/>
      <c r="CJ75" s="764"/>
      <c r="CK75" s="3"/>
      <c r="CL75" s="3"/>
      <c r="CM75" s="3"/>
      <c r="CQ75" s="8"/>
      <c r="CV75" s="21"/>
      <c r="CW75" s="21"/>
      <c r="DA75" s="22"/>
      <c r="DB75" s="22"/>
    </row>
    <row r="76" spans="51:106" ht="15.95" customHeight="1" thickBot="1"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X76" s="21"/>
      <c r="CY76" s="21"/>
      <c r="DA76" s="22"/>
      <c r="DB76" s="22"/>
    </row>
    <row r="77" spans="51:106" ht="15.95" customHeight="1" thickBot="1"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533" t="s">
        <v>98</v>
      </c>
      <c r="CH77" s="534"/>
      <c r="CI77" s="534"/>
      <c r="CJ77" s="534"/>
      <c r="CK77" s="535"/>
      <c r="CL77" s="488">
        <f>CJ74</f>
        <v>494</v>
      </c>
      <c r="CM77" s="489"/>
    </row>
    <row r="78" spans="51:106" ht="15.95" customHeight="1" thickBot="1">
      <c r="BH78" s="13"/>
      <c r="BI78" s="13"/>
      <c r="BJ78" s="13"/>
      <c r="BK78" s="13"/>
      <c r="BL78" s="13"/>
      <c r="BM78" s="14"/>
      <c r="BN78" s="1"/>
      <c r="BT78" s="523" t="s">
        <v>136</v>
      </c>
      <c r="BU78" s="525"/>
      <c r="BV78" s="763">
        <f>CD72</f>
        <v>26</v>
      </c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536"/>
      <c r="CH78" s="537"/>
      <c r="CI78" s="537"/>
      <c r="CJ78" s="537"/>
      <c r="CK78" s="538"/>
      <c r="CL78" s="490"/>
      <c r="CM78" s="491"/>
      <c r="CP78" s="20"/>
      <c r="CQ78" s="20"/>
      <c r="CR78" s="20"/>
      <c r="CS78" s="20"/>
      <c r="CT78" s="20"/>
      <c r="CU78" s="20"/>
      <c r="CV78" s="20"/>
      <c r="CW78" s="20"/>
      <c r="CX78" s="20"/>
      <c r="CY78" s="20"/>
    </row>
    <row r="79" spans="51:106" ht="15.95" customHeight="1" thickBot="1">
      <c r="BH79" s="13"/>
      <c r="BI79" s="13"/>
      <c r="BJ79" s="13"/>
      <c r="BK79" s="13"/>
      <c r="BL79" s="13"/>
      <c r="BM79" s="1"/>
      <c r="BN79" s="1"/>
      <c r="BT79" s="526"/>
      <c r="BU79" s="528"/>
      <c r="BV79" s="761"/>
      <c r="BW79" s="3"/>
      <c r="BX79" s="3"/>
      <c r="BY79" s="3"/>
      <c r="BZ79" s="3"/>
      <c r="CA79" s="3"/>
      <c r="CB79" s="3"/>
      <c r="CC79" s="3"/>
      <c r="CD79" s="3"/>
      <c r="CE79" s="3"/>
      <c r="CF79" s="3"/>
      <c r="CL79" s="1"/>
      <c r="CM79" s="1"/>
      <c r="CQ79" s="8"/>
      <c r="CV79" s="21"/>
      <c r="CW79" s="21"/>
      <c r="DA79" s="22"/>
      <c r="DB79" s="22"/>
    </row>
    <row r="80" spans="51:106" ht="15.95" customHeight="1">
      <c r="BM80" s="1"/>
      <c r="BN80" s="1"/>
      <c r="CG80" s="583" t="s">
        <v>400</v>
      </c>
      <c r="CH80" s="594"/>
      <c r="CI80" s="594"/>
      <c r="CJ80" s="594"/>
      <c r="CK80" s="584"/>
      <c r="CL80" s="427">
        <f>BN6</f>
        <v>118</v>
      </c>
      <c r="CM80" s="428"/>
      <c r="CX80" s="21"/>
      <c r="CY80" s="21"/>
      <c r="DA80" s="22"/>
      <c r="DB80" s="22"/>
    </row>
    <row r="81" spans="60:106" ht="15.95" customHeight="1">
      <c r="BH81" s="23"/>
      <c r="BI81" s="23"/>
      <c r="BJ81" s="23"/>
      <c r="BK81" s="23"/>
      <c r="BL81" s="23"/>
      <c r="BM81" s="14"/>
      <c r="BN81" s="1"/>
      <c r="CG81" s="529"/>
      <c r="CH81" s="530"/>
      <c r="CI81" s="530"/>
      <c r="CJ81" s="530"/>
      <c r="CK81" s="531"/>
      <c r="CL81" s="429"/>
      <c r="CM81" s="430"/>
    </row>
    <row r="82" spans="60:106" ht="15.95" customHeight="1">
      <c r="BH82" s="23"/>
      <c r="BI82" s="23"/>
      <c r="BJ82" s="23"/>
      <c r="BK82" s="23"/>
      <c r="BL82" s="23"/>
      <c r="BM82" s="1"/>
      <c r="BN82" s="1"/>
      <c r="CG82" s="529" t="s">
        <v>141</v>
      </c>
      <c r="CH82" s="530"/>
      <c r="CI82" s="530"/>
      <c r="CJ82" s="530"/>
      <c r="CK82" s="531"/>
      <c r="CL82" s="532">
        <f>BN8</f>
        <v>93.17</v>
      </c>
      <c r="CM82" s="430"/>
      <c r="CP82" s="20"/>
      <c r="CQ82" s="20"/>
      <c r="CR82" s="20"/>
      <c r="CS82" s="20"/>
      <c r="CT82" s="20"/>
      <c r="CU82" s="20"/>
      <c r="CV82" s="20"/>
      <c r="CW82" s="20"/>
      <c r="CX82" s="20"/>
      <c r="CY82" s="20"/>
    </row>
    <row r="83" spans="60:106" ht="15.95" customHeight="1">
      <c r="BH83" s="23"/>
      <c r="BI83" s="23"/>
      <c r="BJ83" s="23"/>
      <c r="BK83" s="23"/>
      <c r="BL83" s="23"/>
      <c r="BM83" s="14"/>
      <c r="BN83" s="1"/>
      <c r="CG83" s="529"/>
      <c r="CH83" s="530"/>
      <c r="CI83" s="530"/>
      <c r="CJ83" s="530"/>
      <c r="CK83" s="531"/>
      <c r="CL83" s="429"/>
      <c r="CM83" s="430"/>
      <c r="CQ83" s="8"/>
      <c r="CV83" s="21"/>
      <c r="CW83" s="21"/>
      <c r="DA83" s="22"/>
      <c r="DB83" s="22"/>
    </row>
    <row r="84" spans="60:106" ht="15.95" customHeight="1">
      <c r="BH84" s="23"/>
      <c r="BI84" s="23"/>
      <c r="BJ84" s="23"/>
      <c r="BK84" s="23"/>
      <c r="BL84" s="23"/>
      <c r="BM84" s="1"/>
      <c r="BN84" s="1"/>
      <c r="CG84" s="529" t="s">
        <v>287</v>
      </c>
      <c r="CH84" s="530"/>
      <c r="CI84" s="530"/>
      <c r="CJ84" s="530"/>
      <c r="CK84" s="531"/>
      <c r="CL84" s="532"/>
      <c r="CM84" s="430"/>
      <c r="CX84" s="21"/>
      <c r="CY84" s="21"/>
      <c r="DA84" s="22"/>
      <c r="DB84" s="22"/>
    </row>
    <row r="85" spans="60:106" ht="15.95" customHeight="1">
      <c r="BH85" s="23"/>
      <c r="BI85" s="23"/>
      <c r="BJ85" s="23"/>
      <c r="BK85" s="23"/>
      <c r="BL85" s="23"/>
      <c r="BM85" s="14"/>
      <c r="BN85" s="1"/>
      <c r="CG85" s="529"/>
      <c r="CH85" s="530"/>
      <c r="CI85" s="530"/>
      <c r="CJ85" s="530"/>
      <c r="CK85" s="531"/>
      <c r="CL85" s="429"/>
      <c r="CM85" s="430"/>
    </row>
    <row r="86" spans="60:106" ht="15.95" customHeight="1">
      <c r="BH86" s="23"/>
      <c r="BI86" s="23"/>
      <c r="BJ86" s="23"/>
      <c r="BK86" s="23"/>
      <c r="BL86" s="23"/>
      <c r="BM86" s="1"/>
      <c r="BN86" s="1"/>
      <c r="CG86" s="529" t="s">
        <v>341</v>
      </c>
      <c r="CH86" s="530"/>
      <c r="CI86" s="530"/>
      <c r="CJ86" s="530"/>
      <c r="CK86" s="531"/>
      <c r="CL86" s="532"/>
      <c r="CM86" s="430"/>
      <c r="CP86" s="20"/>
      <c r="CQ86" s="20"/>
      <c r="CR86" s="20"/>
      <c r="CS86" s="20"/>
      <c r="CT86" s="20"/>
      <c r="CU86" s="20"/>
      <c r="CV86" s="20"/>
      <c r="CW86" s="20"/>
      <c r="CX86" s="20"/>
      <c r="CY86" s="20"/>
    </row>
    <row r="87" spans="60:106" ht="15.95" customHeight="1">
      <c r="BH87" s="23"/>
      <c r="BI87" s="23"/>
      <c r="BJ87" s="23"/>
      <c r="BK87" s="23"/>
      <c r="BL87" s="23"/>
      <c r="BM87" s="14"/>
      <c r="BN87" s="1"/>
      <c r="CG87" s="529"/>
      <c r="CH87" s="530"/>
      <c r="CI87" s="530"/>
      <c r="CJ87" s="530"/>
      <c r="CK87" s="531"/>
      <c r="CL87" s="429"/>
      <c r="CM87" s="430"/>
      <c r="CQ87" s="8"/>
      <c r="CV87" s="21"/>
      <c r="CW87" s="21"/>
      <c r="DA87" s="22"/>
      <c r="DB87" s="22"/>
    </row>
    <row r="88" spans="60:106" ht="15.95" customHeight="1">
      <c r="BH88" s="23"/>
      <c r="BI88" s="23"/>
      <c r="BJ88" s="23"/>
      <c r="BK88" s="23"/>
      <c r="BL88" s="23"/>
      <c r="BM88" s="1"/>
      <c r="BN88" s="1"/>
      <c r="CG88" s="529" t="s">
        <v>343</v>
      </c>
      <c r="CH88" s="530"/>
      <c r="CI88" s="530"/>
      <c r="CJ88" s="530"/>
      <c r="CK88" s="531"/>
      <c r="CL88" s="532"/>
      <c r="CM88" s="430"/>
      <c r="CR88" s="24"/>
      <c r="CS88" s="24"/>
      <c r="CT88" s="24"/>
      <c r="CU88" s="24"/>
      <c r="CX88" s="21"/>
      <c r="CY88" s="21"/>
      <c r="DA88" s="22"/>
      <c r="DB88" s="22"/>
    </row>
    <row r="89" spans="60:106" ht="15.95" customHeight="1">
      <c r="BH89" s="23"/>
      <c r="BI89" s="23"/>
      <c r="BJ89" s="23"/>
      <c r="BK89" s="23"/>
      <c r="BL89" s="23"/>
      <c r="BM89" s="14"/>
      <c r="BN89" s="1"/>
      <c r="CG89" s="529"/>
      <c r="CH89" s="530"/>
      <c r="CI89" s="530"/>
      <c r="CJ89" s="530"/>
      <c r="CK89" s="531"/>
      <c r="CL89" s="429"/>
      <c r="CM89" s="430"/>
    </row>
    <row r="90" spans="60:106" ht="15.95" customHeight="1">
      <c r="BH90" s="23"/>
      <c r="BI90" s="23"/>
      <c r="BJ90" s="23"/>
      <c r="BK90" s="23"/>
      <c r="BL90" s="23"/>
      <c r="BM90" s="1"/>
      <c r="BN90" s="1"/>
      <c r="CG90" s="529" t="s">
        <v>345</v>
      </c>
      <c r="CH90" s="530"/>
      <c r="CI90" s="530"/>
      <c r="CJ90" s="530"/>
      <c r="CK90" s="531"/>
      <c r="CL90" s="532"/>
      <c r="CM90" s="600"/>
      <c r="CP90" s="20"/>
      <c r="CQ90" s="20"/>
      <c r="CR90" s="20"/>
      <c r="CS90" s="20"/>
      <c r="CT90" s="20"/>
      <c r="CU90" s="20"/>
      <c r="CV90" s="20"/>
      <c r="CW90" s="20"/>
      <c r="CX90" s="20"/>
      <c r="CY90" s="20"/>
    </row>
    <row r="91" spans="60:106" ht="15.95" customHeight="1" thickBot="1">
      <c r="BH91" s="23"/>
      <c r="BI91" s="23"/>
      <c r="BJ91" s="23"/>
      <c r="BK91" s="23"/>
      <c r="BL91" s="23"/>
      <c r="BM91" s="14"/>
      <c r="BN91" s="14"/>
      <c r="CG91" s="585"/>
      <c r="CH91" s="595"/>
      <c r="CI91" s="595"/>
      <c r="CJ91" s="595"/>
      <c r="CK91" s="586"/>
      <c r="CL91" s="601"/>
      <c r="CM91" s="602"/>
      <c r="CQ91" s="8"/>
      <c r="CV91" s="21"/>
      <c r="CW91" s="21"/>
      <c r="DA91" s="22"/>
      <c r="DB91" s="22"/>
    </row>
    <row r="92" spans="60:106" ht="15.95" customHeight="1">
      <c r="BH92" s="23"/>
      <c r="BI92" s="23"/>
      <c r="BJ92" s="23"/>
      <c r="BK92" s="23"/>
      <c r="BL92" s="23"/>
      <c r="BM92" s="14"/>
      <c r="BN92" s="14"/>
      <c r="CG92" s="617" t="s">
        <v>145</v>
      </c>
      <c r="CH92" s="618"/>
      <c r="CI92" s="618"/>
      <c r="CJ92" s="618"/>
      <c r="CK92" s="619"/>
      <c r="CL92" s="623">
        <f>SUM(CL80:CM91)</f>
        <v>211.17000000000002</v>
      </c>
      <c r="CM92" s="624"/>
      <c r="CX92" s="21"/>
      <c r="CY92" s="21"/>
      <c r="DA92" s="22"/>
      <c r="DB92" s="22"/>
    </row>
    <row r="93" spans="60:106" ht="15.95" customHeight="1" thickBot="1">
      <c r="BH93" s="13"/>
      <c r="BI93" s="13"/>
      <c r="BJ93" s="13"/>
      <c r="BK93" s="13"/>
      <c r="BL93" s="13"/>
      <c r="BM93" s="14"/>
      <c r="BN93" s="1"/>
      <c r="CG93" s="620"/>
      <c r="CH93" s="621"/>
      <c r="CI93" s="621"/>
      <c r="CJ93" s="621"/>
      <c r="CK93" s="622"/>
      <c r="CL93" s="625"/>
      <c r="CM93" s="626"/>
    </row>
    <row r="94" spans="60:106" ht="15.95" customHeight="1" thickBot="1">
      <c r="BH94" s="13"/>
      <c r="BI94" s="13"/>
      <c r="BJ94" s="13"/>
      <c r="BK94" s="13"/>
      <c r="BL94" s="13"/>
      <c r="BM94" s="1"/>
      <c r="BN94" s="1"/>
      <c r="CL94" s="1"/>
      <c r="CM94" s="1"/>
      <c r="CP94" s="20"/>
      <c r="CQ94" s="20"/>
      <c r="CR94" s="20"/>
      <c r="CS94" s="20"/>
      <c r="CT94" s="20"/>
      <c r="CU94" s="20"/>
      <c r="CV94" s="20"/>
      <c r="CW94" s="20"/>
      <c r="CX94" s="20"/>
      <c r="CY94" s="20"/>
    </row>
    <row r="95" spans="60:106" ht="15.95" customHeight="1">
      <c r="BM95" s="1"/>
      <c r="BN95" s="1"/>
      <c r="CG95" s="628" t="s">
        <v>295</v>
      </c>
      <c r="CH95" s="629"/>
      <c r="CI95" s="629"/>
      <c r="CJ95" s="629"/>
      <c r="CK95" s="630"/>
      <c r="CL95" s="634">
        <f>CL77-CL92</f>
        <v>282.83</v>
      </c>
      <c r="CM95" s="635"/>
      <c r="CQ95" s="8"/>
      <c r="CV95" s="21"/>
      <c r="CW95" s="21"/>
      <c r="DA95" s="22"/>
      <c r="DB95" s="22"/>
    </row>
    <row r="96" spans="60:106" ht="15.95" customHeight="1" thickBot="1">
      <c r="BH96" s="13"/>
      <c r="BI96" s="13"/>
      <c r="BJ96" s="13"/>
      <c r="BK96" s="13"/>
      <c r="BL96" s="13"/>
      <c r="BM96" s="14"/>
      <c r="BN96" s="1"/>
      <c r="CG96" s="631"/>
      <c r="CH96" s="632"/>
      <c r="CI96" s="632"/>
      <c r="CJ96" s="632"/>
      <c r="CK96" s="633"/>
      <c r="CL96" s="636"/>
      <c r="CM96" s="637"/>
      <c r="CX96" s="21"/>
      <c r="CY96" s="21"/>
      <c r="DA96" s="22"/>
      <c r="DB96" s="22"/>
    </row>
    <row r="97" spans="60:106" ht="15.95" customHeight="1">
      <c r="BH97" s="13"/>
      <c r="BI97" s="13"/>
      <c r="BJ97" s="13"/>
      <c r="BK97" s="13"/>
      <c r="BL97" s="13"/>
      <c r="BM97" s="1"/>
      <c r="BN97" s="1"/>
    </row>
    <row r="98" spans="60:106" ht="15.95" customHeight="1">
      <c r="CP98" s="20"/>
      <c r="CQ98" s="20"/>
      <c r="CR98" s="20"/>
      <c r="CS98" s="20"/>
      <c r="CT98" s="20"/>
      <c r="CU98" s="20"/>
      <c r="CV98" s="20"/>
      <c r="CW98" s="20"/>
      <c r="CX98" s="20"/>
      <c r="CY98" s="20"/>
    </row>
    <row r="99" spans="60:106" ht="15.95" customHeight="1">
      <c r="CQ99" s="8"/>
      <c r="CV99" s="21"/>
      <c r="CW99" s="21"/>
      <c r="DA99" s="22"/>
      <c r="DB99" s="22"/>
    </row>
    <row r="100" spans="60:106" ht="15.95" customHeight="1">
      <c r="CG100" s="13"/>
      <c r="CH100" s="13"/>
      <c r="CI100" s="13"/>
      <c r="CJ100" s="13"/>
      <c r="CK100" s="13"/>
      <c r="CL100" s="14"/>
      <c r="CM100" s="1"/>
      <c r="CX100" s="21"/>
      <c r="CY100" s="21"/>
      <c r="DA100" s="22"/>
      <c r="DB100" s="22"/>
    </row>
    <row r="101" spans="60:106" ht="15.95" customHeight="1">
      <c r="CG101" s="13"/>
      <c r="CH101" s="13"/>
      <c r="CI101" s="13"/>
      <c r="CJ101" s="13"/>
      <c r="CK101" s="13"/>
      <c r="CL101" s="1"/>
      <c r="CM101" s="1"/>
    </row>
    <row r="102" spans="60:106" ht="15.95" customHeight="1">
      <c r="CL102" s="1"/>
      <c r="CM102" s="1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</row>
    <row r="103" spans="60:106" ht="15.95" customHeight="1">
      <c r="CG103" s="13"/>
      <c r="CH103" s="13"/>
      <c r="CI103" s="13"/>
      <c r="CJ103" s="13"/>
      <c r="CK103" s="13"/>
      <c r="CL103" s="14"/>
      <c r="CM103" s="1"/>
      <c r="CQ103" s="8"/>
      <c r="CV103" s="21"/>
      <c r="CW103" s="21"/>
      <c r="DA103" s="22"/>
      <c r="DB103" s="22"/>
    </row>
    <row r="104" spans="60:106" ht="15.95" customHeight="1">
      <c r="CG104" s="13"/>
      <c r="CH104" s="13"/>
      <c r="CI104" s="13"/>
      <c r="CJ104" s="13"/>
      <c r="CK104" s="13"/>
      <c r="CL104" s="1"/>
      <c r="CM104" s="1"/>
      <c r="CX104" s="21"/>
      <c r="CY104" s="21"/>
      <c r="DA104" s="22"/>
      <c r="DB104" s="22"/>
    </row>
    <row r="106" spans="60:106" ht="15.95" customHeight="1"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</row>
    <row r="107" spans="60:106" ht="15.95" customHeight="1">
      <c r="CQ107" s="8"/>
      <c r="CV107" s="21"/>
      <c r="CW107" s="21"/>
      <c r="DA107" s="22"/>
      <c r="DB107" s="22"/>
    </row>
    <row r="108" spans="60:106" ht="15.95" customHeight="1">
      <c r="CR108" s="25"/>
      <c r="CS108" s="25"/>
      <c r="CT108" s="25"/>
      <c r="CU108" s="25"/>
      <c r="CX108" s="21"/>
      <c r="CY108" s="21"/>
      <c r="DA108" s="22"/>
      <c r="DB108" s="22"/>
    </row>
    <row r="110" spans="60:106" ht="15.95" customHeight="1">
      <c r="DA110" s="5"/>
      <c r="DB110" s="5"/>
    </row>
    <row r="111" spans="60:106" ht="15.95" customHeight="1">
      <c r="DA111" s="5"/>
      <c r="DB111" s="5"/>
    </row>
  </sheetData>
  <mergeCells count="868">
    <mergeCell ref="CG90:CK91"/>
    <mergeCell ref="CL90:CM91"/>
    <mergeCell ref="CG92:CK93"/>
    <mergeCell ref="CL92:CM93"/>
    <mergeCell ref="CG95:CK96"/>
    <mergeCell ref="CL95:CM96"/>
    <mergeCell ref="CG84:CK85"/>
    <mergeCell ref="CL84:CM85"/>
    <mergeCell ref="CG86:CK87"/>
    <mergeCell ref="CL86:CM87"/>
    <mergeCell ref="CG88:CK89"/>
    <mergeCell ref="CL88:CM89"/>
    <mergeCell ref="BT78:BU79"/>
    <mergeCell ref="BV78:BV79"/>
    <mergeCell ref="CG80:CK81"/>
    <mergeCell ref="CL80:CM81"/>
    <mergeCell ref="CG82:CK83"/>
    <mergeCell ref="CL82:CM83"/>
    <mergeCell ref="CB74:CB75"/>
    <mergeCell ref="CC74:CC75"/>
    <mergeCell ref="CD74:CD75"/>
    <mergeCell ref="CJ74:CJ75"/>
    <mergeCell ref="CG77:CK78"/>
    <mergeCell ref="CL77:CM78"/>
    <mergeCell ref="CI72:CI73"/>
    <mergeCell ref="CJ72:CJ73"/>
    <mergeCell ref="CK72:CK73"/>
    <mergeCell ref="BT74:BU75"/>
    <mergeCell ref="BV74:BV75"/>
    <mergeCell ref="BW74:BW75"/>
    <mergeCell ref="BX74:BX75"/>
    <mergeCell ref="BY74:BY75"/>
    <mergeCell ref="BZ74:BZ75"/>
    <mergeCell ref="CA74:CA75"/>
    <mergeCell ref="BZ72:BZ73"/>
    <mergeCell ref="CA72:CA73"/>
    <mergeCell ref="CB72:CB73"/>
    <mergeCell ref="CC72:CC73"/>
    <mergeCell ref="CD72:CD73"/>
    <mergeCell ref="CE72:CE73"/>
    <mergeCell ref="BT72:BU73"/>
    <mergeCell ref="BV72:BV73"/>
    <mergeCell ref="BW72:BW73"/>
    <mergeCell ref="BX72:BX73"/>
    <mergeCell ref="BY72:BY73"/>
    <mergeCell ref="BZ69:BZ70"/>
    <mergeCell ref="CA69:CA70"/>
    <mergeCell ref="CB69:CB70"/>
    <mergeCell ref="CC69:CC70"/>
    <mergeCell ref="CK67:CL68"/>
    <mergeCell ref="CM67:CM68"/>
    <mergeCell ref="BR69:BU70"/>
    <mergeCell ref="BV69:BV70"/>
    <mergeCell ref="BW69:BW70"/>
    <mergeCell ref="BX69:BX70"/>
    <mergeCell ref="BY69:BY70"/>
    <mergeCell ref="BZ67:BZ68"/>
    <mergeCell ref="CA67:CA68"/>
    <mergeCell ref="CB67:CB68"/>
    <mergeCell ref="CC67:CC68"/>
    <mergeCell ref="CD67:CD68"/>
    <mergeCell ref="CE67:CE68"/>
    <mergeCell ref="CF69:CH70"/>
    <mergeCell ref="CI69:CI70"/>
    <mergeCell ref="CJ69:CJ70"/>
    <mergeCell ref="CK69:CL70"/>
    <mergeCell ref="CM69:CM70"/>
    <mergeCell ref="CD69:CD70"/>
    <mergeCell ref="CE69:CE70"/>
    <mergeCell ref="CI65:CI66"/>
    <mergeCell ref="CJ65:CJ66"/>
    <mergeCell ref="CK65:CL66"/>
    <mergeCell ref="CM65:CM66"/>
    <mergeCell ref="BR67:BU68"/>
    <mergeCell ref="BV67:BV68"/>
    <mergeCell ref="BW67:BW68"/>
    <mergeCell ref="BX67:BX68"/>
    <mergeCell ref="BY67:BY68"/>
    <mergeCell ref="CA65:CA66"/>
    <mergeCell ref="CB65:CB66"/>
    <mergeCell ref="CC65:CC66"/>
    <mergeCell ref="CD65:CD66"/>
    <mergeCell ref="CE65:CE66"/>
    <mergeCell ref="CF65:CH66"/>
    <mergeCell ref="BR65:BU66"/>
    <mergeCell ref="BV65:BV66"/>
    <mergeCell ref="BW65:BW66"/>
    <mergeCell ref="BX65:BX66"/>
    <mergeCell ref="BY65:BY66"/>
    <mergeCell ref="BZ65:BZ66"/>
    <mergeCell ref="CF67:CH68"/>
    <mergeCell ref="CI67:CI68"/>
    <mergeCell ref="CJ67:CJ68"/>
    <mergeCell ref="CM63:CM64"/>
    <mergeCell ref="CD63:CD64"/>
    <mergeCell ref="CE63:CE64"/>
    <mergeCell ref="CF63:CH64"/>
    <mergeCell ref="CI63:CI64"/>
    <mergeCell ref="CJ63:CJ64"/>
    <mergeCell ref="CK63:CL64"/>
    <mergeCell ref="BR63:BU64"/>
    <mergeCell ref="BV63:BV64"/>
    <mergeCell ref="BW63:BW64"/>
    <mergeCell ref="BX63:BX64"/>
    <mergeCell ref="BY63:BY64"/>
    <mergeCell ref="BZ63:BZ64"/>
    <mergeCell ref="CA63:CA64"/>
    <mergeCell ref="CB63:CB64"/>
    <mergeCell ref="CC63:CC64"/>
    <mergeCell ref="CI61:CI62"/>
    <mergeCell ref="CJ61:CJ62"/>
    <mergeCell ref="CK61:CL62"/>
    <mergeCell ref="CM61:CM62"/>
    <mergeCell ref="CA61:CA62"/>
    <mergeCell ref="CB61:CB62"/>
    <mergeCell ref="CC61:CC62"/>
    <mergeCell ref="CD61:CD62"/>
    <mergeCell ref="CE61:CE62"/>
    <mergeCell ref="CF61:CH62"/>
    <mergeCell ref="CJ59:CJ60"/>
    <mergeCell ref="CK59:CL60"/>
    <mergeCell ref="CM59:CM60"/>
    <mergeCell ref="CB59:CB60"/>
    <mergeCell ref="CC59:CC60"/>
    <mergeCell ref="CD59:CD60"/>
    <mergeCell ref="CE59:CE60"/>
    <mergeCell ref="CF59:CH60"/>
    <mergeCell ref="CI59:CI60"/>
    <mergeCell ref="BY57:BY58"/>
    <mergeCell ref="BZ57:BZ58"/>
    <mergeCell ref="CA57:CA58"/>
    <mergeCell ref="CB57:CB58"/>
    <mergeCell ref="CC57:CC58"/>
    <mergeCell ref="CD57:CD58"/>
    <mergeCell ref="BR61:BU62"/>
    <mergeCell ref="BV61:BV62"/>
    <mergeCell ref="BW61:BW62"/>
    <mergeCell ref="BX61:BX62"/>
    <mergeCell ref="BY61:BY62"/>
    <mergeCell ref="BZ61:BZ62"/>
    <mergeCell ref="BR59:BU60"/>
    <mergeCell ref="BV59:BV60"/>
    <mergeCell ref="BW59:BW60"/>
    <mergeCell ref="BX59:BX60"/>
    <mergeCell ref="BY59:BY60"/>
    <mergeCell ref="BZ59:BZ60"/>
    <mergeCell ref="CA59:CA60"/>
    <mergeCell ref="CJ55:CJ56"/>
    <mergeCell ref="CK55:CL56"/>
    <mergeCell ref="CM55:CM56"/>
    <mergeCell ref="CB55:CB56"/>
    <mergeCell ref="CC55:CC56"/>
    <mergeCell ref="CD55:CD56"/>
    <mergeCell ref="CA55:CA56"/>
    <mergeCell ref="CE57:CE58"/>
    <mergeCell ref="CF57:CH58"/>
    <mergeCell ref="CI57:CI58"/>
    <mergeCell ref="CJ57:CJ58"/>
    <mergeCell ref="CK57:CL58"/>
    <mergeCell ref="CM57:CM58"/>
    <mergeCell ref="AX50:AX51"/>
    <mergeCell ref="AY50:BA51"/>
    <mergeCell ref="BB50:BB51"/>
    <mergeCell ref="BC50:BC51"/>
    <mergeCell ref="BR55:BU56"/>
    <mergeCell ref="BV55:BV56"/>
    <mergeCell ref="BW55:BW56"/>
    <mergeCell ref="BX55:BX56"/>
    <mergeCell ref="BY55:BY56"/>
    <mergeCell ref="AY54:BA55"/>
    <mergeCell ref="BB54:BB55"/>
    <mergeCell ref="BC54:BC55"/>
    <mergeCell ref="BD54:BD55"/>
    <mergeCell ref="BE54:BE55"/>
    <mergeCell ref="BF54:BF55"/>
    <mergeCell ref="BD52:BD53"/>
    <mergeCell ref="BE52:BE53"/>
    <mergeCell ref="BF52:BF53"/>
    <mergeCell ref="BE56:BE57"/>
    <mergeCell ref="BF56:BF57"/>
    <mergeCell ref="BR57:BU58"/>
    <mergeCell ref="BV57:BV58"/>
    <mergeCell ref="BW57:BW58"/>
    <mergeCell ref="BX57:BX58"/>
    <mergeCell ref="CJ53:CJ54"/>
    <mergeCell ref="CK53:CL54"/>
    <mergeCell ref="CM53:CM54"/>
    <mergeCell ref="BR51:BU52"/>
    <mergeCell ref="BV51:BV52"/>
    <mergeCell ref="BY51:BY52"/>
    <mergeCell ref="AL54:AL55"/>
    <mergeCell ref="AM54:AO55"/>
    <mergeCell ref="AP54:AP55"/>
    <mergeCell ref="AQ54:AQ55"/>
    <mergeCell ref="AR54:AR55"/>
    <mergeCell ref="AS54:AS55"/>
    <mergeCell ref="AX54:AX55"/>
    <mergeCell ref="BR53:BU54"/>
    <mergeCell ref="BV53:BV54"/>
    <mergeCell ref="BW53:BW54"/>
    <mergeCell ref="BX53:BX54"/>
    <mergeCell ref="BY53:BY54"/>
    <mergeCell ref="BZ53:BZ54"/>
    <mergeCell ref="CA53:CA54"/>
    <mergeCell ref="CB53:CB54"/>
    <mergeCell ref="CC53:CC54"/>
    <mergeCell ref="BB52:BB53"/>
    <mergeCell ref="BC52:BC53"/>
    <mergeCell ref="CD53:CD54"/>
    <mergeCell ref="CE53:CE54"/>
    <mergeCell ref="CF53:CH54"/>
    <mergeCell ref="CI53:CI54"/>
    <mergeCell ref="CA51:CA52"/>
    <mergeCell ref="CB51:CB52"/>
    <mergeCell ref="BW51:BW52"/>
    <mergeCell ref="BX51:BX52"/>
    <mergeCell ref="CI55:CI56"/>
    <mergeCell ref="CI51:CI52"/>
    <mergeCell ref="BZ51:BZ52"/>
    <mergeCell ref="BZ55:BZ56"/>
    <mergeCell ref="AL50:AL51"/>
    <mergeCell ref="AM50:AO51"/>
    <mergeCell ref="CE55:CE56"/>
    <mergeCell ref="CF55:CH56"/>
    <mergeCell ref="AP50:AP51"/>
    <mergeCell ref="AQ50:AQ51"/>
    <mergeCell ref="AR50:AR51"/>
    <mergeCell ref="AS50:AS51"/>
    <mergeCell ref="CA49:CA50"/>
    <mergeCell ref="CB49:CB50"/>
    <mergeCell ref="CC49:CC50"/>
    <mergeCell ref="CD49:CD50"/>
    <mergeCell ref="CE49:CE50"/>
    <mergeCell ref="CF49:CH50"/>
    <mergeCell ref="BF48:BF49"/>
    <mergeCell ref="AL52:AL53"/>
    <mergeCell ref="AM52:AO53"/>
    <mergeCell ref="AP52:AP53"/>
    <mergeCell ref="AQ52:AQ53"/>
    <mergeCell ref="AR52:AR53"/>
    <mergeCell ref="AS52:AS53"/>
    <mergeCell ref="AX52:AX53"/>
    <mergeCell ref="AY52:BA53"/>
    <mergeCell ref="AX48:AX49"/>
    <mergeCell ref="CK51:CL52"/>
    <mergeCell ref="CM51:CM52"/>
    <mergeCell ref="BR49:BU50"/>
    <mergeCell ref="BV49:BV50"/>
    <mergeCell ref="BW49:BW50"/>
    <mergeCell ref="BX49:BX50"/>
    <mergeCell ref="BY49:BY50"/>
    <mergeCell ref="BZ49:BZ50"/>
    <mergeCell ref="CK49:CL50"/>
    <mergeCell ref="CM49:CM50"/>
    <mergeCell ref="AY48:BA49"/>
    <mergeCell ref="BB48:BB49"/>
    <mergeCell ref="BC48:BC49"/>
    <mergeCell ref="BD48:BD49"/>
    <mergeCell ref="BE48:BE49"/>
    <mergeCell ref="BD50:BD51"/>
    <mergeCell ref="BE50:BE51"/>
    <mergeCell ref="CI49:CI50"/>
    <mergeCell ref="CJ49:CJ50"/>
    <mergeCell ref="CC51:CC52"/>
    <mergeCell ref="CD51:CD52"/>
    <mergeCell ref="CE51:CE52"/>
    <mergeCell ref="CF51:CH52"/>
    <mergeCell ref="BF50:BF51"/>
    <mergeCell ref="CJ47:CJ48"/>
    <mergeCell ref="CJ51:CJ52"/>
    <mergeCell ref="BD46:BD47"/>
    <mergeCell ref="BE46:BE47"/>
    <mergeCell ref="BF46:BF47"/>
    <mergeCell ref="BR47:BU48"/>
    <mergeCell ref="BV47:BV48"/>
    <mergeCell ref="BW47:BW48"/>
    <mergeCell ref="BX47:BX48"/>
    <mergeCell ref="CE45:CE46"/>
    <mergeCell ref="AL48:AL49"/>
    <mergeCell ref="AM48:AO49"/>
    <mergeCell ref="AP48:AP49"/>
    <mergeCell ref="AQ48:AQ49"/>
    <mergeCell ref="AR48:AR49"/>
    <mergeCell ref="AS48:AS49"/>
    <mergeCell ref="CE47:CE48"/>
    <mergeCell ref="CF47:CH48"/>
    <mergeCell ref="CI47:CI48"/>
    <mergeCell ref="AP46:AP47"/>
    <mergeCell ref="AQ46:AQ47"/>
    <mergeCell ref="AR46:AR47"/>
    <mergeCell ref="AS46:AS47"/>
    <mergeCell ref="BB46:BB47"/>
    <mergeCell ref="BC46:BC47"/>
    <mergeCell ref="CB45:CB46"/>
    <mergeCell ref="CC45:CC46"/>
    <mergeCell ref="CD45:CD46"/>
    <mergeCell ref="AL44:AO47"/>
    <mergeCell ref="AX44:BA47"/>
    <mergeCell ref="BR45:BU46"/>
    <mergeCell ref="BV45:BV46"/>
    <mergeCell ref="BW45:BW46"/>
    <mergeCell ref="BX45:BX46"/>
    <mergeCell ref="CF45:CH46"/>
    <mergeCell ref="BY45:BY46"/>
    <mergeCell ref="BZ45:BZ46"/>
    <mergeCell ref="CA45:CA46"/>
    <mergeCell ref="CF43:CH44"/>
    <mergeCell ref="CI43:CI44"/>
    <mergeCell ref="CK47:CL48"/>
    <mergeCell ref="CM47:CM48"/>
    <mergeCell ref="BY47:BY48"/>
    <mergeCell ref="BZ47:BZ48"/>
    <mergeCell ref="CA47:CA48"/>
    <mergeCell ref="CB47:CB48"/>
    <mergeCell ref="CC47:CC48"/>
    <mergeCell ref="CD47:CD48"/>
    <mergeCell ref="CI45:CI46"/>
    <mergeCell ref="CJ45:CJ46"/>
    <mergeCell ref="CK45:CL46"/>
    <mergeCell ref="CM45:CM46"/>
    <mergeCell ref="CK41:CL42"/>
    <mergeCell ref="CM41:CM42"/>
    <mergeCell ref="BY41:BY42"/>
    <mergeCell ref="BZ41:BZ42"/>
    <mergeCell ref="CA41:CA42"/>
    <mergeCell ref="CB41:CB42"/>
    <mergeCell ref="CC41:CC42"/>
    <mergeCell ref="CD41:CD42"/>
    <mergeCell ref="BR43:BU44"/>
    <mergeCell ref="BV43:BV44"/>
    <mergeCell ref="BW43:BW44"/>
    <mergeCell ref="BX43:BX44"/>
    <mergeCell ref="BY43:BY44"/>
    <mergeCell ref="BZ43:BZ44"/>
    <mergeCell ref="CA43:CA44"/>
    <mergeCell ref="CE41:CE42"/>
    <mergeCell ref="CF41:CH42"/>
    <mergeCell ref="CJ43:CJ44"/>
    <mergeCell ref="CK43:CL44"/>
    <mergeCell ref="CM43:CM44"/>
    <mergeCell ref="CB43:CB44"/>
    <mergeCell ref="CC43:CC44"/>
    <mergeCell ref="CD43:CD44"/>
    <mergeCell ref="CE43:CE44"/>
    <mergeCell ref="BD40:BD41"/>
    <mergeCell ref="BF40:BF41"/>
    <mergeCell ref="BR41:BU42"/>
    <mergeCell ref="BV41:BV42"/>
    <mergeCell ref="BW41:BW42"/>
    <mergeCell ref="BX41:BX42"/>
    <mergeCell ref="CJ39:CJ40"/>
    <mergeCell ref="CK39:CL40"/>
    <mergeCell ref="CM39:CM40"/>
    <mergeCell ref="CB39:CB40"/>
    <mergeCell ref="CC39:CC40"/>
    <mergeCell ref="CD39:CD40"/>
    <mergeCell ref="CE39:CE40"/>
    <mergeCell ref="CF39:CH40"/>
    <mergeCell ref="CI39:CI40"/>
    <mergeCell ref="BR39:BU40"/>
    <mergeCell ref="BV39:BV40"/>
    <mergeCell ref="BW39:BW40"/>
    <mergeCell ref="BX39:BX40"/>
    <mergeCell ref="BY39:BY40"/>
    <mergeCell ref="BZ39:BZ40"/>
    <mergeCell ref="CA39:CA40"/>
    <mergeCell ref="CI41:CI42"/>
    <mergeCell ref="CJ41:CJ42"/>
    <mergeCell ref="BE38:BE39"/>
    <mergeCell ref="BF38:BF39"/>
    <mergeCell ref="CJ37:CJ38"/>
    <mergeCell ref="CK37:CL38"/>
    <mergeCell ref="CM37:CM38"/>
    <mergeCell ref="BW37:BW38"/>
    <mergeCell ref="BX37:BX38"/>
    <mergeCell ref="BY37:BY38"/>
    <mergeCell ref="BZ37:BZ38"/>
    <mergeCell ref="CA37:CA38"/>
    <mergeCell ref="CB37:CB38"/>
    <mergeCell ref="CC37:CC38"/>
    <mergeCell ref="CD37:CD38"/>
    <mergeCell ref="CE37:CE38"/>
    <mergeCell ref="CF37:CH38"/>
    <mergeCell ref="CI37:CI38"/>
    <mergeCell ref="BF34:BF35"/>
    <mergeCell ref="BR35:BU36"/>
    <mergeCell ref="BV35:BV36"/>
    <mergeCell ref="BW35:BW36"/>
    <mergeCell ref="BX35:BX36"/>
    <mergeCell ref="BY35:BY36"/>
    <mergeCell ref="AL38:AL39"/>
    <mergeCell ref="AM38:AO39"/>
    <mergeCell ref="AP38:AP39"/>
    <mergeCell ref="AQ38:AQ39"/>
    <mergeCell ref="AR38:AR39"/>
    <mergeCell ref="AS38:AS39"/>
    <mergeCell ref="AX38:AX39"/>
    <mergeCell ref="BR37:BU38"/>
    <mergeCell ref="BV37:BV38"/>
    <mergeCell ref="BB36:BB37"/>
    <mergeCell ref="BC36:BC37"/>
    <mergeCell ref="BD36:BD37"/>
    <mergeCell ref="BE36:BE37"/>
    <mergeCell ref="BF36:BF37"/>
    <mergeCell ref="AY38:BA39"/>
    <mergeCell ref="BB38:BB39"/>
    <mergeCell ref="BC38:BC39"/>
    <mergeCell ref="BD38:BD39"/>
    <mergeCell ref="BC34:BC35"/>
    <mergeCell ref="AL36:AL37"/>
    <mergeCell ref="AM36:AO37"/>
    <mergeCell ref="AP36:AP37"/>
    <mergeCell ref="AQ36:AQ37"/>
    <mergeCell ref="AR36:AR37"/>
    <mergeCell ref="AS36:AS37"/>
    <mergeCell ref="AX36:AX37"/>
    <mergeCell ref="AY36:BA37"/>
    <mergeCell ref="CJ35:CJ36"/>
    <mergeCell ref="CK35:CL36"/>
    <mergeCell ref="CM35:CM36"/>
    <mergeCell ref="CA35:CA36"/>
    <mergeCell ref="CB35:CB36"/>
    <mergeCell ref="CC35:CC36"/>
    <mergeCell ref="CD35:CD36"/>
    <mergeCell ref="CE35:CE36"/>
    <mergeCell ref="CF35:CH36"/>
    <mergeCell ref="CI31:CI32"/>
    <mergeCell ref="BD34:BD35"/>
    <mergeCell ref="BE34:BE35"/>
    <mergeCell ref="AL34:AL35"/>
    <mergeCell ref="AM34:AO35"/>
    <mergeCell ref="AP34:AP35"/>
    <mergeCell ref="AQ34:AQ35"/>
    <mergeCell ref="AR34:AR35"/>
    <mergeCell ref="AS34:AS35"/>
    <mergeCell ref="CE33:CE34"/>
    <mergeCell ref="CF33:CH34"/>
    <mergeCell ref="CI33:CI34"/>
    <mergeCell ref="BC32:BC33"/>
    <mergeCell ref="BD32:BD33"/>
    <mergeCell ref="BE32:BE33"/>
    <mergeCell ref="BF32:BF33"/>
    <mergeCell ref="BC30:BC31"/>
    <mergeCell ref="BD30:BD31"/>
    <mergeCell ref="BE30:BE31"/>
    <mergeCell ref="BF30:BF31"/>
    <mergeCell ref="BX29:BX30"/>
    <mergeCell ref="BY29:BY30"/>
    <mergeCell ref="CI35:CI36"/>
    <mergeCell ref="BZ35:BZ36"/>
    <mergeCell ref="CJ33:CJ34"/>
    <mergeCell ref="CK33:CL34"/>
    <mergeCell ref="CM33:CM34"/>
    <mergeCell ref="BY33:BY34"/>
    <mergeCell ref="BZ33:BZ34"/>
    <mergeCell ref="CA33:CA34"/>
    <mergeCell ref="CB33:CB34"/>
    <mergeCell ref="CC33:CC34"/>
    <mergeCell ref="CD33:CD34"/>
    <mergeCell ref="CC29:CC30"/>
    <mergeCell ref="BR33:BU34"/>
    <mergeCell ref="BV33:BV34"/>
    <mergeCell ref="BW33:BW34"/>
    <mergeCell ref="BX33:BX34"/>
    <mergeCell ref="AL32:AL33"/>
    <mergeCell ref="AM32:AO33"/>
    <mergeCell ref="AP32:AP33"/>
    <mergeCell ref="AQ32:AQ33"/>
    <mergeCell ref="AR32:AR33"/>
    <mergeCell ref="AS32:AS33"/>
    <mergeCell ref="AX32:AX33"/>
    <mergeCell ref="AY32:BA33"/>
    <mergeCell ref="BB32:BB33"/>
    <mergeCell ref="BR31:BU32"/>
    <mergeCell ref="BV31:BV32"/>
    <mergeCell ref="AP30:AP31"/>
    <mergeCell ref="AQ30:AQ31"/>
    <mergeCell ref="AR30:AR31"/>
    <mergeCell ref="AS30:AS31"/>
    <mergeCell ref="BB30:BB31"/>
    <mergeCell ref="AX34:AX35"/>
    <mergeCell ref="AY34:BA35"/>
    <mergeCell ref="BB34:BB35"/>
    <mergeCell ref="CJ31:CJ32"/>
    <mergeCell ref="CK31:CL32"/>
    <mergeCell ref="CM31:CM32"/>
    <mergeCell ref="CB31:CB32"/>
    <mergeCell ref="CC31:CC32"/>
    <mergeCell ref="CD31:CD32"/>
    <mergeCell ref="CE31:CE32"/>
    <mergeCell ref="CF31:CH32"/>
    <mergeCell ref="BW27:BW28"/>
    <mergeCell ref="BX27:BX28"/>
    <mergeCell ref="BY27:BY28"/>
    <mergeCell ref="BZ27:BZ28"/>
    <mergeCell ref="BW31:BW32"/>
    <mergeCell ref="BX31:BX32"/>
    <mergeCell ref="BY31:BY32"/>
    <mergeCell ref="BZ31:BZ32"/>
    <mergeCell ref="CA31:CA32"/>
    <mergeCell ref="CM29:CM30"/>
    <mergeCell ref="CD29:CD30"/>
    <mergeCell ref="CE29:CE30"/>
    <mergeCell ref="CF29:CH30"/>
    <mergeCell ref="CI29:CI30"/>
    <mergeCell ref="CJ29:CJ30"/>
    <mergeCell ref="CK29:CL30"/>
    <mergeCell ref="CI25:CI26"/>
    <mergeCell ref="BV25:BV26"/>
    <mergeCell ref="BW25:BW26"/>
    <mergeCell ref="BX25:BX26"/>
    <mergeCell ref="BY25:BY26"/>
    <mergeCell ref="BZ25:BZ26"/>
    <mergeCell ref="CA25:CA26"/>
    <mergeCell ref="AL28:AO31"/>
    <mergeCell ref="AX28:BA31"/>
    <mergeCell ref="BR29:BU30"/>
    <mergeCell ref="BV29:BV30"/>
    <mergeCell ref="BW29:BW30"/>
    <mergeCell ref="CI27:CI28"/>
    <mergeCell ref="BR27:BU28"/>
    <mergeCell ref="BV27:BV28"/>
    <mergeCell ref="AQ24:AQ25"/>
    <mergeCell ref="AR24:AR25"/>
    <mergeCell ref="AT24:AT25"/>
    <mergeCell ref="BE24:BE25"/>
    <mergeCell ref="BF24:BF25"/>
    <mergeCell ref="BR25:BU26"/>
    <mergeCell ref="BZ29:BZ30"/>
    <mergeCell ref="CA29:CA30"/>
    <mergeCell ref="CB29:CB30"/>
    <mergeCell ref="CJ27:CJ28"/>
    <mergeCell ref="CK27:CL28"/>
    <mergeCell ref="CM27:CM28"/>
    <mergeCell ref="CA27:CA28"/>
    <mergeCell ref="CB27:CB28"/>
    <mergeCell ref="CC27:CC28"/>
    <mergeCell ref="CD27:CD28"/>
    <mergeCell ref="CE27:CE28"/>
    <mergeCell ref="CF27:CH28"/>
    <mergeCell ref="CJ25:CJ26"/>
    <mergeCell ref="CK25:CL26"/>
    <mergeCell ref="CM25:CM26"/>
    <mergeCell ref="CB25:CB26"/>
    <mergeCell ref="CC25:CC26"/>
    <mergeCell ref="CD25:CD26"/>
    <mergeCell ref="CE25:CE26"/>
    <mergeCell ref="BR23:BU24"/>
    <mergeCell ref="BV23:BV24"/>
    <mergeCell ref="BW23:BW24"/>
    <mergeCell ref="BX23:BX24"/>
    <mergeCell ref="BY23:BY24"/>
    <mergeCell ref="BZ23:BZ24"/>
    <mergeCell ref="CA23:CA24"/>
    <mergeCell ref="CJ23:CJ24"/>
    <mergeCell ref="CK23:CL24"/>
    <mergeCell ref="CM23:CM24"/>
    <mergeCell ref="CB23:CB24"/>
    <mergeCell ref="CC23:CC24"/>
    <mergeCell ref="CD23:CD24"/>
    <mergeCell ref="CE23:CE24"/>
    <mergeCell ref="CF23:CH24"/>
    <mergeCell ref="CI23:CI24"/>
    <mergeCell ref="CF25:CH26"/>
    <mergeCell ref="AM22:AO23"/>
    <mergeCell ref="AP22:AP23"/>
    <mergeCell ref="AQ22:AQ23"/>
    <mergeCell ref="AR22:AR23"/>
    <mergeCell ref="AS22:AS23"/>
    <mergeCell ref="AT22:AT23"/>
    <mergeCell ref="AX22:AX23"/>
    <mergeCell ref="CC21:CC22"/>
    <mergeCell ref="CD21:CD22"/>
    <mergeCell ref="BW21:BW22"/>
    <mergeCell ref="BX21:BX22"/>
    <mergeCell ref="BY21:BY22"/>
    <mergeCell ref="AS20:AS21"/>
    <mergeCell ref="AT20:AT21"/>
    <mergeCell ref="AX20:AX21"/>
    <mergeCell ref="AY20:BA21"/>
    <mergeCell ref="BZ21:BZ22"/>
    <mergeCell ref="CA21:CA22"/>
    <mergeCell ref="CJ19:CJ20"/>
    <mergeCell ref="CK19:CL20"/>
    <mergeCell ref="CM19:CM20"/>
    <mergeCell ref="CC19:CC20"/>
    <mergeCell ref="CD19:CD20"/>
    <mergeCell ref="CE19:CE20"/>
    <mergeCell ref="CF19:CH20"/>
    <mergeCell ref="CI19:CI20"/>
    <mergeCell ref="CB21:CB22"/>
    <mergeCell ref="CK21:CL22"/>
    <mergeCell ref="CM21:CM22"/>
    <mergeCell ref="CE21:CE22"/>
    <mergeCell ref="CF21:CH22"/>
    <mergeCell ref="CI21:CI22"/>
    <mergeCell ref="CJ21:CJ22"/>
    <mergeCell ref="BB18:BB19"/>
    <mergeCell ref="BC18:BC19"/>
    <mergeCell ref="BD18:BD19"/>
    <mergeCell ref="BZ19:BZ20"/>
    <mergeCell ref="CA19:CA20"/>
    <mergeCell ref="CB19:CB20"/>
    <mergeCell ref="AY22:BA23"/>
    <mergeCell ref="BB22:BB23"/>
    <mergeCell ref="BC22:BC23"/>
    <mergeCell ref="BD22:BD23"/>
    <mergeCell ref="BE22:BE23"/>
    <mergeCell ref="BF22:BF23"/>
    <mergeCell ref="BB20:BB21"/>
    <mergeCell ref="BC20:BC21"/>
    <mergeCell ref="BD20:BD21"/>
    <mergeCell ref="BE20:BE21"/>
    <mergeCell ref="BF20:BF21"/>
    <mergeCell ref="BI21:BM22"/>
    <mergeCell ref="BN21:BO22"/>
    <mergeCell ref="BR21:BU22"/>
    <mergeCell ref="BV21:BV22"/>
    <mergeCell ref="CI17:CI18"/>
    <mergeCell ref="CJ17:CJ18"/>
    <mergeCell ref="CK17:CL18"/>
    <mergeCell ref="CM17:CM18"/>
    <mergeCell ref="CA17:CA18"/>
    <mergeCell ref="CB17:CB18"/>
    <mergeCell ref="CC17:CC18"/>
    <mergeCell ref="BX17:BX18"/>
    <mergeCell ref="BY17:BY18"/>
    <mergeCell ref="BZ17:BZ18"/>
    <mergeCell ref="AL18:AL19"/>
    <mergeCell ref="AM18:AO19"/>
    <mergeCell ref="AP18:AP19"/>
    <mergeCell ref="BR19:BU20"/>
    <mergeCell ref="BV19:BV20"/>
    <mergeCell ref="AL22:AL23"/>
    <mergeCell ref="BW19:BW20"/>
    <mergeCell ref="BX19:BX20"/>
    <mergeCell ref="BY19:BY20"/>
    <mergeCell ref="BE18:BE19"/>
    <mergeCell ref="BF18:BF19"/>
    <mergeCell ref="BI18:BM19"/>
    <mergeCell ref="BN18:BO19"/>
    <mergeCell ref="AQ18:AQ19"/>
    <mergeCell ref="AR18:AR19"/>
    <mergeCell ref="AS18:AS19"/>
    <mergeCell ref="AL20:AL21"/>
    <mergeCell ref="AM20:AO21"/>
    <mergeCell ref="AP20:AP21"/>
    <mergeCell ref="AQ20:AQ21"/>
    <mergeCell ref="AR20:AR21"/>
    <mergeCell ref="AT18:AT19"/>
    <mergeCell ref="AX18:AX19"/>
    <mergeCell ref="AY18:BA19"/>
    <mergeCell ref="AT14:AT15"/>
    <mergeCell ref="BB14:BB15"/>
    <mergeCell ref="BC14:BC15"/>
    <mergeCell ref="BD14:BD15"/>
    <mergeCell ref="CC13:CC14"/>
    <mergeCell ref="CD13:CD14"/>
    <mergeCell ref="CE13:CE14"/>
    <mergeCell ref="CF13:CH14"/>
    <mergeCell ref="BB16:BB17"/>
    <mergeCell ref="BC16:BC17"/>
    <mergeCell ref="BD16:BD17"/>
    <mergeCell ref="BE16:BE17"/>
    <mergeCell ref="BF16:BF17"/>
    <mergeCell ref="BI16:BM17"/>
    <mergeCell ref="CD15:CD16"/>
    <mergeCell ref="CE15:CE16"/>
    <mergeCell ref="CF15:CH16"/>
    <mergeCell ref="CD17:CD18"/>
    <mergeCell ref="CE17:CE18"/>
    <mergeCell ref="CF17:CH18"/>
    <mergeCell ref="BN16:BO17"/>
    <mergeCell ref="BR17:BU18"/>
    <mergeCell ref="BV17:BV18"/>
    <mergeCell ref="BW17:BW18"/>
    <mergeCell ref="CM15:CM16"/>
    <mergeCell ref="BR15:BU16"/>
    <mergeCell ref="BV15:BV16"/>
    <mergeCell ref="BW15:BW16"/>
    <mergeCell ref="BX15:BX16"/>
    <mergeCell ref="BY15:BY16"/>
    <mergeCell ref="BZ15:BZ16"/>
    <mergeCell ref="CA15:CA16"/>
    <mergeCell ref="CB15:CB16"/>
    <mergeCell ref="CC15:CC16"/>
    <mergeCell ref="CI15:CI16"/>
    <mergeCell ref="AL12:AO15"/>
    <mergeCell ref="AX12:BA15"/>
    <mergeCell ref="BI12:BM13"/>
    <mergeCell ref="BN12:BO13"/>
    <mergeCell ref="BR13:BU14"/>
    <mergeCell ref="BV13:BV14"/>
    <mergeCell ref="CJ11:CJ12"/>
    <mergeCell ref="CJ15:CJ16"/>
    <mergeCell ref="CK15:CL16"/>
    <mergeCell ref="AL16:AL17"/>
    <mergeCell ref="AM16:AO17"/>
    <mergeCell ref="AP16:AP17"/>
    <mergeCell ref="AQ16:AQ17"/>
    <mergeCell ref="AR16:AR17"/>
    <mergeCell ref="AS16:AS17"/>
    <mergeCell ref="AT16:AT17"/>
    <mergeCell ref="AX16:AX17"/>
    <mergeCell ref="AY16:BA17"/>
    <mergeCell ref="BE14:BE15"/>
    <mergeCell ref="BF14:BF15"/>
    <mergeCell ref="BI14:BM15"/>
    <mergeCell ref="BN14:BO15"/>
    <mergeCell ref="AR14:AR15"/>
    <mergeCell ref="AS14:AS15"/>
    <mergeCell ref="BZ11:BZ12"/>
    <mergeCell ref="CA11:CA12"/>
    <mergeCell ref="CI13:CI14"/>
    <mergeCell ref="CJ13:CJ14"/>
    <mergeCell ref="BW13:BW14"/>
    <mergeCell ref="BX13:BX14"/>
    <mergeCell ref="BY13:BY14"/>
    <mergeCell ref="BZ13:BZ14"/>
    <mergeCell ref="CA13:CA14"/>
    <mergeCell ref="CB13:CB14"/>
    <mergeCell ref="CK13:CL14"/>
    <mergeCell ref="CM13:CM14"/>
    <mergeCell ref="AP14:AP15"/>
    <mergeCell ref="AQ14:AQ15"/>
    <mergeCell ref="T11:T12"/>
    <mergeCell ref="U11:U12"/>
    <mergeCell ref="V11:V12"/>
    <mergeCell ref="W11:W12"/>
    <mergeCell ref="X11:X12"/>
    <mergeCell ref="BR11:BU12"/>
    <mergeCell ref="BI10:BM11"/>
    <mergeCell ref="BN10:BO11"/>
    <mergeCell ref="CK9:CL10"/>
    <mergeCell ref="CM9:CM10"/>
    <mergeCell ref="CK11:CL12"/>
    <mergeCell ref="CM11:CM12"/>
    <mergeCell ref="CB11:CB12"/>
    <mergeCell ref="CC11:CC12"/>
    <mergeCell ref="CD11:CD12"/>
    <mergeCell ref="CE11:CE12"/>
    <mergeCell ref="CF11:CH12"/>
    <mergeCell ref="CI11:CI12"/>
    <mergeCell ref="BV11:BV12"/>
    <mergeCell ref="BW11:BW12"/>
    <mergeCell ref="I11:I12"/>
    <mergeCell ref="J11:J12"/>
    <mergeCell ref="K11:K12"/>
    <mergeCell ref="L11:L12"/>
    <mergeCell ref="M11:M12"/>
    <mergeCell ref="CE9:CE10"/>
    <mergeCell ref="CF9:CH10"/>
    <mergeCell ref="CI9:CI10"/>
    <mergeCell ref="CJ9:CJ10"/>
    <mergeCell ref="BY9:BY10"/>
    <mergeCell ref="BZ9:BZ10"/>
    <mergeCell ref="CA9:CA10"/>
    <mergeCell ref="CB9:CB10"/>
    <mergeCell ref="CC9:CC10"/>
    <mergeCell ref="CD9:CD10"/>
    <mergeCell ref="S9:S10"/>
    <mergeCell ref="T9:T10"/>
    <mergeCell ref="U9:U10"/>
    <mergeCell ref="V9:V10"/>
    <mergeCell ref="BV9:BV10"/>
    <mergeCell ref="BW9:BW10"/>
    <mergeCell ref="BX9:BX10"/>
    <mergeCell ref="BX11:BX12"/>
    <mergeCell ref="BY11:BY12"/>
    <mergeCell ref="K9:K10"/>
    <mergeCell ref="L9:L10"/>
    <mergeCell ref="M9:M10"/>
    <mergeCell ref="N9:N10"/>
    <mergeCell ref="O9:Q10"/>
    <mergeCell ref="R9:R10"/>
    <mergeCell ref="N7:N8"/>
    <mergeCell ref="O7:Q8"/>
    <mergeCell ref="R7:R8"/>
    <mergeCell ref="K7:K8"/>
    <mergeCell ref="L7:L8"/>
    <mergeCell ref="G7:G8"/>
    <mergeCell ref="H7:H8"/>
    <mergeCell ref="I7:I8"/>
    <mergeCell ref="C9:C10"/>
    <mergeCell ref="D9:F10"/>
    <mergeCell ref="G9:G10"/>
    <mergeCell ref="H9:H10"/>
    <mergeCell ref="I9:I10"/>
    <mergeCell ref="J9:J10"/>
    <mergeCell ref="C7:C8"/>
    <mergeCell ref="D7:F8"/>
    <mergeCell ref="J7:J8"/>
    <mergeCell ref="U7:U8"/>
    <mergeCell ref="V7:V8"/>
    <mergeCell ref="W7:W8"/>
    <mergeCell ref="X7:X8"/>
    <mergeCell ref="BV7:BV8"/>
    <mergeCell ref="BW7:BW8"/>
    <mergeCell ref="M7:M8"/>
    <mergeCell ref="X5:X6"/>
    <mergeCell ref="BV5:BV6"/>
    <mergeCell ref="BW5:BW6"/>
    <mergeCell ref="BI8:BM9"/>
    <mergeCell ref="BN8:BO9"/>
    <mergeCell ref="BR9:BU10"/>
    <mergeCell ref="W9:W10"/>
    <mergeCell ref="X9:X10"/>
    <mergeCell ref="S7:S8"/>
    <mergeCell ref="T7:T8"/>
    <mergeCell ref="CJ7:CJ8"/>
    <mergeCell ref="CK7:CL8"/>
    <mergeCell ref="CM7:CM8"/>
    <mergeCell ref="BD3:BF5"/>
    <mergeCell ref="BI3:BM4"/>
    <mergeCell ref="BN3:BO4"/>
    <mergeCell ref="CF7:CH8"/>
    <mergeCell ref="CI7:CI8"/>
    <mergeCell ref="AL6:AN8"/>
    <mergeCell ref="AO6:AQ8"/>
    <mergeCell ref="AR6:AT8"/>
    <mergeCell ref="AU6:AW8"/>
    <mergeCell ref="BY7:BY8"/>
    <mergeCell ref="BZ7:BZ8"/>
    <mergeCell ref="CA7:CA8"/>
    <mergeCell ref="AL3:AN5"/>
    <mergeCell ref="AO3:AQ5"/>
    <mergeCell ref="AR3:AT5"/>
    <mergeCell ref="CD7:CD8"/>
    <mergeCell ref="CE7:CE8"/>
    <mergeCell ref="BX5:BX6"/>
    <mergeCell ref="BY5:BY6"/>
    <mergeCell ref="CB3:CC4"/>
    <mergeCell ref="CA5:CA6"/>
    <mergeCell ref="C3:F6"/>
    <mergeCell ref="U5:U6"/>
    <mergeCell ref="V5:V6"/>
    <mergeCell ref="G5:G6"/>
    <mergeCell ref="H5:H6"/>
    <mergeCell ref="I5:I6"/>
    <mergeCell ref="J5:J6"/>
    <mergeCell ref="K5:K6"/>
    <mergeCell ref="L5:L6"/>
    <mergeCell ref="M5:M6"/>
    <mergeCell ref="R5:R6"/>
    <mergeCell ref="S5:S6"/>
    <mergeCell ref="G3:M4"/>
    <mergeCell ref="R3:X4"/>
    <mergeCell ref="T5:T6"/>
    <mergeCell ref="W5:W6"/>
    <mergeCell ref="CB5:CB6"/>
    <mergeCell ref="CC5:CC6"/>
    <mergeCell ref="CD5:CD6"/>
    <mergeCell ref="AU3:AW5"/>
    <mergeCell ref="AX3:AZ5"/>
    <mergeCell ref="BA3:BC5"/>
    <mergeCell ref="BZ5:BZ6"/>
    <mergeCell ref="BR3:BU8"/>
    <mergeCell ref="BV3:BW4"/>
    <mergeCell ref="BX3:BY4"/>
    <mergeCell ref="BZ3:CA4"/>
    <mergeCell ref="CB7:CB8"/>
    <mergeCell ref="CC7:CC8"/>
    <mergeCell ref="AX6:AZ8"/>
    <mergeCell ref="BA6:BC8"/>
    <mergeCell ref="BD6:BF8"/>
    <mergeCell ref="BI6:BM7"/>
    <mergeCell ref="BN6:BO7"/>
    <mergeCell ref="BX7:BX8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8D78-CF0C-814D-9495-531CFD6F638D}">
  <sheetPr>
    <tabColor rgb="FF00B0F0"/>
  </sheetPr>
  <dimension ref="C2:CQ96"/>
  <sheetViews>
    <sheetView topLeftCell="AQ8" zoomScale="68" workbookViewId="0">
      <selection activeCell="AR6" sqref="AR6:AS11"/>
    </sheetView>
  </sheetViews>
  <sheetFormatPr defaultColWidth="10.875" defaultRowHeight="15.95" customHeight="1"/>
  <cols>
    <col min="1" max="7" width="10.875" style="63"/>
    <col min="8" max="8" width="10.875" style="63" customWidth="1"/>
    <col min="9" max="11" width="10.875" style="63"/>
    <col min="12" max="13" width="10.875" style="63" customWidth="1"/>
    <col min="14" max="19" width="10.875" style="63"/>
    <col min="20" max="24" width="10.875" style="63" customWidth="1"/>
    <col min="25" max="31" width="10.875" style="63"/>
    <col min="32" max="32" width="15.25" style="63" customWidth="1"/>
    <col min="33" max="34" width="10.875" style="63"/>
    <col min="35" max="36" width="10.875" style="63" customWidth="1"/>
    <col min="37" max="51" width="10.875" style="63"/>
    <col min="52" max="61" width="10.875" style="63" customWidth="1"/>
    <col min="62" max="65" width="10.875" style="63"/>
    <col min="66" max="66" width="12.75" style="63" customWidth="1"/>
    <col min="67" max="68" width="10.875" style="63"/>
    <col min="69" max="69" width="12.25" style="63" bestFit="1" customWidth="1"/>
    <col min="70" max="16384" width="10.875" style="63"/>
  </cols>
  <sheetData>
    <row r="2" spans="3:95" ht="15.95" customHeight="1" thickBot="1"/>
    <row r="3" spans="3:95" ht="15.95" customHeight="1">
      <c r="C3" s="784"/>
      <c r="D3" s="785"/>
      <c r="E3" s="785"/>
      <c r="F3" s="786"/>
      <c r="G3" s="523" t="s">
        <v>417</v>
      </c>
      <c r="H3" s="524"/>
      <c r="I3" s="524"/>
      <c r="J3" s="524"/>
      <c r="K3" s="524"/>
      <c r="L3" s="524"/>
      <c r="M3" s="525"/>
      <c r="P3" s="435" t="s">
        <v>418</v>
      </c>
      <c r="Q3" s="436"/>
      <c r="R3" s="437"/>
      <c r="S3" s="435" t="s">
        <v>419</v>
      </c>
      <c r="T3" s="436"/>
      <c r="U3" s="437"/>
      <c r="V3" s="435" t="s">
        <v>270</v>
      </c>
      <c r="W3" s="436"/>
      <c r="X3" s="437"/>
      <c r="Y3" s="435" t="s">
        <v>113</v>
      </c>
      <c r="Z3" s="436"/>
      <c r="AA3" s="437"/>
      <c r="AB3" s="435" t="s">
        <v>271</v>
      </c>
      <c r="AC3" s="436"/>
      <c r="AD3" s="437"/>
      <c r="AE3" s="435" t="s">
        <v>139</v>
      </c>
      <c r="AF3" s="436"/>
      <c r="AG3" s="437"/>
      <c r="AH3" s="435" t="s">
        <v>272</v>
      </c>
      <c r="AI3" s="436"/>
      <c r="AJ3" s="437"/>
      <c r="AM3" s="533" t="s">
        <v>98</v>
      </c>
      <c r="AN3" s="534"/>
      <c r="AO3" s="534"/>
      <c r="AP3" s="534"/>
      <c r="AQ3" s="535"/>
      <c r="AR3" s="980">
        <f>AJ63</f>
        <v>966</v>
      </c>
      <c r="AS3" s="981"/>
      <c r="AV3" s="492"/>
      <c r="AW3" s="493"/>
      <c r="AX3" s="493"/>
      <c r="AY3" s="494"/>
      <c r="AZ3" s="984"/>
      <c r="BA3" s="985"/>
      <c r="BB3" s="988"/>
      <c r="BC3" s="989"/>
      <c r="BT3" s="7"/>
      <c r="BU3" s="7"/>
      <c r="CE3" s="22"/>
      <c r="CF3" s="22"/>
    </row>
    <row r="4" spans="3:95" ht="15.95" customHeight="1" thickBot="1">
      <c r="C4" s="787"/>
      <c r="D4" s="788"/>
      <c r="E4" s="788"/>
      <c r="F4" s="789"/>
      <c r="G4" s="526"/>
      <c r="H4" s="527"/>
      <c r="I4" s="527"/>
      <c r="J4" s="527"/>
      <c r="K4" s="527"/>
      <c r="L4" s="527"/>
      <c r="M4" s="528"/>
      <c r="P4" s="438"/>
      <c r="Q4" s="439"/>
      <c r="R4" s="440"/>
      <c r="S4" s="438"/>
      <c r="T4" s="439"/>
      <c r="U4" s="440"/>
      <c r="V4" s="438"/>
      <c r="W4" s="439"/>
      <c r="X4" s="440"/>
      <c r="Y4" s="438"/>
      <c r="Z4" s="439"/>
      <c r="AA4" s="440"/>
      <c r="AB4" s="438"/>
      <c r="AC4" s="439"/>
      <c r="AD4" s="440"/>
      <c r="AE4" s="438"/>
      <c r="AF4" s="439"/>
      <c r="AG4" s="440"/>
      <c r="AH4" s="438"/>
      <c r="AI4" s="439"/>
      <c r="AJ4" s="440"/>
      <c r="AM4" s="536"/>
      <c r="AN4" s="537"/>
      <c r="AO4" s="537"/>
      <c r="AP4" s="537"/>
      <c r="AQ4" s="538"/>
      <c r="AR4" s="982"/>
      <c r="AS4" s="983"/>
      <c r="AV4" s="495"/>
      <c r="AW4" s="496"/>
      <c r="AX4" s="496"/>
      <c r="AY4" s="497"/>
      <c r="AZ4" s="986"/>
      <c r="BA4" s="987"/>
      <c r="BB4" s="990"/>
      <c r="BC4" s="991"/>
      <c r="BT4" s="7"/>
      <c r="BU4" s="7"/>
      <c r="CE4" s="22"/>
      <c r="CF4" s="22"/>
    </row>
    <row r="5" spans="3:95" ht="15.95" customHeight="1" thickBot="1">
      <c r="C5" s="787"/>
      <c r="D5" s="788"/>
      <c r="E5" s="788"/>
      <c r="F5" s="789"/>
      <c r="G5" s="486" t="s">
        <v>273</v>
      </c>
      <c r="H5" s="484" t="s">
        <v>274</v>
      </c>
      <c r="I5" s="484" t="s">
        <v>16</v>
      </c>
      <c r="J5" s="484" t="s">
        <v>13</v>
      </c>
      <c r="K5" s="484" t="s">
        <v>275</v>
      </c>
      <c r="L5" s="484" t="s">
        <v>276</v>
      </c>
      <c r="M5" s="484" t="s">
        <v>277</v>
      </c>
      <c r="P5" s="441"/>
      <c r="Q5" s="442"/>
      <c r="R5" s="443"/>
      <c r="S5" s="441"/>
      <c r="T5" s="442"/>
      <c r="U5" s="443"/>
      <c r="V5" s="441"/>
      <c r="W5" s="442"/>
      <c r="X5" s="443"/>
      <c r="Y5" s="441"/>
      <c r="Z5" s="442"/>
      <c r="AA5" s="443"/>
      <c r="AB5" s="441"/>
      <c r="AC5" s="442"/>
      <c r="AD5" s="443"/>
      <c r="AE5" s="441"/>
      <c r="AF5" s="442"/>
      <c r="AG5" s="443"/>
      <c r="AH5" s="441"/>
      <c r="AI5" s="442"/>
      <c r="AJ5" s="443"/>
      <c r="AR5" s="70"/>
      <c r="AS5" s="70"/>
      <c r="AV5" s="495"/>
      <c r="AW5" s="496"/>
      <c r="AX5" s="496"/>
      <c r="AY5" s="497"/>
      <c r="AZ5" s="433">
        <f>AG55</f>
        <v>4</v>
      </c>
      <c r="BA5" s="433">
        <f>AH55</f>
        <v>4</v>
      </c>
      <c r="BB5" s="433">
        <f>AG57</f>
        <v>7</v>
      </c>
      <c r="BC5" s="433">
        <f>AH57</f>
        <v>7</v>
      </c>
      <c r="BD5" s="433"/>
      <c r="BE5" s="433"/>
      <c r="BF5" s="433"/>
      <c r="BG5" s="433"/>
      <c r="BH5" s="444">
        <f>SUM(AZ5:BG6)</f>
        <v>22</v>
      </c>
    </row>
    <row r="6" spans="3:95" ht="15.95" customHeight="1" thickBot="1">
      <c r="C6" s="790"/>
      <c r="D6" s="791"/>
      <c r="E6" s="791"/>
      <c r="F6" s="792"/>
      <c r="G6" s="487"/>
      <c r="H6" s="485"/>
      <c r="I6" s="485"/>
      <c r="J6" s="485"/>
      <c r="K6" s="485"/>
      <c r="L6" s="485"/>
      <c r="M6" s="485"/>
      <c r="P6" s="455" t="e">
        <f>L37+#REF!+#REF!+L75+#REF!+#REF!</f>
        <v>#REF!</v>
      </c>
      <c r="Q6" s="972"/>
      <c r="R6" s="973"/>
      <c r="S6" s="560" t="e">
        <f>M37+#REF!+#REF!+M75+#REF!+#REF!</f>
        <v>#REF!</v>
      </c>
      <c r="T6" s="561"/>
      <c r="U6" s="562"/>
      <c r="V6" s="446"/>
      <c r="W6" s="447"/>
      <c r="X6" s="448"/>
      <c r="Y6" s="455" t="e">
        <f>P6+V6</f>
        <v>#REF!</v>
      </c>
      <c r="Z6" s="456"/>
      <c r="AA6" s="457"/>
      <c r="AB6" s="582">
        <v>15</v>
      </c>
      <c r="AC6" s="456"/>
      <c r="AD6" s="457"/>
      <c r="AE6" s="582"/>
      <c r="AF6" s="456"/>
      <c r="AG6" s="457"/>
      <c r="AH6" s="560">
        <v>387</v>
      </c>
      <c r="AI6" s="561"/>
      <c r="AJ6" s="562"/>
      <c r="AM6" s="583" t="s">
        <v>375</v>
      </c>
      <c r="AN6" s="594"/>
      <c r="AO6" s="594"/>
      <c r="AP6" s="594"/>
      <c r="AQ6" s="584"/>
      <c r="AR6" s="427">
        <f>AH6</f>
        <v>387</v>
      </c>
      <c r="AS6" s="428"/>
      <c r="AV6" s="495"/>
      <c r="AW6" s="496"/>
      <c r="AX6" s="496"/>
      <c r="AY6" s="497"/>
      <c r="AZ6" s="434"/>
      <c r="BA6" s="434"/>
      <c r="BB6" s="434"/>
      <c r="BC6" s="434"/>
      <c r="BD6" s="434"/>
      <c r="BE6" s="434"/>
      <c r="BF6" s="434"/>
      <c r="BG6" s="434"/>
      <c r="BH6" s="445"/>
      <c r="BT6" s="87"/>
      <c r="BU6" s="87"/>
      <c r="BV6" s="108"/>
      <c r="BW6" s="108"/>
      <c r="BX6" s="108"/>
      <c r="BY6" s="108"/>
      <c r="BZ6" s="108"/>
      <c r="CA6" s="108"/>
      <c r="CB6" s="108"/>
      <c r="CC6" s="108"/>
      <c r="CH6" s="87"/>
      <c r="CI6" s="87"/>
      <c r="CJ6" s="108"/>
      <c r="CK6" s="108"/>
      <c r="CL6" s="108"/>
      <c r="CM6" s="108"/>
      <c r="CN6" s="108"/>
      <c r="CO6" s="108"/>
      <c r="CP6" s="108"/>
      <c r="CQ6" s="108"/>
    </row>
    <row r="7" spans="3:95" ht="15.95" customHeight="1">
      <c r="C7" s="1014"/>
      <c r="D7" s="1021" t="s">
        <v>420</v>
      </c>
      <c r="E7" s="1022"/>
      <c r="F7" s="1023"/>
      <c r="G7" s="553">
        <v>52</v>
      </c>
      <c r="H7" s="555">
        <v>47.6</v>
      </c>
      <c r="I7" s="557">
        <v>4</v>
      </c>
      <c r="J7" s="557">
        <v>4</v>
      </c>
      <c r="K7" s="557">
        <f>I7+J7</f>
        <v>8</v>
      </c>
      <c r="L7" s="593">
        <f>G7*K7</f>
        <v>416</v>
      </c>
      <c r="M7" s="519">
        <f>H7*K7</f>
        <v>380.8</v>
      </c>
      <c r="O7" s="64"/>
      <c r="P7" s="974"/>
      <c r="Q7" s="975"/>
      <c r="R7" s="976"/>
      <c r="S7" s="563"/>
      <c r="T7" s="564"/>
      <c r="U7" s="565"/>
      <c r="V7" s="449"/>
      <c r="W7" s="450"/>
      <c r="X7" s="451"/>
      <c r="Y7" s="458"/>
      <c r="Z7" s="459"/>
      <c r="AA7" s="460"/>
      <c r="AB7" s="458"/>
      <c r="AC7" s="459"/>
      <c r="AD7" s="460"/>
      <c r="AE7" s="458"/>
      <c r="AF7" s="459"/>
      <c r="AG7" s="460"/>
      <c r="AH7" s="563"/>
      <c r="AI7" s="564"/>
      <c r="AJ7" s="565"/>
      <c r="AM7" s="529"/>
      <c r="AN7" s="530"/>
      <c r="AO7" s="530"/>
      <c r="AP7" s="530"/>
      <c r="AQ7" s="531"/>
      <c r="AR7" s="429"/>
      <c r="AS7" s="430"/>
      <c r="AV7" s="495"/>
      <c r="AW7" s="496"/>
      <c r="AX7" s="496"/>
      <c r="AY7" s="497"/>
      <c r="AZ7" s="521" t="s">
        <v>16</v>
      </c>
      <c r="BA7" s="521" t="s">
        <v>13</v>
      </c>
      <c r="BB7" s="521" t="s">
        <v>13</v>
      </c>
      <c r="BC7" s="521" t="s">
        <v>118</v>
      </c>
      <c r="BD7" s="521"/>
      <c r="BE7" s="521"/>
      <c r="BF7" s="521"/>
      <c r="BG7" s="521"/>
      <c r="BH7" s="484" t="s">
        <v>275</v>
      </c>
      <c r="BI7" s="484" t="s">
        <v>277</v>
      </c>
      <c r="BJ7" s="583" t="s">
        <v>280</v>
      </c>
      <c r="BK7" s="594"/>
      <c r="BL7" s="584"/>
      <c r="BM7" s="596" t="s">
        <v>281</v>
      </c>
      <c r="BN7" s="596" t="s">
        <v>282</v>
      </c>
      <c r="BO7" s="583" t="s">
        <v>272</v>
      </c>
      <c r="BP7" s="584"/>
      <c r="BQ7" s="587" t="s">
        <v>139</v>
      </c>
      <c r="BU7" s="175"/>
      <c r="BV7" s="41"/>
      <c r="BW7" s="41"/>
      <c r="BX7" s="41"/>
      <c r="BY7" s="41"/>
      <c r="BZ7" s="22"/>
      <c r="CA7" s="22"/>
      <c r="CB7" s="41"/>
      <c r="CC7" s="41"/>
      <c r="CE7" s="22"/>
      <c r="CF7" s="22"/>
      <c r="CI7" s="175"/>
      <c r="CJ7" s="41"/>
      <c r="CK7" s="41"/>
      <c r="CL7" s="41"/>
      <c r="CM7" s="41"/>
      <c r="CN7" s="22"/>
      <c r="CO7" s="22"/>
      <c r="CP7" s="41"/>
      <c r="CQ7" s="41"/>
    </row>
    <row r="8" spans="3:95" ht="15.95" customHeight="1" thickBot="1">
      <c r="C8" s="1015"/>
      <c r="D8" s="1024"/>
      <c r="E8" s="1025"/>
      <c r="F8" s="1026"/>
      <c r="G8" s="686"/>
      <c r="H8" s="956"/>
      <c r="I8" s="668"/>
      <c r="J8" s="668"/>
      <c r="K8" s="668"/>
      <c r="L8" s="668"/>
      <c r="M8" s="657"/>
      <c r="O8" s="64"/>
      <c r="P8" s="977"/>
      <c r="Q8" s="978"/>
      <c r="R8" s="979"/>
      <c r="S8" s="566"/>
      <c r="T8" s="567"/>
      <c r="U8" s="568"/>
      <c r="V8" s="452"/>
      <c r="W8" s="453"/>
      <c r="X8" s="454"/>
      <c r="Y8" s="461"/>
      <c r="Z8" s="462"/>
      <c r="AA8" s="463"/>
      <c r="AB8" s="461"/>
      <c r="AC8" s="462"/>
      <c r="AD8" s="463"/>
      <c r="AE8" s="461"/>
      <c r="AF8" s="462"/>
      <c r="AG8" s="463"/>
      <c r="AH8" s="566"/>
      <c r="AI8" s="567"/>
      <c r="AJ8" s="568"/>
      <c r="AM8" s="529" t="s">
        <v>421</v>
      </c>
      <c r="AN8" s="530"/>
      <c r="AO8" s="530"/>
      <c r="AP8" s="530"/>
      <c r="AQ8" s="531"/>
      <c r="AR8" s="532">
        <f>AH14</f>
        <v>532.66999999999996</v>
      </c>
      <c r="AS8" s="430"/>
      <c r="AV8" s="498"/>
      <c r="AW8" s="499"/>
      <c r="AX8" s="499"/>
      <c r="AY8" s="500"/>
      <c r="AZ8" s="522"/>
      <c r="BA8" s="522"/>
      <c r="BB8" s="522"/>
      <c r="BC8" s="522"/>
      <c r="BD8" s="522"/>
      <c r="BE8" s="522"/>
      <c r="BF8" s="522"/>
      <c r="BG8" s="522"/>
      <c r="BH8" s="485"/>
      <c r="BI8" s="485"/>
      <c r="BJ8" s="585"/>
      <c r="BK8" s="595"/>
      <c r="BL8" s="586"/>
      <c r="BM8" s="597"/>
      <c r="BN8" s="597"/>
      <c r="BO8" s="585"/>
      <c r="BP8" s="586"/>
      <c r="BQ8" s="588"/>
      <c r="BV8" s="41"/>
      <c r="BW8" s="41"/>
      <c r="BX8" s="41"/>
      <c r="BY8" s="41"/>
      <c r="BZ8" s="41"/>
      <c r="CA8" s="41"/>
      <c r="CB8" s="22"/>
      <c r="CC8" s="22"/>
      <c r="CE8" s="22"/>
      <c r="CF8" s="22"/>
      <c r="CJ8" s="41"/>
      <c r="CK8" s="41"/>
      <c r="CL8" s="41"/>
      <c r="CM8" s="41"/>
      <c r="CN8" s="41"/>
      <c r="CO8" s="41"/>
      <c r="CP8" s="22"/>
      <c r="CQ8" s="22"/>
    </row>
    <row r="9" spans="3:95" ht="15.95" customHeight="1">
      <c r="D9" s="64"/>
      <c r="E9" s="64"/>
      <c r="F9" s="64"/>
      <c r="G9" s="79"/>
      <c r="H9" s="80"/>
      <c r="I9" s="958">
        <f>SUM(I7)</f>
        <v>4</v>
      </c>
      <c r="J9" s="958">
        <f>SUM(J7)</f>
        <v>4</v>
      </c>
      <c r="K9" s="958">
        <f>SUM(K7)</f>
        <v>8</v>
      </c>
      <c r="L9" s="959">
        <f>SUM(L7)</f>
        <v>416</v>
      </c>
      <c r="M9" s="1027">
        <f>SUM(M7)</f>
        <v>380.8</v>
      </c>
      <c r="O9" s="64"/>
      <c r="AM9" s="529"/>
      <c r="AN9" s="530"/>
      <c r="AO9" s="530"/>
      <c r="AP9" s="530"/>
      <c r="AQ9" s="531"/>
      <c r="AR9" s="429"/>
      <c r="AS9" s="430"/>
      <c r="AV9" s="539" t="s">
        <v>422</v>
      </c>
      <c r="AW9" s="540"/>
      <c r="AX9" s="540"/>
      <c r="AY9" s="541"/>
      <c r="AZ9" s="466">
        <v>0</v>
      </c>
      <c r="BA9" s="480">
        <v>1</v>
      </c>
      <c r="BB9" s="466">
        <v>0</v>
      </c>
      <c r="BC9" s="478">
        <v>0</v>
      </c>
      <c r="BD9" s="480">
        <v>0</v>
      </c>
      <c r="BE9" s="480">
        <v>0</v>
      </c>
      <c r="BF9" s="466">
        <v>0</v>
      </c>
      <c r="BG9" s="478">
        <v>0</v>
      </c>
      <c r="BH9" s="865">
        <f>SUM(AZ9:BG10)</f>
        <v>1</v>
      </c>
      <c r="BI9" s="474">
        <f>AZ9*$T$55+BA9*$T$55+BB9*$T$57+BC9*$T$57</f>
        <v>63</v>
      </c>
      <c r="BJ9" s="468" t="s">
        <v>423</v>
      </c>
      <c r="BK9" s="469"/>
      <c r="BL9" s="470"/>
      <c r="BM9" s="474"/>
      <c r="BN9" s="474">
        <v>69</v>
      </c>
      <c r="BO9" s="468" t="s">
        <v>286</v>
      </c>
      <c r="BP9" s="470"/>
      <c r="BQ9" s="464">
        <v>44894</v>
      </c>
    </row>
    <row r="10" spans="3:95" ht="15.95" customHeight="1" thickBot="1">
      <c r="D10" s="64"/>
      <c r="E10" s="64"/>
      <c r="F10" s="64"/>
      <c r="G10" s="79"/>
      <c r="H10" s="80"/>
      <c r="I10" s="661"/>
      <c r="J10" s="661"/>
      <c r="K10" s="661"/>
      <c r="L10" s="661"/>
      <c r="M10" s="661"/>
      <c r="O10" s="64"/>
      <c r="AM10" s="529" t="s">
        <v>141</v>
      </c>
      <c r="AN10" s="530"/>
      <c r="AO10" s="530"/>
      <c r="AP10" s="530"/>
      <c r="AQ10" s="531"/>
      <c r="AR10" s="532">
        <f>X25</f>
        <v>29.04</v>
      </c>
      <c r="AS10" s="430"/>
      <c r="AV10" s="542"/>
      <c r="AW10" s="543"/>
      <c r="AX10" s="543"/>
      <c r="AY10" s="544"/>
      <c r="AZ10" s="467"/>
      <c r="BA10" s="481"/>
      <c r="BB10" s="467"/>
      <c r="BC10" s="479"/>
      <c r="BD10" s="481"/>
      <c r="BE10" s="481"/>
      <c r="BF10" s="467"/>
      <c r="BG10" s="479"/>
      <c r="BH10" s="866"/>
      <c r="BI10" s="475"/>
      <c r="BJ10" s="471"/>
      <c r="BK10" s="472"/>
      <c r="BL10" s="473"/>
      <c r="BM10" s="475"/>
      <c r="BN10" s="475"/>
      <c r="BO10" s="471"/>
      <c r="BP10" s="473"/>
      <c r="BQ10" s="465"/>
      <c r="BT10" s="87"/>
      <c r="BU10" s="87"/>
      <c r="BV10" s="108"/>
      <c r="BW10" s="108"/>
      <c r="BX10" s="108"/>
      <c r="BY10" s="108"/>
      <c r="BZ10" s="108"/>
      <c r="CA10" s="108"/>
      <c r="CB10" s="108"/>
      <c r="CC10" s="108"/>
    </row>
    <row r="11" spans="3:95" ht="15.95" customHeight="1">
      <c r="D11" s="64"/>
      <c r="E11" s="64"/>
      <c r="F11" s="64"/>
      <c r="G11" s="79"/>
      <c r="H11" s="79"/>
      <c r="I11" s="72"/>
      <c r="J11" s="72"/>
      <c r="K11" s="72"/>
      <c r="L11" s="81"/>
      <c r="M11" s="82"/>
      <c r="O11" s="64"/>
      <c r="P11" s="435" t="s">
        <v>424</v>
      </c>
      <c r="Q11" s="436"/>
      <c r="R11" s="436"/>
      <c r="S11" s="435" t="s">
        <v>425</v>
      </c>
      <c r="T11" s="436"/>
      <c r="U11" s="437"/>
      <c r="V11" s="435" t="s">
        <v>270</v>
      </c>
      <c r="W11" s="436"/>
      <c r="X11" s="437"/>
      <c r="Y11" s="435" t="s">
        <v>113</v>
      </c>
      <c r="Z11" s="436"/>
      <c r="AA11" s="437"/>
      <c r="AB11" s="435" t="s">
        <v>271</v>
      </c>
      <c r="AC11" s="436"/>
      <c r="AD11" s="437"/>
      <c r="AE11" s="435" t="s">
        <v>139</v>
      </c>
      <c r="AF11" s="436"/>
      <c r="AG11" s="437"/>
      <c r="AH11" s="435" t="s">
        <v>272</v>
      </c>
      <c r="AI11" s="436"/>
      <c r="AJ11" s="437"/>
      <c r="AM11" s="529"/>
      <c r="AN11" s="530"/>
      <c r="AO11" s="530"/>
      <c r="AP11" s="530"/>
      <c r="AQ11" s="531"/>
      <c r="AR11" s="429"/>
      <c r="AS11" s="430"/>
      <c r="AV11" s="539" t="s">
        <v>59</v>
      </c>
      <c r="AW11" s="540"/>
      <c r="AX11" s="540"/>
      <c r="AY11" s="541"/>
      <c r="AZ11" s="466">
        <v>0</v>
      </c>
      <c r="BA11" s="480">
        <v>1</v>
      </c>
      <c r="BB11" s="466">
        <v>0</v>
      </c>
      <c r="BC11" s="478">
        <v>0</v>
      </c>
      <c r="BD11" s="480">
        <v>0</v>
      </c>
      <c r="BE11" s="480">
        <v>0</v>
      </c>
      <c r="BF11" s="466">
        <v>0</v>
      </c>
      <c r="BG11" s="478">
        <v>0</v>
      </c>
      <c r="BH11" s="865">
        <f>SUM(AZ11:BG12)</f>
        <v>1</v>
      </c>
      <c r="BI11" s="474">
        <f t="shared" ref="BI11" si="0">AZ11*$T$55+BA11*$T$55+BB11*$T$57+BC11*$T$57</f>
        <v>63</v>
      </c>
      <c r="BJ11" s="468" t="s">
        <v>423</v>
      </c>
      <c r="BK11" s="469"/>
      <c r="BL11" s="470"/>
      <c r="BM11" s="474"/>
      <c r="BN11" s="474">
        <v>69</v>
      </c>
      <c r="BO11" s="468" t="s">
        <v>286</v>
      </c>
      <c r="BP11" s="470"/>
      <c r="BQ11" s="464">
        <v>44938</v>
      </c>
      <c r="BU11" s="175"/>
      <c r="BV11" s="41"/>
      <c r="BW11" s="41"/>
      <c r="BX11" s="41"/>
      <c r="BY11" s="41"/>
      <c r="BZ11" s="22"/>
      <c r="CA11" s="22"/>
      <c r="CB11" s="41"/>
      <c r="CC11" s="41"/>
      <c r="CE11" s="22"/>
      <c r="CF11" s="22"/>
      <c r="CO11" s="176"/>
    </row>
    <row r="12" spans="3:95" ht="15.95" customHeight="1" thickBot="1">
      <c r="D12" s="64"/>
      <c r="E12" s="64"/>
      <c r="F12" s="64"/>
      <c r="G12" s="79"/>
      <c r="H12" s="79"/>
      <c r="I12" s="72"/>
      <c r="J12" s="72"/>
      <c r="K12" s="72"/>
      <c r="L12" s="72"/>
      <c r="M12" s="72"/>
      <c r="O12" s="64"/>
      <c r="P12" s="438"/>
      <c r="Q12" s="439"/>
      <c r="R12" s="439"/>
      <c r="S12" s="438"/>
      <c r="T12" s="439"/>
      <c r="U12" s="440"/>
      <c r="V12" s="438"/>
      <c r="W12" s="439"/>
      <c r="X12" s="440"/>
      <c r="Y12" s="438"/>
      <c r="Z12" s="439"/>
      <c r="AA12" s="440"/>
      <c r="AB12" s="438"/>
      <c r="AC12" s="439"/>
      <c r="AD12" s="440"/>
      <c r="AE12" s="438"/>
      <c r="AF12" s="439"/>
      <c r="AG12" s="440"/>
      <c r="AH12" s="438"/>
      <c r="AI12" s="439"/>
      <c r="AJ12" s="440"/>
      <c r="AM12" s="529"/>
      <c r="AN12" s="530"/>
      <c r="AO12" s="530"/>
      <c r="AP12" s="530"/>
      <c r="AQ12" s="531"/>
      <c r="AR12" s="532"/>
      <c r="AS12" s="430"/>
      <c r="AV12" s="542"/>
      <c r="AW12" s="543"/>
      <c r="AX12" s="543"/>
      <c r="AY12" s="544"/>
      <c r="AZ12" s="467"/>
      <c r="BA12" s="481"/>
      <c r="BB12" s="467"/>
      <c r="BC12" s="479"/>
      <c r="BD12" s="481"/>
      <c r="BE12" s="481"/>
      <c r="BF12" s="467"/>
      <c r="BG12" s="479"/>
      <c r="BH12" s="866"/>
      <c r="BI12" s="475"/>
      <c r="BJ12" s="471"/>
      <c r="BK12" s="472"/>
      <c r="BL12" s="473"/>
      <c r="BM12" s="475"/>
      <c r="BN12" s="475"/>
      <c r="BO12" s="471"/>
      <c r="BP12" s="473"/>
      <c r="BQ12" s="465"/>
      <c r="BV12" s="41"/>
      <c r="BW12" s="41"/>
      <c r="BX12" s="41"/>
      <c r="BY12" s="41"/>
      <c r="BZ12" s="41"/>
      <c r="CA12" s="41"/>
      <c r="CB12" s="22"/>
      <c r="CC12" s="22"/>
      <c r="CE12" s="22"/>
      <c r="CF12" s="22"/>
    </row>
    <row r="13" spans="3:95" ht="15.95" customHeight="1" thickBot="1">
      <c r="D13" s="64"/>
      <c r="E13" s="64"/>
      <c r="F13" s="64"/>
      <c r="G13" s="79"/>
      <c r="H13" s="79"/>
      <c r="I13" s="72"/>
      <c r="J13" s="72"/>
      <c r="K13" s="72"/>
      <c r="L13" s="81"/>
      <c r="M13" s="82"/>
      <c r="O13" s="64"/>
      <c r="P13" s="441"/>
      <c r="Q13" s="442"/>
      <c r="R13" s="442"/>
      <c r="S13" s="441"/>
      <c r="T13" s="442"/>
      <c r="U13" s="443"/>
      <c r="V13" s="441"/>
      <c r="W13" s="442"/>
      <c r="X13" s="443"/>
      <c r="Y13" s="441"/>
      <c r="Z13" s="442"/>
      <c r="AA13" s="443"/>
      <c r="AB13" s="441"/>
      <c r="AC13" s="442"/>
      <c r="AD13" s="443"/>
      <c r="AE13" s="441"/>
      <c r="AF13" s="442"/>
      <c r="AG13" s="443"/>
      <c r="AH13" s="441"/>
      <c r="AI13" s="442"/>
      <c r="AJ13" s="443"/>
      <c r="AM13" s="529"/>
      <c r="AN13" s="530"/>
      <c r="AO13" s="530"/>
      <c r="AP13" s="530"/>
      <c r="AQ13" s="531"/>
      <c r="AR13" s="429"/>
      <c r="AS13" s="430"/>
      <c r="AV13" s="539" t="s">
        <v>12</v>
      </c>
      <c r="AW13" s="540"/>
      <c r="AX13" s="540"/>
      <c r="AY13" s="541"/>
      <c r="AZ13" s="466">
        <v>0</v>
      </c>
      <c r="BA13" s="480">
        <v>1</v>
      </c>
      <c r="BB13" s="466">
        <v>0</v>
      </c>
      <c r="BC13" s="478">
        <v>1</v>
      </c>
      <c r="BD13" s="480">
        <v>0</v>
      </c>
      <c r="BE13" s="480">
        <v>0</v>
      </c>
      <c r="BF13" s="466">
        <v>0</v>
      </c>
      <c r="BG13" s="478">
        <v>0</v>
      </c>
      <c r="BH13" s="865">
        <f>SUM(AZ13:BG14)</f>
        <v>2</v>
      </c>
      <c r="BI13" s="474">
        <f t="shared" ref="BI13" si="1">AZ13*$T$55+BA13*$T$55+BB13*$T$57+BC13*$T$57</f>
        <v>96</v>
      </c>
      <c r="BJ13" s="468" t="s">
        <v>426</v>
      </c>
      <c r="BK13" s="469"/>
      <c r="BL13" s="470"/>
      <c r="BM13" s="474"/>
      <c r="BN13" s="474">
        <f>36+60</f>
        <v>96</v>
      </c>
      <c r="BO13" s="903" t="s">
        <v>286</v>
      </c>
      <c r="BP13" s="905"/>
      <c r="BQ13" s="464">
        <v>44868</v>
      </c>
      <c r="BR13" s="464">
        <v>45043</v>
      </c>
    </row>
    <row r="14" spans="3:95" ht="15.95" customHeight="1" thickBot="1">
      <c r="D14" s="64"/>
      <c r="E14" s="64"/>
      <c r="F14" s="64"/>
      <c r="G14" s="79"/>
      <c r="H14" s="79"/>
      <c r="I14" s="72"/>
      <c r="J14" s="72"/>
      <c r="K14" s="72"/>
      <c r="L14" s="72"/>
      <c r="M14" s="72"/>
      <c r="O14" s="64"/>
      <c r="P14" s="455">
        <f>L9</f>
        <v>416</v>
      </c>
      <c r="Q14" s="456"/>
      <c r="R14" s="457"/>
      <c r="S14" s="560">
        <f>M9</f>
        <v>380.8</v>
      </c>
      <c r="T14" s="456"/>
      <c r="U14" s="457"/>
      <c r="V14" s="446">
        <v>51</v>
      </c>
      <c r="W14" s="447"/>
      <c r="X14" s="448"/>
      <c r="Y14" s="455">
        <f>P14+V14</f>
        <v>467</v>
      </c>
      <c r="Z14" s="456"/>
      <c r="AA14" s="457"/>
      <c r="AB14" s="582" t="e">
        <f>K45+#REF!+#REF!+K7+#REF!+#REF!</f>
        <v>#REF!</v>
      </c>
      <c r="AC14" s="456"/>
      <c r="AD14" s="457"/>
      <c r="AE14" s="559">
        <v>44628</v>
      </c>
      <c r="AF14" s="456"/>
      <c r="AG14" s="457"/>
      <c r="AH14" s="560">
        <f>423.53+109.14</f>
        <v>532.66999999999996</v>
      </c>
      <c r="AI14" s="561"/>
      <c r="AJ14" s="562"/>
      <c r="AM14" s="529"/>
      <c r="AN14" s="530"/>
      <c r="AO14" s="530"/>
      <c r="AP14" s="530"/>
      <c r="AQ14" s="531"/>
      <c r="AR14" s="532"/>
      <c r="AS14" s="430"/>
      <c r="AV14" s="542"/>
      <c r="AW14" s="543"/>
      <c r="AX14" s="543"/>
      <c r="AY14" s="544"/>
      <c r="AZ14" s="467"/>
      <c r="BA14" s="481"/>
      <c r="BB14" s="467"/>
      <c r="BC14" s="479"/>
      <c r="BD14" s="481"/>
      <c r="BE14" s="481"/>
      <c r="BF14" s="467"/>
      <c r="BG14" s="479"/>
      <c r="BH14" s="866"/>
      <c r="BI14" s="475"/>
      <c r="BJ14" s="471"/>
      <c r="BK14" s="472"/>
      <c r="BL14" s="473"/>
      <c r="BM14" s="475"/>
      <c r="BN14" s="475"/>
      <c r="BO14" s="903"/>
      <c r="BP14" s="905"/>
      <c r="BQ14" s="465"/>
      <c r="BR14" s="465"/>
      <c r="BT14" s="87"/>
      <c r="BU14" s="87"/>
      <c r="BV14" s="108"/>
      <c r="BW14" s="108"/>
      <c r="BX14" s="108"/>
      <c r="BY14" s="108"/>
      <c r="BZ14" s="108"/>
      <c r="CA14" s="108"/>
      <c r="CB14" s="108"/>
      <c r="CC14" s="108"/>
    </row>
    <row r="15" spans="3:95" ht="15.95" customHeight="1">
      <c r="D15" s="64"/>
      <c r="E15" s="64"/>
      <c r="F15" s="64"/>
      <c r="G15" s="79"/>
      <c r="H15" s="79"/>
      <c r="I15" s="72"/>
      <c r="J15" s="72"/>
      <c r="K15" s="72"/>
      <c r="L15" s="81"/>
      <c r="M15" s="82"/>
      <c r="O15" s="64"/>
      <c r="P15" s="458"/>
      <c r="Q15" s="459"/>
      <c r="R15" s="460"/>
      <c r="S15" s="458"/>
      <c r="T15" s="459"/>
      <c r="U15" s="460"/>
      <c r="V15" s="449"/>
      <c r="W15" s="450"/>
      <c r="X15" s="451"/>
      <c r="Y15" s="458"/>
      <c r="Z15" s="459"/>
      <c r="AA15" s="460"/>
      <c r="AB15" s="458"/>
      <c r="AC15" s="459"/>
      <c r="AD15" s="460"/>
      <c r="AE15" s="458"/>
      <c r="AF15" s="459"/>
      <c r="AG15" s="460"/>
      <c r="AH15" s="563"/>
      <c r="AI15" s="564"/>
      <c r="AJ15" s="565"/>
      <c r="AM15" s="529"/>
      <c r="AN15" s="530"/>
      <c r="AO15" s="530"/>
      <c r="AP15" s="530"/>
      <c r="AQ15" s="531"/>
      <c r="AR15" s="429"/>
      <c r="AS15" s="430"/>
      <c r="AV15" s="539" t="s">
        <v>414</v>
      </c>
      <c r="AW15" s="540"/>
      <c r="AX15" s="540"/>
      <c r="AY15" s="541"/>
      <c r="AZ15" s="466">
        <v>1</v>
      </c>
      <c r="BA15" s="480">
        <v>0</v>
      </c>
      <c r="BB15" s="466">
        <v>0</v>
      </c>
      <c r="BC15" s="478">
        <v>0</v>
      </c>
      <c r="BD15" s="480"/>
      <c r="BE15" s="480">
        <v>0</v>
      </c>
      <c r="BF15" s="466">
        <v>0</v>
      </c>
      <c r="BG15" s="478">
        <v>0</v>
      </c>
      <c r="BH15" s="865">
        <f>SUM(AZ15:BG16)</f>
        <v>1</v>
      </c>
      <c r="BI15" s="474">
        <f t="shared" ref="BI15" si="2">AZ15*$T$55+BA15*$T$55+BB15*$T$57+BC15*$T$57</f>
        <v>63</v>
      </c>
      <c r="BJ15" s="468" t="s">
        <v>344</v>
      </c>
      <c r="BK15" s="469"/>
      <c r="BL15" s="470"/>
      <c r="BM15" s="474"/>
      <c r="BN15" s="474">
        <v>63</v>
      </c>
      <c r="BO15" s="468" t="s">
        <v>286</v>
      </c>
      <c r="BP15" s="470"/>
      <c r="BQ15" s="464">
        <v>45042</v>
      </c>
      <c r="BU15" s="175"/>
      <c r="BV15" s="41"/>
      <c r="BW15" s="41"/>
      <c r="BX15" s="41"/>
      <c r="BY15" s="41"/>
      <c r="BZ15" s="22"/>
      <c r="CA15" s="22"/>
      <c r="CB15" s="41"/>
      <c r="CC15" s="41"/>
      <c r="CE15" s="22"/>
      <c r="CF15" s="22"/>
    </row>
    <row r="16" spans="3:95" ht="15.95" customHeight="1" thickBot="1">
      <c r="D16" s="64"/>
      <c r="E16" s="64"/>
      <c r="F16" s="64"/>
      <c r="G16" s="79"/>
      <c r="H16" s="79"/>
      <c r="I16" s="72"/>
      <c r="J16" s="72"/>
      <c r="K16" s="72"/>
      <c r="L16" s="72"/>
      <c r="M16" s="72"/>
      <c r="O16" s="64"/>
      <c r="P16" s="461"/>
      <c r="Q16" s="462"/>
      <c r="R16" s="463"/>
      <c r="S16" s="461"/>
      <c r="T16" s="462"/>
      <c r="U16" s="463"/>
      <c r="V16" s="452"/>
      <c r="W16" s="453"/>
      <c r="X16" s="454"/>
      <c r="Y16" s="461"/>
      <c r="Z16" s="462"/>
      <c r="AA16" s="463"/>
      <c r="AB16" s="461"/>
      <c r="AC16" s="462"/>
      <c r="AD16" s="463"/>
      <c r="AE16" s="461"/>
      <c r="AF16" s="462"/>
      <c r="AG16" s="463"/>
      <c r="AH16" s="566"/>
      <c r="AI16" s="567"/>
      <c r="AJ16" s="568"/>
      <c r="AM16" s="529"/>
      <c r="AN16" s="530"/>
      <c r="AO16" s="530"/>
      <c r="AP16" s="530"/>
      <c r="AQ16" s="531"/>
      <c r="AR16" s="532"/>
      <c r="AS16" s="600"/>
      <c r="AV16" s="542"/>
      <c r="AW16" s="543"/>
      <c r="AX16" s="543"/>
      <c r="AY16" s="544"/>
      <c r="AZ16" s="467"/>
      <c r="BA16" s="481"/>
      <c r="BB16" s="467"/>
      <c r="BC16" s="479"/>
      <c r="BD16" s="481"/>
      <c r="BE16" s="481"/>
      <c r="BF16" s="467"/>
      <c r="BG16" s="479"/>
      <c r="BH16" s="866"/>
      <c r="BI16" s="475"/>
      <c r="BJ16" s="471"/>
      <c r="BK16" s="472"/>
      <c r="BL16" s="473"/>
      <c r="BM16" s="475"/>
      <c r="BN16" s="475"/>
      <c r="BO16" s="471"/>
      <c r="BP16" s="473"/>
      <c r="BQ16" s="465"/>
      <c r="BV16" s="41"/>
      <c r="BW16" s="41"/>
      <c r="BX16" s="41"/>
      <c r="BY16" s="41"/>
      <c r="BZ16" s="41"/>
      <c r="CA16" s="41"/>
      <c r="CB16" s="22"/>
      <c r="CC16" s="22"/>
      <c r="CE16" s="22"/>
      <c r="CF16" s="22"/>
    </row>
    <row r="17" spans="4:84" ht="15.95" customHeight="1" thickBot="1">
      <c r="D17" s="64"/>
      <c r="E17" s="64"/>
      <c r="F17" s="64"/>
      <c r="G17" s="79"/>
      <c r="H17" s="79"/>
      <c r="I17" s="72"/>
      <c r="J17" s="72"/>
      <c r="K17" s="72"/>
      <c r="L17" s="81"/>
      <c r="M17" s="82"/>
      <c r="O17" s="64"/>
      <c r="AM17" s="585"/>
      <c r="AN17" s="595"/>
      <c r="AO17" s="595"/>
      <c r="AP17" s="595"/>
      <c r="AQ17" s="586"/>
      <c r="AR17" s="601"/>
      <c r="AS17" s="602"/>
      <c r="AV17" s="539" t="s">
        <v>427</v>
      </c>
      <c r="AW17" s="540"/>
      <c r="AX17" s="540"/>
      <c r="AY17" s="541"/>
      <c r="AZ17" s="466">
        <v>0</v>
      </c>
      <c r="BA17" s="480">
        <v>0</v>
      </c>
      <c r="BB17" s="466">
        <v>0</v>
      </c>
      <c r="BC17" s="478">
        <v>1</v>
      </c>
      <c r="BD17" s="480">
        <v>0</v>
      </c>
      <c r="BE17" s="480">
        <v>0</v>
      </c>
      <c r="BF17" s="466">
        <v>0</v>
      </c>
      <c r="BG17" s="478">
        <v>0</v>
      </c>
      <c r="BH17" s="865">
        <f>SUM(AZ17:BG18)</f>
        <v>1</v>
      </c>
      <c r="BI17" s="474">
        <f t="shared" ref="BI17" si="3">AZ17*$T$55+BA17*$T$55+BB17*$T$57+BC17*$T$57</f>
        <v>33</v>
      </c>
      <c r="BJ17" s="468" t="s">
        <v>428</v>
      </c>
      <c r="BK17" s="469"/>
      <c r="BL17" s="470"/>
      <c r="BM17" s="474"/>
      <c r="BN17" s="474">
        <v>33</v>
      </c>
      <c r="BO17" s="468" t="s">
        <v>286</v>
      </c>
      <c r="BP17" s="470"/>
      <c r="BQ17" s="464">
        <v>44982</v>
      </c>
    </row>
    <row r="18" spans="4:84" ht="15.95" customHeight="1" thickBot="1">
      <c r="D18" s="64"/>
      <c r="E18" s="64"/>
      <c r="F18" s="64"/>
      <c r="G18" s="79"/>
      <c r="H18" s="79"/>
      <c r="I18" s="72"/>
      <c r="J18" s="72"/>
      <c r="K18" s="72"/>
      <c r="L18" s="72"/>
      <c r="M18" s="72"/>
      <c r="O18" s="64"/>
      <c r="AM18" s="617" t="s">
        <v>145</v>
      </c>
      <c r="AN18" s="618"/>
      <c r="AO18" s="618"/>
      <c r="AP18" s="618"/>
      <c r="AQ18" s="619"/>
      <c r="AR18" s="1008">
        <f>SUM(AR6:AS17)</f>
        <v>948.70999999999992</v>
      </c>
      <c r="AS18" s="1009"/>
      <c r="AV18" s="542"/>
      <c r="AW18" s="543"/>
      <c r="AX18" s="543"/>
      <c r="AY18" s="544"/>
      <c r="AZ18" s="467"/>
      <c r="BA18" s="481"/>
      <c r="BB18" s="467"/>
      <c r="BC18" s="479"/>
      <c r="BD18" s="481"/>
      <c r="BE18" s="481"/>
      <c r="BF18" s="467"/>
      <c r="BG18" s="479"/>
      <c r="BH18" s="866"/>
      <c r="BI18" s="475"/>
      <c r="BJ18" s="471"/>
      <c r="BK18" s="472"/>
      <c r="BL18" s="473"/>
      <c r="BM18" s="475"/>
      <c r="BN18" s="475"/>
      <c r="BO18" s="471"/>
      <c r="BP18" s="473"/>
      <c r="BQ18" s="465"/>
      <c r="BT18" s="87"/>
      <c r="BU18" s="87"/>
      <c r="BV18" s="108"/>
      <c r="BW18" s="108"/>
      <c r="BX18" s="108"/>
      <c r="BY18" s="108"/>
      <c r="BZ18" s="108"/>
      <c r="CA18" s="108"/>
      <c r="CB18" s="108"/>
      <c r="CC18" s="108"/>
    </row>
    <row r="19" spans="4:84" ht="15.95" customHeight="1" thickBot="1">
      <c r="D19" s="64"/>
      <c r="E19" s="64"/>
      <c r="F19" s="64"/>
      <c r="G19" s="79"/>
      <c r="H19" s="79"/>
      <c r="I19" s="72"/>
      <c r="J19" s="72"/>
      <c r="K19" s="72"/>
      <c r="L19" s="81"/>
      <c r="M19" s="82"/>
      <c r="O19" s="64"/>
      <c r="P19" s="608" t="s">
        <v>141</v>
      </c>
      <c r="Q19" s="609"/>
      <c r="R19" s="609"/>
      <c r="S19" s="610"/>
      <c r="AB19" s="492"/>
      <c r="AC19" s="493"/>
      <c r="AD19" s="493"/>
      <c r="AE19" s="494"/>
      <c r="AM19" s="620"/>
      <c r="AN19" s="621"/>
      <c r="AO19" s="621"/>
      <c r="AP19" s="621"/>
      <c r="AQ19" s="622"/>
      <c r="AR19" s="1010"/>
      <c r="AS19" s="1011"/>
      <c r="AV19" s="539" t="s">
        <v>67</v>
      </c>
      <c r="AW19" s="540"/>
      <c r="AX19" s="540"/>
      <c r="AY19" s="541"/>
      <c r="AZ19" s="466">
        <v>0</v>
      </c>
      <c r="BA19" s="480">
        <v>1</v>
      </c>
      <c r="BB19" s="466">
        <v>0</v>
      </c>
      <c r="BC19" s="478">
        <v>0</v>
      </c>
      <c r="BD19" s="480">
        <v>0</v>
      </c>
      <c r="BE19" s="480">
        <v>0</v>
      </c>
      <c r="BF19" s="466">
        <v>0</v>
      </c>
      <c r="BG19" s="478">
        <v>0</v>
      </c>
      <c r="BH19" s="865">
        <f>SUM(AZ19:BG20)</f>
        <v>1</v>
      </c>
      <c r="BI19" s="474">
        <f>AZ19*$T$55+BA19*$T$55+BB19*$T$57+BC19*$T$57</f>
        <v>63</v>
      </c>
      <c r="BJ19" s="468" t="s">
        <v>344</v>
      </c>
      <c r="BK19" s="469"/>
      <c r="BL19" s="470"/>
      <c r="BM19" s="474"/>
      <c r="BN19" s="474">
        <v>63</v>
      </c>
      <c r="BO19" s="468" t="s">
        <v>286</v>
      </c>
      <c r="BP19" s="470"/>
      <c r="BQ19" s="464">
        <v>44994</v>
      </c>
      <c r="BU19" s="175"/>
      <c r="BV19" s="41"/>
      <c r="BW19" s="41"/>
      <c r="BX19" s="41"/>
      <c r="BY19" s="41"/>
      <c r="BZ19" s="22"/>
      <c r="CA19" s="22"/>
      <c r="CB19" s="41"/>
      <c r="CC19" s="41"/>
      <c r="CE19" s="22"/>
      <c r="CF19" s="22"/>
    </row>
    <row r="20" spans="4:84" ht="15.95" customHeight="1" thickBot="1">
      <c r="D20" s="64"/>
      <c r="E20" s="64"/>
      <c r="F20" s="64"/>
      <c r="G20" s="79"/>
      <c r="H20" s="79"/>
      <c r="I20" s="72"/>
      <c r="J20" s="72"/>
      <c r="K20" s="72"/>
      <c r="L20" s="72"/>
      <c r="M20" s="72"/>
      <c r="O20" s="64"/>
      <c r="P20" s="611"/>
      <c r="Q20" s="612"/>
      <c r="R20" s="612"/>
      <c r="S20" s="613"/>
      <c r="AB20" s="495"/>
      <c r="AC20" s="496"/>
      <c r="AD20" s="496"/>
      <c r="AE20" s="497"/>
      <c r="AR20" s="70"/>
      <c r="AS20" s="70"/>
      <c r="AV20" s="542"/>
      <c r="AW20" s="543"/>
      <c r="AX20" s="543"/>
      <c r="AY20" s="544"/>
      <c r="AZ20" s="467"/>
      <c r="BA20" s="481"/>
      <c r="BB20" s="467"/>
      <c r="BC20" s="479"/>
      <c r="BD20" s="481"/>
      <c r="BE20" s="481"/>
      <c r="BF20" s="467"/>
      <c r="BG20" s="479"/>
      <c r="BH20" s="866"/>
      <c r="BI20" s="475"/>
      <c r="BJ20" s="471"/>
      <c r="BK20" s="472"/>
      <c r="BL20" s="473"/>
      <c r="BM20" s="475"/>
      <c r="BN20" s="475"/>
      <c r="BO20" s="471"/>
      <c r="BP20" s="473"/>
      <c r="BQ20" s="465"/>
      <c r="BV20" s="41"/>
      <c r="BW20" s="41"/>
      <c r="BX20" s="41"/>
      <c r="BY20" s="41"/>
      <c r="BZ20" s="41"/>
      <c r="CA20" s="41"/>
      <c r="CB20" s="22"/>
      <c r="CC20" s="22"/>
      <c r="CE20" s="22"/>
      <c r="CF20" s="22"/>
    </row>
    <row r="21" spans="4:84" ht="15.95" customHeight="1">
      <c r="D21" s="64"/>
      <c r="E21" s="64"/>
      <c r="F21" s="64"/>
      <c r="G21" s="79"/>
      <c r="H21" s="79"/>
      <c r="I21" s="72"/>
      <c r="J21" s="72"/>
      <c r="K21" s="72"/>
      <c r="L21" s="81"/>
      <c r="M21" s="82"/>
      <c r="O21" s="64"/>
      <c r="P21" s="611"/>
      <c r="Q21" s="612"/>
      <c r="R21" s="612"/>
      <c r="S21" s="613"/>
      <c r="T21" s="484" t="s">
        <v>274</v>
      </c>
      <c r="U21" s="484" t="s">
        <v>275</v>
      </c>
      <c r="V21" s="484" t="s">
        <v>102</v>
      </c>
      <c r="W21" s="605" t="s">
        <v>292</v>
      </c>
      <c r="X21" s="484" t="s">
        <v>277</v>
      </c>
      <c r="AB21" s="495"/>
      <c r="AC21" s="496"/>
      <c r="AD21" s="496"/>
      <c r="AE21" s="497"/>
      <c r="AF21" s="484" t="s">
        <v>293</v>
      </c>
      <c r="AG21" s="484" t="s">
        <v>16</v>
      </c>
      <c r="AH21" s="484" t="s">
        <v>13</v>
      </c>
      <c r="AI21" s="484" t="s">
        <v>275</v>
      </c>
      <c r="AJ21" s="484" t="s">
        <v>277</v>
      </c>
      <c r="AM21" s="628" t="s">
        <v>295</v>
      </c>
      <c r="AN21" s="629"/>
      <c r="AO21" s="629"/>
      <c r="AP21" s="629"/>
      <c r="AQ21" s="630"/>
      <c r="AR21" s="634">
        <f>+AR3-AR18</f>
        <v>17.290000000000077</v>
      </c>
      <c r="AS21" s="1000"/>
      <c r="AV21" s="539" t="s">
        <v>413</v>
      </c>
      <c r="AW21" s="540"/>
      <c r="AX21" s="540"/>
      <c r="AY21" s="541"/>
      <c r="AZ21" s="466">
        <v>0</v>
      </c>
      <c r="BA21" s="480">
        <v>0</v>
      </c>
      <c r="BB21" s="466">
        <v>1</v>
      </c>
      <c r="BC21" s="478">
        <v>0</v>
      </c>
      <c r="BD21" s="480">
        <v>0</v>
      </c>
      <c r="BE21" s="480">
        <v>0</v>
      </c>
      <c r="BF21" s="466">
        <v>0</v>
      </c>
      <c r="BG21" s="478">
        <v>0</v>
      </c>
      <c r="BH21" s="865">
        <f>SUM(AZ21:BG22)</f>
        <v>1</v>
      </c>
      <c r="BI21" s="474">
        <f t="shared" ref="BI21" si="4">AZ21*$T$55+BA21*$T$55+BB21*$T$57+BC21*$T$57</f>
        <v>33</v>
      </c>
      <c r="BJ21" s="468" t="s">
        <v>428</v>
      </c>
      <c r="BK21" s="469"/>
      <c r="BL21" s="470"/>
      <c r="BM21" s="474"/>
      <c r="BN21" s="474">
        <v>33</v>
      </c>
      <c r="BO21" s="468" t="s">
        <v>286</v>
      </c>
      <c r="BP21" s="470"/>
      <c r="BQ21" s="464">
        <v>44994</v>
      </c>
    </row>
    <row r="22" spans="4:84" ht="15.95" customHeight="1" thickBot="1">
      <c r="D22" s="64"/>
      <c r="E22" s="64"/>
      <c r="F22" s="64"/>
      <c r="G22" s="79"/>
      <c r="H22" s="79"/>
      <c r="I22" s="72"/>
      <c r="J22" s="72"/>
      <c r="K22" s="72"/>
      <c r="L22" s="72"/>
      <c r="M22" s="72"/>
      <c r="O22" s="64"/>
      <c r="P22" s="614"/>
      <c r="Q22" s="615"/>
      <c r="R22" s="615"/>
      <c r="S22" s="616"/>
      <c r="T22" s="485"/>
      <c r="U22" s="485"/>
      <c r="V22" s="485"/>
      <c r="W22" s="606"/>
      <c r="X22" s="485"/>
      <c r="AB22" s="498"/>
      <c r="AC22" s="499"/>
      <c r="AD22" s="499"/>
      <c r="AE22" s="500"/>
      <c r="AF22" s="485"/>
      <c r="AG22" s="485"/>
      <c r="AH22" s="485"/>
      <c r="AI22" s="485"/>
      <c r="AJ22" s="485"/>
      <c r="AM22" s="631"/>
      <c r="AN22" s="632"/>
      <c r="AO22" s="632"/>
      <c r="AP22" s="632"/>
      <c r="AQ22" s="633"/>
      <c r="AR22" s="1001"/>
      <c r="AS22" s="1002"/>
      <c r="AV22" s="542"/>
      <c r="AW22" s="543"/>
      <c r="AX22" s="543"/>
      <c r="AY22" s="544"/>
      <c r="AZ22" s="467"/>
      <c r="BA22" s="481"/>
      <c r="BB22" s="467"/>
      <c r="BC22" s="479"/>
      <c r="BD22" s="481"/>
      <c r="BE22" s="481"/>
      <c r="BF22" s="467"/>
      <c r="BG22" s="479"/>
      <c r="BH22" s="866"/>
      <c r="BI22" s="475"/>
      <c r="BJ22" s="471"/>
      <c r="BK22" s="472"/>
      <c r="BL22" s="473"/>
      <c r="BM22" s="475"/>
      <c r="BN22" s="475"/>
      <c r="BO22" s="903"/>
      <c r="BP22" s="905"/>
      <c r="BQ22" s="465"/>
      <c r="BT22" s="87"/>
      <c r="BU22" s="87"/>
      <c r="BV22" s="108"/>
      <c r="BW22" s="108"/>
      <c r="BX22" s="108"/>
      <c r="BY22" s="108"/>
      <c r="BZ22" s="108"/>
      <c r="CA22" s="108"/>
      <c r="CB22" s="108"/>
      <c r="CC22" s="108"/>
    </row>
    <row r="23" spans="4:84" ht="15.95" customHeight="1">
      <c r="D23" s="64"/>
      <c r="E23" s="64"/>
      <c r="F23" s="64"/>
      <c r="G23" s="79"/>
      <c r="H23" s="79"/>
      <c r="I23" s="72"/>
      <c r="J23" s="72"/>
      <c r="K23" s="72"/>
      <c r="L23" s="81"/>
      <c r="M23" s="82"/>
      <c r="O23" s="64"/>
      <c r="P23" s="1003"/>
      <c r="Q23" s="547" t="s">
        <v>374</v>
      </c>
      <c r="R23" s="548"/>
      <c r="S23" s="549"/>
      <c r="T23" s="645">
        <v>3</v>
      </c>
      <c r="U23" s="878">
        <f>K7</f>
        <v>8</v>
      </c>
      <c r="V23" s="647">
        <f>((T23*U23)*0.21)/U23</f>
        <v>0.63</v>
      </c>
      <c r="W23" s="647">
        <f>T23+V23</f>
        <v>3.63</v>
      </c>
      <c r="X23" s="519">
        <f>U23*W23</f>
        <v>29.04</v>
      </c>
      <c r="AB23" s="782"/>
      <c r="AC23" s="547"/>
      <c r="AD23" s="548"/>
      <c r="AE23" s="549"/>
      <c r="AF23" s="641">
        <f>T55</f>
        <v>63</v>
      </c>
      <c r="AG23" s="643">
        <f>I7</f>
        <v>4</v>
      </c>
      <c r="AH23" s="643">
        <f>J7</f>
        <v>4</v>
      </c>
      <c r="AI23" s="643">
        <f>AG23+AH23</f>
        <v>8</v>
      </c>
      <c r="AJ23" s="650">
        <f>AF23*AI23</f>
        <v>504</v>
      </c>
      <c r="AV23" s="539" t="s">
        <v>391</v>
      </c>
      <c r="AW23" s="540"/>
      <c r="AX23" s="540"/>
      <c r="AY23" s="541"/>
      <c r="AZ23" s="466">
        <v>1</v>
      </c>
      <c r="BA23" s="480">
        <v>0</v>
      </c>
      <c r="BB23" s="466">
        <v>0</v>
      </c>
      <c r="BC23" s="478">
        <v>0</v>
      </c>
      <c r="BD23" s="480">
        <v>0</v>
      </c>
      <c r="BE23" s="480">
        <v>0</v>
      </c>
      <c r="BF23" s="466">
        <v>0</v>
      </c>
      <c r="BG23" s="478">
        <v>0</v>
      </c>
      <c r="BH23" s="865">
        <f>SUM(AZ23:BG24)</f>
        <v>1</v>
      </c>
      <c r="BI23" s="474">
        <f t="shared" ref="BI23" si="5">AZ23*$T$55+BA23*$T$55+BB23*$T$57+BC23*$T$57</f>
        <v>63</v>
      </c>
      <c r="BJ23" s="468" t="s">
        <v>344</v>
      </c>
      <c r="BK23" s="469"/>
      <c r="BL23" s="470"/>
      <c r="BM23" s="474"/>
      <c r="BN23" s="998">
        <v>63</v>
      </c>
      <c r="BO23" s="992" t="s">
        <v>286</v>
      </c>
      <c r="BP23" s="993"/>
      <c r="BQ23" s="996">
        <v>44994</v>
      </c>
      <c r="BU23" s="175"/>
      <c r="BV23" s="41"/>
      <c r="BW23" s="41"/>
      <c r="BX23" s="41"/>
      <c r="BY23" s="41"/>
      <c r="BZ23" s="22"/>
      <c r="CA23" s="22"/>
      <c r="CB23" s="41"/>
      <c r="CC23" s="41"/>
      <c r="CE23" s="22"/>
      <c r="CF23" s="22"/>
    </row>
    <row r="24" spans="4:84" ht="15.95" customHeight="1" thickBot="1">
      <c r="D24" s="64"/>
      <c r="E24" s="64"/>
      <c r="F24" s="64"/>
      <c r="G24" s="79"/>
      <c r="H24" s="79"/>
      <c r="I24" s="72"/>
      <c r="J24" s="72"/>
      <c r="K24" s="72"/>
      <c r="L24" s="72"/>
      <c r="M24" s="72"/>
      <c r="O24" s="64"/>
      <c r="P24" s="1004"/>
      <c r="Q24" s="550"/>
      <c r="R24" s="551"/>
      <c r="S24" s="552"/>
      <c r="T24" s="1005"/>
      <c r="U24" s="884"/>
      <c r="V24" s="1006"/>
      <c r="W24" s="1006"/>
      <c r="X24" s="669"/>
      <c r="AB24" s="1007"/>
      <c r="AC24" s="550"/>
      <c r="AD24" s="551"/>
      <c r="AE24" s="552"/>
      <c r="AF24" s="642"/>
      <c r="AG24" s="644"/>
      <c r="AH24" s="644"/>
      <c r="AI24" s="644"/>
      <c r="AJ24" s="651"/>
      <c r="AV24" s="542"/>
      <c r="AW24" s="543"/>
      <c r="AX24" s="543"/>
      <c r="AY24" s="544"/>
      <c r="AZ24" s="467"/>
      <c r="BA24" s="481"/>
      <c r="BB24" s="467"/>
      <c r="BC24" s="479"/>
      <c r="BD24" s="481"/>
      <c r="BE24" s="481"/>
      <c r="BF24" s="467"/>
      <c r="BG24" s="479"/>
      <c r="BH24" s="866"/>
      <c r="BI24" s="475"/>
      <c r="BJ24" s="471"/>
      <c r="BK24" s="472"/>
      <c r="BL24" s="473"/>
      <c r="BM24" s="475"/>
      <c r="BN24" s="999"/>
      <c r="BO24" s="994"/>
      <c r="BP24" s="995"/>
      <c r="BQ24" s="997"/>
      <c r="BV24" s="41"/>
      <c r="BW24" s="41"/>
      <c r="BX24" s="41"/>
      <c r="BY24" s="41"/>
      <c r="BZ24" s="41"/>
      <c r="CA24" s="41"/>
      <c r="CB24" s="22"/>
      <c r="CC24" s="22"/>
      <c r="CE24" s="22"/>
      <c r="CF24" s="22"/>
    </row>
    <row r="25" spans="4:84" ht="15.95" customHeight="1">
      <c r="D25" s="64"/>
      <c r="E25" s="64"/>
      <c r="F25" s="64"/>
      <c r="G25" s="79"/>
      <c r="H25" s="79"/>
      <c r="I25" s="72"/>
      <c r="J25" s="72"/>
      <c r="K25" s="72"/>
      <c r="L25" s="81"/>
      <c r="M25" s="82"/>
      <c r="O25" s="64"/>
      <c r="Q25" s="64"/>
      <c r="R25" s="64"/>
      <c r="S25" s="64"/>
      <c r="T25" s="82"/>
      <c r="U25" s="958">
        <f ca="1">SUM(U23:U30)</f>
        <v>8</v>
      </c>
      <c r="V25" s="960">
        <f>SUM(V23)</f>
        <v>0.63</v>
      </c>
      <c r="W25" s="77"/>
      <c r="X25" s="960">
        <f>SUM(X23)</f>
        <v>29.04</v>
      </c>
      <c r="AB25" s="1016"/>
      <c r="AC25" s="547"/>
      <c r="AD25" s="548"/>
      <c r="AE25" s="549"/>
      <c r="AF25" s="641">
        <f>T57</f>
        <v>33</v>
      </c>
      <c r="AG25" s="649">
        <v>7</v>
      </c>
      <c r="AH25" s="649">
        <v>8</v>
      </c>
      <c r="AI25" s="643">
        <f>AG25+AH25</f>
        <v>15</v>
      </c>
      <c r="AJ25" s="650">
        <f>AF25*AI25</f>
        <v>495</v>
      </c>
      <c r="AV25" s="539" t="s">
        <v>91</v>
      </c>
      <c r="AW25" s="540"/>
      <c r="AX25" s="540"/>
      <c r="AY25" s="541"/>
      <c r="AZ25" s="466">
        <v>0</v>
      </c>
      <c r="BA25" s="480">
        <v>0</v>
      </c>
      <c r="BB25" s="466">
        <v>1</v>
      </c>
      <c r="BC25" s="478">
        <v>0</v>
      </c>
      <c r="BD25" s="480">
        <v>0</v>
      </c>
      <c r="BE25" s="480">
        <v>0</v>
      </c>
      <c r="BF25" s="466">
        <v>0</v>
      </c>
      <c r="BG25" s="478">
        <v>0</v>
      </c>
      <c r="BH25" s="865">
        <f>SUM(AZ25:BG26)</f>
        <v>1</v>
      </c>
      <c r="BI25" s="474">
        <f t="shared" ref="BI25" si="6">AZ25*$T$55+BA25*$T$55+BB25*$T$57+BC25*$T$57</f>
        <v>33</v>
      </c>
      <c r="BJ25" s="468" t="s">
        <v>429</v>
      </c>
      <c r="BK25" s="469"/>
      <c r="BL25" s="470"/>
      <c r="BM25" s="474"/>
      <c r="BN25" s="474">
        <v>30</v>
      </c>
      <c r="BO25" s="992" t="s">
        <v>286</v>
      </c>
      <c r="BP25" s="993"/>
      <c r="BQ25" s="464">
        <v>45063</v>
      </c>
    </row>
    <row r="26" spans="4:84" ht="15.95" customHeight="1" thickBot="1">
      <c r="D26" s="64"/>
      <c r="E26" s="64"/>
      <c r="F26" s="64"/>
      <c r="G26" s="79"/>
      <c r="H26" s="79"/>
      <c r="I26" s="72"/>
      <c r="J26" s="72"/>
      <c r="K26" s="72"/>
      <c r="L26" s="72"/>
      <c r="M26" s="72"/>
      <c r="O26" s="64"/>
      <c r="Q26" s="64"/>
      <c r="R26" s="64"/>
      <c r="S26" s="64"/>
      <c r="T26" s="82"/>
      <c r="U26" s="661"/>
      <c r="V26" s="697"/>
      <c r="W26" s="77"/>
      <c r="X26" s="697"/>
      <c r="Y26" s="71"/>
      <c r="AB26" s="1017"/>
      <c r="AC26" s="550"/>
      <c r="AD26" s="551"/>
      <c r="AE26" s="552"/>
      <c r="AF26" s="642"/>
      <c r="AG26" s="520"/>
      <c r="AH26" s="520"/>
      <c r="AI26" s="644"/>
      <c r="AJ26" s="651"/>
      <c r="AV26" s="542"/>
      <c r="AW26" s="543"/>
      <c r="AX26" s="543"/>
      <c r="AY26" s="544"/>
      <c r="AZ26" s="467"/>
      <c r="BA26" s="481"/>
      <c r="BB26" s="467"/>
      <c r="BC26" s="479"/>
      <c r="BD26" s="481"/>
      <c r="BE26" s="481"/>
      <c r="BF26" s="467"/>
      <c r="BG26" s="479"/>
      <c r="BH26" s="866"/>
      <c r="BI26" s="475"/>
      <c r="BJ26" s="471"/>
      <c r="BK26" s="472"/>
      <c r="BL26" s="473"/>
      <c r="BM26" s="475"/>
      <c r="BN26" s="475"/>
      <c r="BO26" s="994"/>
      <c r="BP26" s="995"/>
      <c r="BQ26" s="465"/>
      <c r="BT26" s="87"/>
      <c r="BU26" s="87"/>
      <c r="BV26" s="108"/>
      <c r="BW26" s="108"/>
      <c r="BX26" s="108"/>
      <c r="BY26" s="108"/>
      <c r="BZ26" s="108"/>
      <c r="CA26" s="108"/>
      <c r="CB26" s="108"/>
      <c r="CC26" s="108"/>
    </row>
    <row r="27" spans="4:84" ht="15.95" customHeight="1">
      <c r="D27" s="64"/>
      <c r="E27" s="64"/>
      <c r="F27" s="64"/>
      <c r="G27" s="83"/>
      <c r="H27" s="83"/>
      <c r="I27" s="72"/>
      <c r="J27" s="72"/>
      <c r="K27" s="72"/>
      <c r="L27" s="72"/>
      <c r="M27" s="72"/>
      <c r="O27" s="64"/>
      <c r="Q27" s="64"/>
      <c r="R27" s="64"/>
      <c r="S27" s="64"/>
      <c r="T27" s="72"/>
      <c r="U27" s="74"/>
      <c r="V27" s="72"/>
      <c r="W27" s="72"/>
      <c r="X27" s="72"/>
      <c r="Y27" s="71"/>
      <c r="AB27" s="1014"/>
      <c r="AC27" s="547"/>
      <c r="AD27" s="548"/>
      <c r="AE27" s="549"/>
      <c r="AF27" s="641"/>
      <c r="AG27" s="649"/>
      <c r="AH27" s="649"/>
      <c r="AI27" s="643"/>
      <c r="AJ27" s="650"/>
      <c r="AV27" s="539" t="s">
        <v>430</v>
      </c>
      <c r="AW27" s="540"/>
      <c r="AX27" s="540"/>
      <c r="AY27" s="541"/>
      <c r="AZ27" s="466">
        <v>0</v>
      </c>
      <c r="BA27" s="480">
        <v>0</v>
      </c>
      <c r="BB27" s="466">
        <v>1</v>
      </c>
      <c r="BC27" s="478">
        <v>0</v>
      </c>
      <c r="BD27" s="480">
        <v>0</v>
      </c>
      <c r="BE27" s="480">
        <v>0</v>
      </c>
      <c r="BF27" s="466">
        <v>0</v>
      </c>
      <c r="BG27" s="478">
        <v>0</v>
      </c>
      <c r="BH27" s="865">
        <f>SUM(AZ27:BG28)</f>
        <v>1</v>
      </c>
      <c r="BI27" s="474">
        <f t="shared" ref="BI27" si="7">AZ27*$T$55+BA27*$T$55+BB27*$T$57+BC27*$T$57</f>
        <v>33</v>
      </c>
      <c r="BJ27" s="468" t="s">
        <v>428</v>
      </c>
      <c r="BK27" s="469"/>
      <c r="BL27" s="470"/>
      <c r="BM27" s="474"/>
      <c r="BN27" s="474">
        <v>33</v>
      </c>
      <c r="BO27" s="992" t="s">
        <v>286</v>
      </c>
      <c r="BP27" s="993"/>
      <c r="BQ27" s="464">
        <v>45101</v>
      </c>
      <c r="BU27" s="175"/>
      <c r="BV27" s="41"/>
      <c r="BW27" s="41"/>
      <c r="BX27" s="41"/>
      <c r="BY27" s="41"/>
      <c r="BZ27" s="22"/>
      <c r="CA27" s="22"/>
      <c r="CB27" s="41"/>
      <c r="CC27" s="41"/>
      <c r="CE27" s="22"/>
      <c r="CF27" s="22"/>
    </row>
    <row r="28" spans="4:84" ht="15.95" customHeight="1" thickBot="1">
      <c r="D28" s="64"/>
      <c r="E28" s="64"/>
      <c r="F28" s="64"/>
      <c r="G28" s="79"/>
      <c r="H28" s="79"/>
      <c r="I28" s="72"/>
      <c r="J28" s="72"/>
      <c r="K28" s="72"/>
      <c r="L28" s="72"/>
      <c r="M28" s="72"/>
      <c r="O28" s="64"/>
      <c r="Q28" s="64"/>
      <c r="R28" s="64"/>
      <c r="S28" s="64"/>
      <c r="T28" s="82"/>
      <c r="U28" s="74"/>
      <c r="V28" s="82"/>
      <c r="W28" s="82"/>
      <c r="X28" s="82"/>
      <c r="Y28" s="71"/>
      <c r="AB28" s="1015"/>
      <c r="AC28" s="550"/>
      <c r="AD28" s="551"/>
      <c r="AE28" s="552"/>
      <c r="AF28" s="642"/>
      <c r="AG28" s="520"/>
      <c r="AH28" s="520"/>
      <c r="AI28" s="644"/>
      <c r="AJ28" s="651"/>
      <c r="AV28" s="542"/>
      <c r="AW28" s="543"/>
      <c r="AX28" s="543"/>
      <c r="AY28" s="544"/>
      <c r="AZ28" s="467"/>
      <c r="BA28" s="481"/>
      <c r="BB28" s="467"/>
      <c r="BC28" s="479"/>
      <c r="BD28" s="481"/>
      <c r="BE28" s="481"/>
      <c r="BF28" s="467"/>
      <c r="BG28" s="479"/>
      <c r="BH28" s="866"/>
      <c r="BI28" s="475"/>
      <c r="BJ28" s="471"/>
      <c r="BK28" s="472"/>
      <c r="BL28" s="473"/>
      <c r="BM28" s="475"/>
      <c r="BN28" s="475"/>
      <c r="BO28" s="994"/>
      <c r="BP28" s="995"/>
      <c r="BQ28" s="465"/>
      <c r="BV28" s="41"/>
      <c r="BW28" s="41"/>
      <c r="BX28" s="41"/>
      <c r="BY28" s="41"/>
      <c r="BZ28" s="41"/>
      <c r="CA28" s="41"/>
      <c r="CB28" s="22"/>
      <c r="CC28" s="22"/>
      <c r="CE28" s="22"/>
      <c r="CF28" s="22"/>
    </row>
    <row r="29" spans="4:84" ht="15.95" customHeight="1">
      <c r="D29" s="64"/>
      <c r="E29" s="64"/>
      <c r="F29" s="64"/>
      <c r="G29" s="79"/>
      <c r="H29" s="79"/>
      <c r="I29" s="72"/>
      <c r="J29" s="72"/>
      <c r="K29" s="72"/>
      <c r="L29" s="81"/>
      <c r="M29" s="82"/>
      <c r="O29" s="64"/>
      <c r="Q29" s="64"/>
      <c r="R29" s="64"/>
      <c r="S29" s="64"/>
      <c r="T29" s="82"/>
      <c r="U29" s="74"/>
      <c r="V29" s="82"/>
      <c r="W29" s="82"/>
      <c r="X29" s="82"/>
      <c r="Y29" s="71"/>
      <c r="AB29" s="1012"/>
      <c r="AC29" s="547"/>
      <c r="AD29" s="548"/>
      <c r="AE29" s="549"/>
      <c r="AF29" s="641"/>
      <c r="AG29" s="649"/>
      <c r="AH29" s="649"/>
      <c r="AI29" s="643"/>
      <c r="AJ29" s="650"/>
      <c r="AV29" s="539" t="s">
        <v>431</v>
      </c>
      <c r="AW29" s="540"/>
      <c r="AX29" s="540"/>
      <c r="AY29" s="541"/>
      <c r="AZ29" s="466">
        <v>0</v>
      </c>
      <c r="BA29" s="480">
        <v>0</v>
      </c>
      <c r="BB29" s="466">
        <v>1</v>
      </c>
      <c r="BC29" s="478">
        <v>0</v>
      </c>
      <c r="BD29" s="480">
        <v>0</v>
      </c>
      <c r="BE29" s="480">
        <v>0</v>
      </c>
      <c r="BF29" s="466">
        <v>0</v>
      </c>
      <c r="BG29" s="478">
        <v>0</v>
      </c>
      <c r="BH29" s="865">
        <f>SUM(AZ29:BG30)</f>
        <v>1</v>
      </c>
      <c r="BI29" s="474">
        <f t="shared" ref="BI29" si="8">AZ29*$T$55+BA29*$T$55+BB29*$T$57+BC29*$T$57</f>
        <v>33</v>
      </c>
      <c r="BJ29" s="468" t="s">
        <v>428</v>
      </c>
      <c r="BK29" s="469"/>
      <c r="BL29" s="470"/>
      <c r="BM29" s="474"/>
      <c r="BN29" s="474">
        <v>33</v>
      </c>
      <c r="BO29" s="992" t="s">
        <v>286</v>
      </c>
      <c r="BP29" s="993"/>
      <c r="BQ29" s="464">
        <v>45105</v>
      </c>
    </row>
    <row r="30" spans="4:84" ht="15.95" customHeight="1" thickBot="1">
      <c r="D30" s="64"/>
      <c r="E30" s="64"/>
      <c r="F30" s="64"/>
      <c r="G30" s="79"/>
      <c r="H30" s="79"/>
      <c r="I30" s="72"/>
      <c r="J30" s="72"/>
      <c r="K30" s="72"/>
      <c r="L30" s="72"/>
      <c r="M30" s="72"/>
      <c r="O30" s="64"/>
      <c r="Q30" s="64"/>
      <c r="R30" s="64"/>
      <c r="S30" s="64"/>
      <c r="T30" s="82"/>
      <c r="U30" s="74"/>
      <c r="V30" s="82"/>
      <c r="W30" s="82"/>
      <c r="X30" s="82"/>
      <c r="AB30" s="1013"/>
      <c r="AC30" s="550"/>
      <c r="AD30" s="551"/>
      <c r="AE30" s="552"/>
      <c r="AF30" s="656"/>
      <c r="AG30" s="657"/>
      <c r="AH30" s="657"/>
      <c r="AI30" s="644"/>
      <c r="AJ30" s="651"/>
      <c r="AV30" s="542"/>
      <c r="AW30" s="543"/>
      <c r="AX30" s="543"/>
      <c r="AY30" s="544"/>
      <c r="AZ30" s="467"/>
      <c r="BA30" s="481"/>
      <c r="BB30" s="467"/>
      <c r="BC30" s="479"/>
      <c r="BD30" s="481"/>
      <c r="BE30" s="481"/>
      <c r="BF30" s="467"/>
      <c r="BG30" s="479"/>
      <c r="BH30" s="866"/>
      <c r="BI30" s="475"/>
      <c r="BJ30" s="471"/>
      <c r="BK30" s="472"/>
      <c r="BL30" s="473"/>
      <c r="BM30" s="475"/>
      <c r="BN30" s="475"/>
      <c r="BO30" s="994"/>
      <c r="BP30" s="995"/>
      <c r="BQ30" s="465"/>
      <c r="BT30" s="87"/>
      <c r="BU30" s="87"/>
      <c r="BV30" s="108"/>
      <c r="BW30" s="108"/>
      <c r="BX30" s="108"/>
      <c r="BY30" s="108"/>
      <c r="BZ30" s="108"/>
      <c r="CA30" s="108"/>
      <c r="CB30" s="108"/>
      <c r="CC30" s="108"/>
    </row>
    <row r="31" spans="4:84" ht="15.95" customHeight="1">
      <c r="D31" s="64"/>
      <c r="E31" s="64"/>
      <c r="F31" s="64"/>
      <c r="G31" s="79"/>
      <c r="H31" s="79"/>
      <c r="I31" s="72"/>
      <c r="J31" s="72"/>
      <c r="K31" s="72"/>
      <c r="L31" s="81"/>
      <c r="M31" s="82"/>
      <c r="O31" s="64"/>
      <c r="T31" s="72"/>
      <c r="AF31" s="72"/>
      <c r="AG31" s="72"/>
      <c r="AH31" s="72"/>
      <c r="AI31" s="643">
        <f>SUM(AI23:AI30)</f>
        <v>23</v>
      </c>
      <c r="AJ31" s="650">
        <f>SUM(AJ23:AJ30)</f>
        <v>999</v>
      </c>
      <c r="AV31" s="539" t="s">
        <v>432</v>
      </c>
      <c r="AW31" s="540"/>
      <c r="AX31" s="540"/>
      <c r="AY31" s="541"/>
      <c r="AZ31" s="466">
        <v>0</v>
      </c>
      <c r="BA31" s="480">
        <v>0</v>
      </c>
      <c r="BB31" s="466">
        <v>1</v>
      </c>
      <c r="BC31" s="478">
        <v>0</v>
      </c>
      <c r="BD31" s="480">
        <v>0</v>
      </c>
      <c r="BE31" s="480">
        <v>0</v>
      </c>
      <c r="BF31" s="466">
        <v>0</v>
      </c>
      <c r="BG31" s="478">
        <v>0</v>
      </c>
      <c r="BH31" s="865">
        <f>SUM(AZ31:BG32)</f>
        <v>1</v>
      </c>
      <c r="BI31" s="474">
        <v>0</v>
      </c>
      <c r="BJ31" s="468"/>
      <c r="BK31" s="469"/>
      <c r="BL31" s="470"/>
      <c r="BM31" s="474"/>
      <c r="BN31" s="474"/>
      <c r="BO31" s="468"/>
      <c r="BP31" s="470"/>
      <c r="BQ31" s="464"/>
      <c r="BU31" s="175"/>
      <c r="BV31" s="41"/>
      <c r="BW31" s="41"/>
      <c r="BX31" s="41"/>
      <c r="BY31" s="41"/>
      <c r="BZ31" s="22"/>
      <c r="CA31" s="22"/>
      <c r="CB31" s="41"/>
      <c r="CC31" s="41"/>
      <c r="CE31" s="22"/>
      <c r="CF31" s="22"/>
    </row>
    <row r="32" spans="4:84" ht="15.95" customHeight="1" thickBot="1">
      <c r="D32" s="64"/>
      <c r="E32" s="64"/>
      <c r="F32" s="64"/>
      <c r="G32" s="79"/>
      <c r="H32" s="79"/>
      <c r="I32" s="72"/>
      <c r="J32" s="72"/>
      <c r="K32" s="72"/>
      <c r="L32" s="72"/>
      <c r="M32" s="72"/>
      <c r="O32" s="64"/>
      <c r="T32" s="72"/>
      <c r="AF32" s="72"/>
      <c r="AG32" s="72"/>
      <c r="AH32" s="72"/>
      <c r="AI32" s="664"/>
      <c r="AJ32" s="665"/>
      <c r="AV32" s="542"/>
      <c r="AW32" s="543"/>
      <c r="AX32" s="543"/>
      <c r="AY32" s="544"/>
      <c r="AZ32" s="467"/>
      <c r="BA32" s="481"/>
      <c r="BB32" s="467"/>
      <c r="BC32" s="479"/>
      <c r="BD32" s="481"/>
      <c r="BE32" s="481"/>
      <c r="BF32" s="467"/>
      <c r="BG32" s="479"/>
      <c r="BH32" s="866"/>
      <c r="BI32" s="475"/>
      <c r="BJ32" s="471"/>
      <c r="BK32" s="472"/>
      <c r="BL32" s="473"/>
      <c r="BM32" s="475"/>
      <c r="BN32" s="475"/>
      <c r="BO32" s="471"/>
      <c r="BP32" s="473"/>
      <c r="BQ32" s="465"/>
      <c r="BV32" s="41"/>
      <c r="BW32" s="41"/>
      <c r="BX32" s="41"/>
      <c r="BY32" s="41"/>
      <c r="BZ32" s="41"/>
      <c r="CA32" s="41"/>
      <c r="CB32" s="22"/>
      <c r="CC32" s="22"/>
      <c r="CE32" s="22"/>
      <c r="CF32" s="22"/>
    </row>
    <row r="33" spans="4:84" ht="15.95" customHeight="1">
      <c r="D33" s="64"/>
      <c r="E33" s="64"/>
      <c r="F33" s="64"/>
      <c r="G33" s="79"/>
      <c r="H33" s="79"/>
      <c r="I33" s="72"/>
      <c r="J33" s="72"/>
      <c r="K33" s="72"/>
      <c r="L33" s="81"/>
      <c r="M33" s="82"/>
      <c r="O33" s="64"/>
      <c r="AF33" s="72"/>
      <c r="AG33" s="72"/>
      <c r="AH33" s="72"/>
      <c r="AI33" s="72"/>
      <c r="AJ33" s="72"/>
      <c r="AV33" s="539" t="s">
        <v>40</v>
      </c>
      <c r="AW33" s="540"/>
      <c r="AX33" s="540"/>
      <c r="AY33" s="541"/>
      <c r="AZ33" s="466">
        <v>0</v>
      </c>
      <c r="BA33" s="480">
        <v>0</v>
      </c>
      <c r="BB33" s="466">
        <v>0</v>
      </c>
      <c r="BC33" s="478">
        <v>1</v>
      </c>
      <c r="BD33" s="480">
        <v>0</v>
      </c>
      <c r="BE33" s="480">
        <v>0</v>
      </c>
      <c r="BF33" s="466">
        <v>0</v>
      </c>
      <c r="BG33" s="478">
        <v>0</v>
      </c>
      <c r="BH33" s="865">
        <f>SUM(AZ33:BG34)</f>
        <v>1</v>
      </c>
      <c r="BI33" s="474">
        <v>26</v>
      </c>
      <c r="BJ33" s="468" t="s">
        <v>433</v>
      </c>
      <c r="BK33" s="469"/>
      <c r="BL33" s="470"/>
      <c r="BM33" s="474"/>
      <c r="BN33" s="474">
        <v>26</v>
      </c>
      <c r="BO33" s="468" t="s">
        <v>286</v>
      </c>
      <c r="BP33" s="470"/>
      <c r="BQ33" s="464">
        <v>45251</v>
      </c>
    </row>
    <row r="34" spans="4:84" ht="15.95" customHeight="1" thickBot="1">
      <c r="D34" s="64"/>
      <c r="E34" s="64"/>
      <c r="F34" s="64"/>
      <c r="G34" s="79"/>
      <c r="H34" s="79"/>
      <c r="I34" s="72"/>
      <c r="J34" s="72"/>
      <c r="K34" s="72"/>
      <c r="L34" s="72"/>
      <c r="M34" s="72"/>
      <c r="O34" s="64"/>
      <c r="AF34" s="72"/>
      <c r="AG34" s="72"/>
      <c r="AH34" s="72"/>
      <c r="AI34" s="72"/>
      <c r="AJ34" s="72"/>
      <c r="AV34" s="542"/>
      <c r="AW34" s="543"/>
      <c r="AX34" s="543"/>
      <c r="AY34" s="544"/>
      <c r="AZ34" s="467"/>
      <c r="BA34" s="481"/>
      <c r="BB34" s="467"/>
      <c r="BC34" s="479"/>
      <c r="BD34" s="481"/>
      <c r="BE34" s="481"/>
      <c r="BF34" s="467"/>
      <c r="BG34" s="479"/>
      <c r="BH34" s="866"/>
      <c r="BI34" s="475"/>
      <c r="BJ34" s="471"/>
      <c r="BK34" s="472"/>
      <c r="BL34" s="473"/>
      <c r="BM34" s="475"/>
      <c r="BN34" s="475"/>
      <c r="BO34" s="471"/>
      <c r="BP34" s="473"/>
      <c r="BQ34" s="465"/>
      <c r="BT34" s="87"/>
      <c r="BU34" s="87"/>
      <c r="BV34" s="108"/>
      <c r="BW34" s="108"/>
      <c r="BX34" s="108"/>
      <c r="BY34" s="108"/>
      <c r="BZ34" s="108"/>
      <c r="CA34" s="108"/>
      <c r="CB34" s="108"/>
      <c r="CC34" s="108"/>
    </row>
    <row r="35" spans="4:84" ht="15.95" customHeight="1">
      <c r="D35" s="64"/>
      <c r="E35" s="64"/>
      <c r="F35" s="64"/>
      <c r="G35" s="79"/>
      <c r="H35" s="79"/>
      <c r="I35" s="72"/>
      <c r="J35" s="72"/>
      <c r="K35" s="72"/>
      <c r="L35" s="81"/>
      <c r="M35" s="82"/>
      <c r="O35" s="64"/>
      <c r="P35" s="608" t="s">
        <v>308</v>
      </c>
      <c r="Q35" s="609"/>
      <c r="R35" s="609"/>
      <c r="S35" s="610"/>
      <c r="AB35" s="673" t="s">
        <v>309</v>
      </c>
      <c r="AC35" s="674"/>
      <c r="AD35" s="674"/>
      <c r="AE35" s="675"/>
      <c r="AF35" s="72"/>
      <c r="AG35" s="72"/>
      <c r="AH35" s="72"/>
      <c r="AI35" s="72"/>
      <c r="AJ35" s="72"/>
      <c r="AV35" s="539" t="s">
        <v>366</v>
      </c>
      <c r="AW35" s="540"/>
      <c r="AX35" s="540"/>
      <c r="AY35" s="541"/>
      <c r="AZ35" s="466">
        <v>0</v>
      </c>
      <c r="BA35" s="480">
        <v>0</v>
      </c>
      <c r="BB35" s="466">
        <v>0</v>
      </c>
      <c r="BC35" s="478">
        <v>1</v>
      </c>
      <c r="BD35" s="480">
        <v>0</v>
      </c>
      <c r="BE35" s="480">
        <v>0</v>
      </c>
      <c r="BF35" s="466">
        <v>0</v>
      </c>
      <c r="BG35" s="478">
        <v>0</v>
      </c>
      <c r="BH35" s="865">
        <f>SUM(AZ35:BG36)</f>
        <v>1</v>
      </c>
      <c r="BI35" s="474">
        <f t="shared" ref="BI35" si="9">AZ35*$T$55+BA35*$T$55+BB35*$T$57+BC35*$T$57</f>
        <v>33</v>
      </c>
      <c r="BJ35" s="468" t="s">
        <v>428</v>
      </c>
      <c r="BK35" s="469"/>
      <c r="BL35" s="470"/>
      <c r="BM35" s="474"/>
      <c r="BN35" s="474">
        <v>33</v>
      </c>
      <c r="BO35" s="903" t="s">
        <v>286</v>
      </c>
      <c r="BP35" s="905"/>
      <c r="BQ35" s="464">
        <v>45349</v>
      </c>
      <c r="BU35" s="175"/>
      <c r="BV35" s="41"/>
      <c r="BW35" s="41"/>
      <c r="BX35" s="41"/>
      <c r="BY35" s="41"/>
      <c r="BZ35" s="22"/>
      <c r="CA35" s="22"/>
      <c r="CB35" s="41"/>
      <c r="CC35" s="41"/>
      <c r="CE35" s="22"/>
      <c r="CF35" s="22"/>
    </row>
    <row r="36" spans="4:84" ht="15.95" customHeight="1" thickBot="1">
      <c r="D36" s="64"/>
      <c r="E36" s="64"/>
      <c r="F36" s="64"/>
      <c r="G36" s="79"/>
      <c r="H36" s="79"/>
      <c r="I36" s="72"/>
      <c r="J36" s="72"/>
      <c r="K36" s="72"/>
      <c r="L36" s="72"/>
      <c r="M36" s="72"/>
      <c r="O36" s="64"/>
      <c r="P36" s="611"/>
      <c r="Q36" s="612"/>
      <c r="R36" s="612"/>
      <c r="S36" s="613"/>
      <c r="AB36" s="676"/>
      <c r="AC36" s="677"/>
      <c r="AD36" s="677"/>
      <c r="AE36" s="678"/>
      <c r="AF36" s="72"/>
      <c r="AG36" s="72"/>
      <c r="AH36" s="72"/>
      <c r="AI36" s="72"/>
      <c r="AJ36" s="72"/>
      <c r="AV36" s="542"/>
      <c r="AW36" s="543"/>
      <c r="AX36" s="543"/>
      <c r="AY36" s="544"/>
      <c r="AZ36" s="467"/>
      <c r="BA36" s="481"/>
      <c r="BB36" s="467"/>
      <c r="BC36" s="479"/>
      <c r="BD36" s="481"/>
      <c r="BE36" s="481"/>
      <c r="BF36" s="467"/>
      <c r="BG36" s="479"/>
      <c r="BH36" s="866"/>
      <c r="BI36" s="475"/>
      <c r="BJ36" s="471"/>
      <c r="BK36" s="472"/>
      <c r="BL36" s="473"/>
      <c r="BM36" s="475"/>
      <c r="BN36" s="475"/>
      <c r="BO36" s="903"/>
      <c r="BP36" s="905"/>
      <c r="BQ36" s="465"/>
      <c r="BV36" s="41"/>
      <c r="BW36" s="41"/>
      <c r="BX36" s="41"/>
      <c r="BY36" s="41"/>
      <c r="BZ36" s="41"/>
      <c r="CA36" s="41"/>
      <c r="CB36" s="22"/>
      <c r="CC36" s="22"/>
      <c r="CE36" s="22"/>
      <c r="CF36" s="22"/>
    </row>
    <row r="37" spans="4:84" ht="15.95" customHeight="1">
      <c r="G37" s="72"/>
      <c r="H37" s="72"/>
      <c r="I37" s="77"/>
      <c r="J37" s="77"/>
      <c r="K37" s="77"/>
      <c r="L37" s="84"/>
      <c r="M37" s="85"/>
      <c r="P37" s="611"/>
      <c r="Q37" s="612"/>
      <c r="R37" s="612"/>
      <c r="S37" s="613"/>
      <c r="T37" s="484" t="s">
        <v>313</v>
      </c>
      <c r="U37" s="671" t="s">
        <v>141</v>
      </c>
      <c r="V37" s="484" t="s">
        <v>119</v>
      </c>
      <c r="W37" s="484" t="s">
        <v>277</v>
      </c>
      <c r="AB37" s="676"/>
      <c r="AC37" s="677"/>
      <c r="AD37" s="677"/>
      <c r="AE37" s="678"/>
      <c r="AF37" s="484" t="s">
        <v>16</v>
      </c>
      <c r="AG37" s="484" t="s">
        <v>13</v>
      </c>
      <c r="AH37" s="484" t="s">
        <v>275</v>
      </c>
      <c r="AI37" s="484" t="s">
        <v>314</v>
      </c>
      <c r="AJ37" s="484" t="s">
        <v>277</v>
      </c>
      <c r="AV37" s="583"/>
      <c r="AW37" s="594"/>
      <c r="AX37" s="594"/>
      <c r="AY37" s="584"/>
      <c r="AZ37" s="714"/>
      <c r="BA37" s="718"/>
      <c r="BB37" s="714"/>
      <c r="BC37" s="716"/>
      <c r="BD37" s="718"/>
      <c r="BE37" s="718"/>
      <c r="BF37" s="714"/>
      <c r="BG37" s="716"/>
      <c r="BH37" s="901">
        <f>SUM(AZ37:BG38)</f>
        <v>0</v>
      </c>
      <c r="BI37" s="736">
        <f t="shared" ref="BI37" si="10">AZ37*$T$55+BA37*$T$55+BB37*$T$57+BC37*$T$57</f>
        <v>0</v>
      </c>
      <c r="BJ37" s="738"/>
      <c r="BK37" s="748"/>
      <c r="BL37" s="739"/>
      <c r="BM37" s="736"/>
      <c r="BN37" s="736"/>
      <c r="BO37" s="738"/>
      <c r="BP37" s="739"/>
      <c r="BQ37" s="898"/>
    </row>
    <row r="38" spans="4:84" ht="15.95" customHeight="1" thickBot="1">
      <c r="G38" s="72"/>
      <c r="H38" s="72"/>
      <c r="I38" s="77"/>
      <c r="J38" s="77"/>
      <c r="K38" s="77"/>
      <c r="L38" s="77"/>
      <c r="M38" s="77"/>
      <c r="P38" s="614"/>
      <c r="Q38" s="615"/>
      <c r="R38" s="615"/>
      <c r="S38" s="616"/>
      <c r="T38" s="485"/>
      <c r="U38" s="672"/>
      <c r="V38" s="485"/>
      <c r="W38" s="485"/>
      <c r="AB38" s="679"/>
      <c r="AC38" s="680"/>
      <c r="AD38" s="680"/>
      <c r="AE38" s="681"/>
      <c r="AF38" s="485"/>
      <c r="AG38" s="485"/>
      <c r="AH38" s="485"/>
      <c r="AI38" s="485"/>
      <c r="AJ38" s="485"/>
      <c r="AV38" s="529"/>
      <c r="AW38" s="530"/>
      <c r="AX38" s="530"/>
      <c r="AY38" s="531"/>
      <c r="AZ38" s="715"/>
      <c r="BA38" s="719"/>
      <c r="BB38" s="715"/>
      <c r="BC38" s="717"/>
      <c r="BD38" s="719"/>
      <c r="BE38" s="719"/>
      <c r="BF38" s="715"/>
      <c r="BG38" s="717"/>
      <c r="BH38" s="902"/>
      <c r="BI38" s="737"/>
      <c r="BJ38" s="740"/>
      <c r="BK38" s="749"/>
      <c r="BL38" s="741"/>
      <c r="BM38" s="737"/>
      <c r="BN38" s="737"/>
      <c r="BO38" s="740"/>
      <c r="BP38" s="741"/>
      <c r="BQ38" s="899"/>
      <c r="BT38" s="87"/>
      <c r="BU38" s="87"/>
      <c r="BV38" s="108"/>
      <c r="BW38" s="108"/>
      <c r="BX38" s="108"/>
      <c r="BY38" s="108"/>
      <c r="BZ38" s="108"/>
      <c r="CA38" s="108"/>
      <c r="CB38" s="108"/>
      <c r="CC38" s="108"/>
    </row>
    <row r="39" spans="4:84" ht="15.95" customHeight="1">
      <c r="P39" s="782"/>
      <c r="Q39" s="547" t="str">
        <f>Q23</f>
        <v>REVOLUTION 33</v>
      </c>
      <c r="R39" s="548"/>
      <c r="S39" s="549"/>
      <c r="T39" s="891">
        <f>AH14/8</f>
        <v>66.583749999999995</v>
      </c>
      <c r="U39" s="650">
        <f>W23</f>
        <v>3.63</v>
      </c>
      <c r="V39" s="891"/>
      <c r="W39" s="891">
        <f>SUM(T39:V40)</f>
        <v>70.21374999999999</v>
      </c>
      <c r="AB39" s="782"/>
      <c r="AC39" s="547"/>
      <c r="AD39" s="548"/>
      <c r="AE39" s="549"/>
      <c r="AF39" s="643">
        <v>0</v>
      </c>
      <c r="AG39" s="643">
        <v>0</v>
      </c>
      <c r="AH39" s="643">
        <f>AF39+AG39</f>
        <v>0</v>
      </c>
      <c r="AI39" s="891">
        <f>W39</f>
        <v>70.21374999999999</v>
      </c>
      <c r="AJ39" s="891">
        <f>AI39*AH39</f>
        <v>0</v>
      </c>
      <c r="AV39" s="583"/>
      <c r="AW39" s="594"/>
      <c r="AX39" s="594"/>
      <c r="AY39" s="584"/>
      <c r="AZ39" s="728"/>
      <c r="BA39" s="703"/>
      <c r="BB39" s="728"/>
      <c r="BC39" s="701"/>
      <c r="BD39" s="703"/>
      <c r="BE39" s="703"/>
      <c r="BF39" s="728"/>
      <c r="BG39" s="701"/>
      <c r="BH39" s="932">
        <f>SUM(AZ39:BG40)</f>
        <v>0</v>
      </c>
      <c r="BI39" s="736">
        <f t="shared" ref="BI39" si="11">AZ39*$T$55+BA39*$T$55+BB39*$T$57+BC39*$T$57</f>
        <v>0</v>
      </c>
      <c r="BJ39" s="722"/>
      <c r="BK39" s="734"/>
      <c r="BL39" s="723"/>
      <c r="BM39" s="720"/>
      <c r="BN39" s="720"/>
      <c r="BO39" s="750"/>
      <c r="BP39" s="751"/>
      <c r="BQ39" s="930"/>
      <c r="BU39" s="175"/>
      <c r="BV39" s="41"/>
      <c r="BW39" s="41"/>
      <c r="BX39" s="41"/>
      <c r="BY39" s="41"/>
      <c r="BZ39" s="22"/>
      <c r="CA39" s="22"/>
      <c r="CB39" s="41"/>
      <c r="CC39" s="41"/>
      <c r="CE39" s="22"/>
      <c r="CF39" s="22"/>
    </row>
    <row r="40" spans="4:84" ht="15.95" customHeight="1" thickBot="1">
      <c r="P40" s="1007"/>
      <c r="Q40" s="550"/>
      <c r="R40" s="551"/>
      <c r="S40" s="552"/>
      <c r="T40" s="892"/>
      <c r="U40" s="644"/>
      <c r="V40" s="892"/>
      <c r="W40" s="892"/>
      <c r="AB40" s="1007"/>
      <c r="AC40" s="550"/>
      <c r="AD40" s="551"/>
      <c r="AE40" s="552"/>
      <c r="AF40" s="644"/>
      <c r="AG40" s="644"/>
      <c r="AH40" s="644"/>
      <c r="AI40" s="892"/>
      <c r="AJ40" s="892"/>
      <c r="AV40" s="529"/>
      <c r="AW40" s="530"/>
      <c r="AX40" s="530"/>
      <c r="AY40" s="531"/>
      <c r="AZ40" s="729"/>
      <c r="BA40" s="704"/>
      <c r="BB40" s="729"/>
      <c r="BC40" s="702"/>
      <c r="BD40" s="704"/>
      <c r="BE40" s="704"/>
      <c r="BF40" s="729"/>
      <c r="BG40" s="702"/>
      <c r="BH40" s="933"/>
      <c r="BI40" s="737"/>
      <c r="BJ40" s="724"/>
      <c r="BK40" s="735"/>
      <c r="BL40" s="725"/>
      <c r="BM40" s="721"/>
      <c r="BN40" s="721"/>
      <c r="BO40" s="750"/>
      <c r="BP40" s="751"/>
      <c r="BQ40" s="931"/>
      <c r="BV40" s="41"/>
      <c r="BW40" s="41"/>
      <c r="BX40" s="41"/>
      <c r="BY40" s="41"/>
      <c r="BZ40" s="41"/>
      <c r="CA40" s="41"/>
      <c r="CB40" s="22"/>
      <c r="CC40" s="22"/>
      <c r="CE40" s="22"/>
      <c r="CF40" s="22"/>
    </row>
    <row r="41" spans="4:84" ht="15.95" customHeight="1">
      <c r="G41" s="64"/>
      <c r="H41" s="64"/>
      <c r="I41" s="64"/>
      <c r="J41" s="64"/>
      <c r="K41" s="64"/>
      <c r="L41" s="64"/>
      <c r="M41" s="64"/>
      <c r="P41" s="1016"/>
      <c r="Q41" s="547" t="s">
        <v>375</v>
      </c>
      <c r="R41" s="548"/>
      <c r="S41" s="549"/>
      <c r="T41" s="591">
        <f>AH6/AB6</f>
        <v>25.8</v>
      </c>
      <c r="U41" s="519"/>
      <c r="V41" s="591"/>
      <c r="W41" s="891">
        <f>SUM(T41:V42)</f>
        <v>25.8</v>
      </c>
      <c r="AB41" s="1016"/>
      <c r="AC41" s="547"/>
      <c r="AD41" s="548"/>
      <c r="AE41" s="549"/>
      <c r="AF41" s="649">
        <v>0</v>
      </c>
      <c r="AG41" s="649">
        <v>1</v>
      </c>
      <c r="AH41" s="643">
        <f>AF41+AG41</f>
        <v>1</v>
      </c>
      <c r="AI41" s="891">
        <f>W41</f>
        <v>25.8</v>
      </c>
      <c r="AJ41" s="891">
        <f>AI41*AH41</f>
        <v>25.8</v>
      </c>
      <c r="AV41" s="583"/>
      <c r="AW41" s="594"/>
      <c r="AX41" s="594"/>
      <c r="AY41" s="584"/>
      <c r="AZ41" s="714"/>
      <c r="BA41" s="718"/>
      <c r="BB41" s="714"/>
      <c r="BC41" s="716"/>
      <c r="BD41" s="718"/>
      <c r="BE41" s="718"/>
      <c r="BF41" s="714"/>
      <c r="BG41" s="716"/>
      <c r="BH41" s="901">
        <f>SUM(AZ41:BG42)</f>
        <v>0</v>
      </c>
      <c r="BI41" s="736">
        <f t="shared" ref="BI41" si="12">AZ41*$T$55+BA41*$T$55+BB41*$T$57+BC41*$T$57</f>
        <v>0</v>
      </c>
      <c r="BJ41" s="738"/>
      <c r="BK41" s="748"/>
      <c r="BL41" s="739"/>
      <c r="BM41" s="736"/>
      <c r="BN41" s="736"/>
      <c r="BO41" s="738"/>
      <c r="BP41" s="739"/>
      <c r="BQ41" s="898"/>
    </row>
    <row r="42" spans="4:84" ht="15.95" customHeight="1" thickBot="1">
      <c r="G42" s="64"/>
      <c r="H42" s="64"/>
      <c r="I42" s="64"/>
      <c r="J42" s="64"/>
      <c r="K42" s="64"/>
      <c r="L42" s="64"/>
      <c r="M42" s="64"/>
      <c r="P42" s="1017"/>
      <c r="Q42" s="550"/>
      <c r="R42" s="551"/>
      <c r="S42" s="552"/>
      <c r="T42" s="592"/>
      <c r="U42" s="640"/>
      <c r="V42" s="592"/>
      <c r="W42" s="892"/>
      <c r="AB42" s="1017"/>
      <c r="AC42" s="550"/>
      <c r="AD42" s="551"/>
      <c r="AE42" s="552"/>
      <c r="AF42" s="520"/>
      <c r="AG42" s="520"/>
      <c r="AH42" s="644"/>
      <c r="AI42" s="892"/>
      <c r="AJ42" s="892"/>
      <c r="AV42" s="529"/>
      <c r="AW42" s="530"/>
      <c r="AX42" s="530"/>
      <c r="AY42" s="531"/>
      <c r="AZ42" s="715"/>
      <c r="BA42" s="719"/>
      <c r="BB42" s="715"/>
      <c r="BC42" s="717"/>
      <c r="BD42" s="719"/>
      <c r="BE42" s="719"/>
      <c r="BF42" s="715"/>
      <c r="BG42" s="717"/>
      <c r="BH42" s="902"/>
      <c r="BI42" s="737"/>
      <c r="BJ42" s="740"/>
      <c r="BK42" s="749"/>
      <c r="BL42" s="741"/>
      <c r="BM42" s="737"/>
      <c r="BN42" s="737"/>
      <c r="BO42" s="740"/>
      <c r="BP42" s="741"/>
      <c r="BQ42" s="899"/>
      <c r="BT42" s="87"/>
      <c r="BU42" s="87"/>
      <c r="BV42" s="108"/>
      <c r="BW42" s="108"/>
      <c r="BX42" s="108"/>
      <c r="BY42" s="108"/>
      <c r="BZ42" s="108"/>
      <c r="CA42" s="108"/>
      <c r="CB42" s="108"/>
      <c r="CC42" s="108"/>
    </row>
    <row r="43" spans="4:84" ht="15.95" customHeight="1">
      <c r="G43" s="72"/>
      <c r="H43" s="72"/>
      <c r="I43" s="72"/>
      <c r="J43" s="72"/>
      <c r="K43" s="72"/>
      <c r="L43" s="72"/>
      <c r="M43" s="72"/>
      <c r="P43" s="1014"/>
      <c r="Q43" s="547"/>
      <c r="R43" s="548"/>
      <c r="S43" s="549"/>
      <c r="T43" s="591"/>
      <c r="U43" s="519">
        <f>W27</f>
        <v>0</v>
      </c>
      <c r="V43" s="591"/>
      <c r="W43" s="891">
        <f>SUM(T43:V44)</f>
        <v>0</v>
      </c>
      <c r="AB43" s="1014"/>
      <c r="AC43" s="547"/>
      <c r="AD43" s="548"/>
      <c r="AE43" s="549"/>
      <c r="AF43" s="649"/>
      <c r="AG43" s="649"/>
      <c r="AH43" s="643"/>
      <c r="AI43" s="891"/>
      <c r="AJ43" s="643"/>
      <c r="AV43" s="583"/>
      <c r="AW43" s="594"/>
      <c r="AX43" s="594"/>
      <c r="AY43" s="584"/>
      <c r="AZ43" s="728"/>
      <c r="BA43" s="703"/>
      <c r="BB43" s="728"/>
      <c r="BC43" s="701"/>
      <c r="BD43" s="703"/>
      <c r="BE43" s="703"/>
      <c r="BF43" s="728"/>
      <c r="BG43" s="701"/>
      <c r="BH43" s="932">
        <f>SUM(AZ43:BG44)</f>
        <v>0</v>
      </c>
      <c r="BI43" s="736">
        <f t="shared" ref="BI43" si="13">AZ43*$T$55+BA43*$T$55+BB43*$T$57+BC43*$T$57</f>
        <v>0</v>
      </c>
      <c r="BJ43" s="722"/>
      <c r="BK43" s="734"/>
      <c r="BL43" s="723"/>
      <c r="BM43" s="720"/>
      <c r="BN43" s="720"/>
      <c r="BO43" s="750"/>
      <c r="BP43" s="751"/>
      <c r="BQ43" s="930"/>
      <c r="BU43" s="175"/>
      <c r="BV43" s="41"/>
      <c r="BW43" s="41"/>
      <c r="BX43" s="41"/>
      <c r="BY43" s="41"/>
      <c r="BZ43" s="22"/>
      <c r="CA43" s="22"/>
      <c r="CB43" s="41"/>
      <c r="CC43" s="41"/>
      <c r="CE43" s="22"/>
      <c r="CF43" s="22"/>
    </row>
    <row r="44" spans="4:84" ht="15.95" customHeight="1" thickBot="1">
      <c r="G44" s="72"/>
      <c r="H44" s="72"/>
      <c r="I44" s="72"/>
      <c r="J44" s="72"/>
      <c r="K44" s="72"/>
      <c r="L44" s="72"/>
      <c r="M44" s="72"/>
      <c r="P44" s="1015"/>
      <c r="Q44" s="550"/>
      <c r="R44" s="551"/>
      <c r="S44" s="552"/>
      <c r="T44" s="592"/>
      <c r="U44" s="640"/>
      <c r="V44" s="592"/>
      <c r="W44" s="892"/>
      <c r="AB44" s="1015"/>
      <c r="AC44" s="550"/>
      <c r="AD44" s="551"/>
      <c r="AE44" s="552"/>
      <c r="AF44" s="520"/>
      <c r="AG44" s="520"/>
      <c r="AH44" s="644"/>
      <c r="AI44" s="892"/>
      <c r="AJ44" s="644"/>
      <c r="AV44" s="529"/>
      <c r="AW44" s="530"/>
      <c r="AX44" s="530"/>
      <c r="AY44" s="531"/>
      <c r="AZ44" s="729"/>
      <c r="BA44" s="704"/>
      <c r="BB44" s="729"/>
      <c r="BC44" s="702"/>
      <c r="BD44" s="704"/>
      <c r="BE44" s="704"/>
      <c r="BF44" s="729"/>
      <c r="BG44" s="702"/>
      <c r="BH44" s="933"/>
      <c r="BI44" s="737"/>
      <c r="BJ44" s="724"/>
      <c r="BK44" s="735"/>
      <c r="BL44" s="725"/>
      <c r="BM44" s="721"/>
      <c r="BN44" s="721"/>
      <c r="BO44" s="750"/>
      <c r="BP44" s="751"/>
      <c r="BQ44" s="931"/>
      <c r="BV44" s="41"/>
      <c r="BW44" s="41"/>
      <c r="BX44" s="41"/>
      <c r="BY44" s="41"/>
      <c r="BZ44" s="41"/>
      <c r="CA44" s="41"/>
      <c r="CB44" s="22"/>
      <c r="CC44" s="22"/>
      <c r="CE44" s="22"/>
      <c r="CF44" s="22"/>
    </row>
    <row r="45" spans="4:84" ht="15.95" customHeight="1">
      <c r="D45" s="64"/>
      <c r="E45" s="64"/>
      <c r="F45" s="64"/>
      <c r="G45" s="81"/>
      <c r="H45" s="82"/>
      <c r="I45" s="72"/>
      <c r="J45" s="72"/>
      <c r="K45" s="72"/>
      <c r="L45" s="81"/>
      <c r="M45" s="82"/>
      <c r="O45" s="64"/>
      <c r="P45" s="1012"/>
      <c r="Q45" s="547"/>
      <c r="R45" s="548"/>
      <c r="S45" s="549"/>
      <c r="T45" s="591"/>
      <c r="U45" s="519">
        <f>W29</f>
        <v>0</v>
      </c>
      <c r="V45" s="591"/>
      <c r="W45" s="891">
        <f>SUM(T45:V46)</f>
        <v>0</v>
      </c>
      <c r="AB45" s="1012"/>
      <c r="AC45" s="547"/>
      <c r="AD45" s="548"/>
      <c r="AE45" s="549"/>
      <c r="AF45" s="649"/>
      <c r="AG45" s="649"/>
      <c r="AH45" s="643"/>
      <c r="AI45" s="891"/>
      <c r="AJ45" s="643"/>
      <c r="AV45" s="583"/>
      <c r="AW45" s="594"/>
      <c r="AX45" s="594"/>
      <c r="AY45" s="584"/>
      <c r="AZ45" s="714"/>
      <c r="BA45" s="718"/>
      <c r="BB45" s="714"/>
      <c r="BC45" s="716"/>
      <c r="BD45" s="718"/>
      <c r="BE45" s="718"/>
      <c r="BF45" s="714"/>
      <c r="BG45" s="716"/>
      <c r="BH45" s="901">
        <f>SUM(AZ45:BG46)</f>
        <v>0</v>
      </c>
      <c r="BI45" s="736">
        <f t="shared" ref="BI45" si="14">AZ45*$T$55+BA45*$T$55+BB45*$T$57+BC45*$T$57</f>
        <v>0</v>
      </c>
      <c r="BJ45" s="738"/>
      <c r="BK45" s="748"/>
      <c r="BL45" s="739"/>
      <c r="BM45" s="736"/>
      <c r="BN45" s="736"/>
      <c r="BO45" s="738"/>
      <c r="BP45" s="739"/>
      <c r="BQ45" s="898"/>
    </row>
    <row r="46" spans="4:84" ht="15.95" customHeight="1" thickBot="1">
      <c r="D46" s="64"/>
      <c r="E46" s="64"/>
      <c r="F46" s="64"/>
      <c r="G46" s="81"/>
      <c r="H46" s="82"/>
      <c r="I46" s="72"/>
      <c r="J46" s="72"/>
      <c r="K46" s="72"/>
      <c r="L46" s="72"/>
      <c r="M46" s="72"/>
      <c r="O46" s="64"/>
      <c r="P46" s="1013"/>
      <c r="Q46" s="550"/>
      <c r="R46" s="551"/>
      <c r="S46" s="552"/>
      <c r="T46" s="929"/>
      <c r="U46" s="669"/>
      <c r="V46" s="929"/>
      <c r="W46" s="908"/>
      <c r="AB46" s="1013"/>
      <c r="AC46" s="550"/>
      <c r="AD46" s="551"/>
      <c r="AE46" s="552"/>
      <c r="AF46" s="657"/>
      <c r="AG46" s="657"/>
      <c r="AH46" s="664"/>
      <c r="AI46" s="908"/>
      <c r="AJ46" s="664"/>
      <c r="AV46" s="529"/>
      <c r="AW46" s="530"/>
      <c r="AX46" s="530"/>
      <c r="AY46" s="531"/>
      <c r="AZ46" s="715"/>
      <c r="BA46" s="719"/>
      <c r="BB46" s="715"/>
      <c r="BC46" s="717"/>
      <c r="BD46" s="719"/>
      <c r="BE46" s="719"/>
      <c r="BF46" s="715"/>
      <c r="BG46" s="717"/>
      <c r="BH46" s="902"/>
      <c r="BI46" s="737"/>
      <c r="BJ46" s="740"/>
      <c r="BK46" s="749"/>
      <c r="BL46" s="741"/>
      <c r="BM46" s="737"/>
      <c r="BN46" s="737"/>
      <c r="BO46" s="740"/>
      <c r="BP46" s="741"/>
      <c r="BQ46" s="899"/>
      <c r="BT46" s="87"/>
      <c r="BU46" s="87"/>
      <c r="BV46" s="108"/>
      <c r="BW46" s="108"/>
      <c r="BX46" s="108"/>
      <c r="BY46" s="108"/>
      <c r="BZ46" s="108"/>
      <c r="CA46" s="108"/>
      <c r="CB46" s="108"/>
      <c r="CC46" s="108"/>
    </row>
    <row r="47" spans="4:84" ht="15.95" customHeight="1">
      <c r="D47" s="64"/>
      <c r="E47" s="64"/>
      <c r="F47" s="64"/>
      <c r="G47" s="81"/>
      <c r="H47" s="82"/>
      <c r="I47" s="72"/>
      <c r="J47" s="72"/>
      <c r="K47" s="72"/>
      <c r="L47" s="81"/>
      <c r="M47" s="82"/>
      <c r="O47" s="64"/>
      <c r="AF47" s="72"/>
      <c r="AG47" s="72"/>
      <c r="AH47" s="643">
        <f>SUM(AH39:AH46)</f>
        <v>1</v>
      </c>
      <c r="AI47" s="72"/>
      <c r="AJ47" s="650">
        <f>SUM(AJ39:AJ46)</f>
        <v>25.8</v>
      </c>
      <c r="AV47" s="583"/>
      <c r="AW47" s="594"/>
      <c r="AX47" s="594"/>
      <c r="AY47" s="584"/>
      <c r="AZ47" s="728"/>
      <c r="BA47" s="703"/>
      <c r="BB47" s="728"/>
      <c r="BC47" s="701"/>
      <c r="BD47" s="703"/>
      <c r="BE47" s="703"/>
      <c r="BF47" s="728"/>
      <c r="BG47" s="701"/>
      <c r="BH47" s="932">
        <f>SUM(AZ47:BG48)</f>
        <v>0</v>
      </c>
      <c r="BI47" s="736">
        <f t="shared" ref="BI47" si="15">AZ47*$T$55+BA47*$T$55+BB47*$T$57+BC47*$T$57</f>
        <v>0</v>
      </c>
      <c r="BJ47" s="722"/>
      <c r="BK47" s="734"/>
      <c r="BL47" s="723"/>
      <c r="BM47" s="720"/>
      <c r="BN47" s="720"/>
      <c r="BO47" s="750"/>
      <c r="BP47" s="751"/>
      <c r="BQ47" s="930"/>
      <c r="BU47" s="175"/>
      <c r="BV47" s="41"/>
      <c r="BW47" s="41"/>
      <c r="BX47" s="41"/>
      <c r="BY47" s="41"/>
      <c r="BZ47" s="22"/>
      <c r="CA47" s="22"/>
      <c r="CB47" s="41"/>
      <c r="CC47" s="41"/>
      <c r="CE47" s="22"/>
      <c r="CF47" s="22"/>
    </row>
    <row r="48" spans="4:84" ht="15.95" customHeight="1" thickBot="1">
      <c r="D48" s="64"/>
      <c r="E48" s="64"/>
      <c r="F48" s="64"/>
      <c r="G48" s="81"/>
      <c r="H48" s="82"/>
      <c r="I48" s="72"/>
      <c r="J48" s="72"/>
      <c r="K48" s="72"/>
      <c r="L48" s="72"/>
      <c r="M48" s="72"/>
      <c r="O48" s="64"/>
      <c r="AF48" s="72"/>
      <c r="AG48" s="72"/>
      <c r="AH48" s="664"/>
      <c r="AI48" s="72"/>
      <c r="AJ48" s="664"/>
      <c r="AV48" s="529"/>
      <c r="AW48" s="530"/>
      <c r="AX48" s="530"/>
      <c r="AY48" s="531"/>
      <c r="AZ48" s="729"/>
      <c r="BA48" s="704"/>
      <c r="BB48" s="729"/>
      <c r="BC48" s="702"/>
      <c r="BD48" s="704"/>
      <c r="BE48" s="704"/>
      <c r="BF48" s="729"/>
      <c r="BG48" s="702"/>
      <c r="BH48" s="933"/>
      <c r="BI48" s="737"/>
      <c r="BJ48" s="724"/>
      <c r="BK48" s="735"/>
      <c r="BL48" s="725"/>
      <c r="BM48" s="721"/>
      <c r="BN48" s="721"/>
      <c r="BO48" s="750"/>
      <c r="BP48" s="751"/>
      <c r="BQ48" s="931"/>
      <c r="BV48" s="41"/>
      <c r="BW48" s="41"/>
      <c r="BX48" s="41"/>
      <c r="BY48" s="41"/>
      <c r="BZ48" s="41"/>
      <c r="CA48" s="41"/>
      <c r="CB48" s="22"/>
      <c r="CC48" s="22"/>
      <c r="CE48" s="22"/>
      <c r="CF48" s="22"/>
    </row>
    <row r="49" spans="4:84" ht="15.95" customHeight="1">
      <c r="D49" s="64"/>
      <c r="E49" s="64"/>
      <c r="F49" s="64"/>
      <c r="G49" s="81"/>
      <c r="H49" s="82"/>
      <c r="I49" s="72"/>
      <c r="J49" s="72"/>
      <c r="K49" s="72"/>
      <c r="L49" s="81"/>
      <c r="M49" s="82"/>
      <c r="O49" s="64"/>
      <c r="AF49" s="72"/>
      <c r="AG49" s="72"/>
      <c r="AH49" s="72"/>
      <c r="AI49" s="72"/>
      <c r="AJ49" s="72"/>
      <c r="AV49" s="583"/>
      <c r="AW49" s="594"/>
      <c r="AX49" s="594"/>
      <c r="AY49" s="584"/>
      <c r="AZ49" s="714"/>
      <c r="BA49" s="718"/>
      <c r="BB49" s="714"/>
      <c r="BC49" s="716"/>
      <c r="BD49" s="718"/>
      <c r="BE49" s="718"/>
      <c r="BF49" s="714"/>
      <c r="BG49" s="716"/>
      <c r="BH49" s="901">
        <f>SUM(AZ49:BG50)</f>
        <v>0</v>
      </c>
      <c r="BI49" s="736">
        <f t="shared" ref="BI49" si="16">AZ49*$T$55+BA49*$T$55+BB49*$T$57+BC49*$T$57</f>
        <v>0</v>
      </c>
      <c r="BJ49" s="738"/>
      <c r="BK49" s="748"/>
      <c r="BL49" s="739"/>
      <c r="BM49" s="736"/>
      <c r="BN49" s="736"/>
      <c r="BO49" s="738"/>
      <c r="BP49" s="739"/>
      <c r="BQ49" s="898"/>
    </row>
    <row r="50" spans="4:84" ht="15.95" customHeight="1" thickBot="1">
      <c r="D50" s="64"/>
      <c r="E50" s="64"/>
      <c r="F50" s="64"/>
      <c r="G50" s="81"/>
      <c r="H50" s="82"/>
      <c r="I50" s="72"/>
      <c r="J50" s="72"/>
      <c r="K50" s="72"/>
      <c r="L50" s="72"/>
      <c r="M50" s="72"/>
      <c r="O50" s="64"/>
      <c r="AF50" s="72"/>
      <c r="AG50" s="72"/>
      <c r="AH50" s="72"/>
      <c r="AI50" s="72"/>
      <c r="AJ50" s="72"/>
      <c r="AV50" s="529"/>
      <c r="AW50" s="530"/>
      <c r="AX50" s="530"/>
      <c r="AY50" s="531"/>
      <c r="AZ50" s="715"/>
      <c r="BA50" s="719"/>
      <c r="BB50" s="715"/>
      <c r="BC50" s="717"/>
      <c r="BD50" s="719"/>
      <c r="BE50" s="719"/>
      <c r="BF50" s="715"/>
      <c r="BG50" s="717"/>
      <c r="BH50" s="902"/>
      <c r="BI50" s="737"/>
      <c r="BJ50" s="740"/>
      <c r="BK50" s="749"/>
      <c r="BL50" s="741"/>
      <c r="BM50" s="737"/>
      <c r="BN50" s="737"/>
      <c r="BO50" s="740"/>
      <c r="BP50" s="741"/>
      <c r="BQ50" s="899"/>
      <c r="BT50" s="87"/>
      <c r="BU50" s="87"/>
      <c r="BV50" s="108"/>
      <c r="BW50" s="108"/>
      <c r="BX50" s="108"/>
      <c r="BY50" s="108"/>
      <c r="BZ50" s="108"/>
      <c r="CA50" s="108"/>
      <c r="CB50" s="108"/>
      <c r="CC50" s="108"/>
    </row>
    <row r="51" spans="4:84" ht="15.95" customHeight="1">
      <c r="D51" s="64"/>
      <c r="E51" s="64"/>
      <c r="F51" s="64"/>
      <c r="G51" s="81"/>
      <c r="H51" s="82"/>
      <c r="I51" s="72"/>
      <c r="J51" s="72"/>
      <c r="K51" s="72"/>
      <c r="L51" s="81"/>
      <c r="M51" s="82"/>
      <c r="O51" s="64"/>
      <c r="P51" s="705" t="s">
        <v>328</v>
      </c>
      <c r="Q51" s="706"/>
      <c r="R51" s="706"/>
      <c r="S51" s="707"/>
      <c r="AB51" s="492"/>
      <c r="AC51" s="493"/>
      <c r="AD51" s="493"/>
      <c r="AE51" s="494"/>
      <c r="AF51" s="72"/>
      <c r="AG51" s="72"/>
      <c r="AH51" s="72"/>
      <c r="AI51" s="72"/>
      <c r="AJ51" s="72"/>
      <c r="AV51" s="583"/>
      <c r="AW51" s="594"/>
      <c r="AX51" s="594"/>
      <c r="AY51" s="584"/>
      <c r="AZ51" s="728"/>
      <c r="BA51" s="703"/>
      <c r="BB51" s="728"/>
      <c r="BC51" s="701"/>
      <c r="BD51" s="703"/>
      <c r="BE51" s="703"/>
      <c r="BF51" s="728"/>
      <c r="BG51" s="701"/>
      <c r="BH51" s="932">
        <f>SUM(AZ51:BG52)</f>
        <v>0</v>
      </c>
      <c r="BI51" s="736">
        <f t="shared" ref="BI51" si="17">AZ51*$T$55+BA51*$T$55+BB51*$T$57+BC51*$T$57</f>
        <v>0</v>
      </c>
      <c r="BJ51" s="722"/>
      <c r="BK51" s="734"/>
      <c r="BL51" s="723"/>
      <c r="BM51" s="720"/>
      <c r="BN51" s="720"/>
      <c r="BO51" s="750"/>
      <c r="BP51" s="751"/>
      <c r="BQ51" s="930"/>
      <c r="BU51" s="175"/>
      <c r="BV51" s="41"/>
      <c r="BW51" s="41"/>
      <c r="BX51" s="41"/>
      <c r="BY51" s="41"/>
      <c r="BZ51" s="22"/>
      <c r="CA51" s="22"/>
      <c r="CB51" s="41"/>
      <c r="CC51" s="41"/>
      <c r="CE51" s="22"/>
      <c r="CF51" s="22"/>
    </row>
    <row r="52" spans="4:84" ht="15.95" customHeight="1" thickBot="1">
      <c r="D52" s="64"/>
      <c r="E52" s="64"/>
      <c r="F52" s="64"/>
      <c r="G52" s="81"/>
      <c r="H52" s="82"/>
      <c r="I52" s="72"/>
      <c r="J52" s="72"/>
      <c r="K52" s="72"/>
      <c r="L52" s="72"/>
      <c r="M52" s="72"/>
      <c r="O52" s="64"/>
      <c r="P52" s="708"/>
      <c r="Q52" s="709"/>
      <c r="R52" s="709"/>
      <c r="S52" s="710"/>
      <c r="AB52" s="495"/>
      <c r="AC52" s="496"/>
      <c r="AD52" s="496"/>
      <c r="AE52" s="497"/>
      <c r="AF52" s="72"/>
      <c r="AG52" s="72"/>
      <c r="AH52" s="72"/>
      <c r="AI52" s="72"/>
      <c r="AJ52" s="72"/>
      <c r="AV52" s="529"/>
      <c r="AW52" s="530"/>
      <c r="AX52" s="530"/>
      <c r="AY52" s="531"/>
      <c r="AZ52" s="729"/>
      <c r="BA52" s="704"/>
      <c r="BB52" s="729"/>
      <c r="BC52" s="702"/>
      <c r="BD52" s="704"/>
      <c r="BE52" s="704"/>
      <c r="BF52" s="729"/>
      <c r="BG52" s="702"/>
      <c r="BH52" s="933"/>
      <c r="BI52" s="737"/>
      <c r="BJ52" s="724"/>
      <c r="BK52" s="735"/>
      <c r="BL52" s="725"/>
      <c r="BM52" s="721"/>
      <c r="BN52" s="721"/>
      <c r="BO52" s="750"/>
      <c r="BP52" s="751"/>
      <c r="BQ52" s="931"/>
      <c r="BV52" s="41"/>
      <c r="BW52" s="41"/>
      <c r="BX52" s="41"/>
      <c r="BY52" s="41"/>
      <c r="BZ52" s="41"/>
      <c r="CA52" s="41"/>
      <c r="CB52" s="22"/>
      <c r="CC52" s="22"/>
      <c r="CE52" s="22"/>
      <c r="CF52" s="22"/>
    </row>
    <row r="53" spans="4:84" ht="15.95" customHeight="1">
      <c r="D53" s="64"/>
      <c r="E53" s="64"/>
      <c r="F53" s="64"/>
      <c r="G53" s="81"/>
      <c r="H53" s="82"/>
      <c r="I53" s="72"/>
      <c r="J53" s="72"/>
      <c r="K53" s="72"/>
      <c r="L53" s="81"/>
      <c r="M53" s="82"/>
      <c r="O53" s="64"/>
      <c r="P53" s="708"/>
      <c r="Q53" s="709"/>
      <c r="R53" s="709"/>
      <c r="S53" s="710"/>
      <c r="T53" s="484" t="s">
        <v>329</v>
      </c>
      <c r="U53" s="484" t="s">
        <v>330</v>
      </c>
      <c r="V53" s="484" t="s">
        <v>390</v>
      </c>
      <c r="W53" s="484" t="s">
        <v>332</v>
      </c>
      <c r="AB53" s="495"/>
      <c r="AC53" s="496"/>
      <c r="AD53" s="496"/>
      <c r="AE53" s="497"/>
      <c r="AF53" s="484" t="s">
        <v>293</v>
      </c>
      <c r="AG53" s="484" t="s">
        <v>16</v>
      </c>
      <c r="AH53" s="484" t="s">
        <v>13</v>
      </c>
      <c r="AI53" s="484" t="s">
        <v>275</v>
      </c>
      <c r="AJ53" s="484" t="s">
        <v>277</v>
      </c>
      <c r="AV53" s="583"/>
      <c r="AW53" s="594"/>
      <c r="AX53" s="594"/>
      <c r="AY53" s="584"/>
      <c r="AZ53" s="714"/>
      <c r="BA53" s="718"/>
      <c r="BB53" s="714"/>
      <c r="BC53" s="716"/>
      <c r="BD53" s="718"/>
      <c r="BE53" s="718"/>
      <c r="BF53" s="714"/>
      <c r="BG53" s="716"/>
      <c r="BH53" s="901">
        <f>SUM(AZ53:BG54)</f>
        <v>0</v>
      </c>
      <c r="BI53" s="736">
        <f t="shared" ref="BI53" si="18">AZ53*$T$55+BA53*$T$55+BB53*$T$57+BC53*$T$57</f>
        <v>0</v>
      </c>
      <c r="BJ53" s="738"/>
      <c r="BK53" s="748"/>
      <c r="BL53" s="739"/>
      <c r="BM53" s="736"/>
      <c r="BN53" s="736"/>
      <c r="BO53" s="738"/>
      <c r="BP53" s="739"/>
      <c r="BQ53" s="898"/>
    </row>
    <row r="54" spans="4:84" ht="15.95" customHeight="1" thickBot="1">
      <c r="D54" s="64"/>
      <c r="E54" s="64"/>
      <c r="F54" s="64"/>
      <c r="G54" s="81"/>
      <c r="H54" s="82"/>
      <c r="I54" s="72"/>
      <c r="J54" s="72"/>
      <c r="K54" s="72"/>
      <c r="L54" s="72"/>
      <c r="M54" s="72"/>
      <c r="O54" s="64"/>
      <c r="P54" s="711"/>
      <c r="Q54" s="712"/>
      <c r="R54" s="712"/>
      <c r="S54" s="713"/>
      <c r="T54" s="485"/>
      <c r="U54" s="485"/>
      <c r="V54" s="485"/>
      <c r="W54" s="485"/>
      <c r="AB54" s="498"/>
      <c r="AC54" s="499"/>
      <c r="AD54" s="499"/>
      <c r="AE54" s="500"/>
      <c r="AF54" s="485"/>
      <c r="AG54" s="485"/>
      <c r="AH54" s="485"/>
      <c r="AI54" s="485"/>
      <c r="AJ54" s="485"/>
      <c r="AV54" s="529"/>
      <c r="AW54" s="530"/>
      <c r="AX54" s="530"/>
      <c r="AY54" s="531"/>
      <c r="AZ54" s="715"/>
      <c r="BA54" s="719"/>
      <c r="BB54" s="715"/>
      <c r="BC54" s="717"/>
      <c r="BD54" s="719"/>
      <c r="BE54" s="719"/>
      <c r="BF54" s="715"/>
      <c r="BG54" s="717"/>
      <c r="BH54" s="902"/>
      <c r="BI54" s="737"/>
      <c r="BJ54" s="740"/>
      <c r="BK54" s="749"/>
      <c r="BL54" s="741"/>
      <c r="BM54" s="737"/>
      <c r="BN54" s="737"/>
      <c r="BO54" s="740"/>
      <c r="BP54" s="741"/>
      <c r="BQ54" s="899"/>
      <c r="BT54" s="87"/>
      <c r="BU54" s="87"/>
      <c r="BV54" s="108"/>
      <c r="BW54" s="108"/>
      <c r="BX54" s="108"/>
      <c r="BY54" s="108"/>
      <c r="BZ54" s="108"/>
      <c r="CA54" s="108"/>
      <c r="CB54" s="108"/>
      <c r="CC54" s="108"/>
    </row>
    <row r="55" spans="4:84" ht="15.95" customHeight="1">
      <c r="D55" s="64"/>
      <c r="E55" s="64"/>
      <c r="F55" s="64"/>
      <c r="G55" s="81"/>
      <c r="H55" s="82"/>
      <c r="I55" s="72"/>
      <c r="J55" s="72"/>
      <c r="K55" s="72"/>
      <c r="L55" s="81"/>
      <c r="M55" s="82"/>
      <c r="O55" s="64"/>
      <c r="P55" s="782"/>
      <c r="Q55" s="547"/>
      <c r="R55" s="548"/>
      <c r="S55" s="549"/>
      <c r="T55" s="1018">
        <v>63</v>
      </c>
      <c r="U55" s="891">
        <f>W39</f>
        <v>70.21374999999999</v>
      </c>
      <c r="V55" s="643">
        <f>T55-U55</f>
        <v>-7.2137499999999903</v>
      </c>
      <c r="W55" s="752">
        <f>(T55-U55)/U55</f>
        <v>-0.1027398479642519</v>
      </c>
      <c r="AB55" s="782"/>
      <c r="AC55" s="547"/>
      <c r="AD55" s="548"/>
      <c r="AE55" s="549"/>
      <c r="AF55" s="641">
        <f>T55</f>
        <v>63</v>
      </c>
      <c r="AG55" s="643">
        <f>AG23-AF39</f>
        <v>4</v>
      </c>
      <c r="AH55" s="643">
        <f>AH23-AG39</f>
        <v>4</v>
      </c>
      <c r="AI55" s="643">
        <f>AG55+AH55</f>
        <v>8</v>
      </c>
      <c r="AJ55" s="650">
        <f>AF55*AI55</f>
        <v>504</v>
      </c>
      <c r="AV55" s="583"/>
      <c r="AW55" s="594"/>
      <c r="AX55" s="594"/>
      <c r="AY55" s="584"/>
      <c r="AZ55" s="728"/>
      <c r="BA55" s="703"/>
      <c r="BB55" s="728"/>
      <c r="BC55" s="701"/>
      <c r="BD55" s="703"/>
      <c r="BE55" s="703"/>
      <c r="BF55" s="728"/>
      <c r="BG55" s="701"/>
      <c r="BH55" s="932">
        <f>SUM(AZ55:BG56)</f>
        <v>0</v>
      </c>
      <c r="BI55" s="736">
        <f t="shared" ref="BI55" si="19">AZ55*$T$55+BA55*$T$55+BB55*$T$57+BC55*$T$57</f>
        <v>0</v>
      </c>
      <c r="BJ55" s="722"/>
      <c r="BK55" s="734"/>
      <c r="BL55" s="723"/>
      <c r="BM55" s="720"/>
      <c r="BN55" s="720"/>
      <c r="BO55" s="750"/>
      <c r="BP55" s="751"/>
      <c r="BQ55" s="930"/>
      <c r="BU55" s="175"/>
      <c r="BV55" s="41"/>
      <c r="BW55" s="41"/>
      <c r="BX55" s="41"/>
      <c r="BY55" s="41"/>
      <c r="BZ55" s="22"/>
      <c r="CA55" s="22"/>
      <c r="CB55" s="41"/>
      <c r="CC55" s="41"/>
      <c r="CE55" s="22"/>
      <c r="CF55" s="22"/>
    </row>
    <row r="56" spans="4:84" ht="15.95" customHeight="1" thickBot="1">
      <c r="D56" s="64"/>
      <c r="E56" s="64"/>
      <c r="F56" s="64"/>
      <c r="G56" s="81"/>
      <c r="H56" s="82"/>
      <c r="I56" s="72"/>
      <c r="J56" s="72"/>
      <c r="K56" s="72"/>
      <c r="L56" s="72"/>
      <c r="M56" s="72"/>
      <c r="O56" s="64"/>
      <c r="P56" s="1007"/>
      <c r="Q56" s="550"/>
      <c r="R56" s="551"/>
      <c r="S56" s="552"/>
      <c r="T56" s="1019"/>
      <c r="U56" s="892"/>
      <c r="V56" s="644"/>
      <c r="W56" s="753"/>
      <c r="AB56" s="1007"/>
      <c r="AC56" s="550"/>
      <c r="AD56" s="551"/>
      <c r="AE56" s="552"/>
      <c r="AF56" s="642"/>
      <c r="AG56" s="644"/>
      <c r="AH56" s="644"/>
      <c r="AI56" s="644"/>
      <c r="AJ56" s="651"/>
      <c r="AV56" s="529"/>
      <c r="AW56" s="530"/>
      <c r="AX56" s="530"/>
      <c r="AY56" s="531"/>
      <c r="AZ56" s="729"/>
      <c r="BA56" s="704"/>
      <c r="BB56" s="729"/>
      <c r="BC56" s="702"/>
      <c r="BD56" s="704"/>
      <c r="BE56" s="704"/>
      <c r="BF56" s="729"/>
      <c r="BG56" s="702"/>
      <c r="BH56" s="933"/>
      <c r="BI56" s="737"/>
      <c r="BJ56" s="724"/>
      <c r="BK56" s="735"/>
      <c r="BL56" s="725"/>
      <c r="BM56" s="721"/>
      <c r="BN56" s="721"/>
      <c r="BO56" s="750"/>
      <c r="BP56" s="751"/>
      <c r="BQ56" s="931"/>
      <c r="BV56" s="41"/>
      <c r="BW56" s="41"/>
      <c r="BX56" s="41"/>
      <c r="BY56" s="41"/>
      <c r="BZ56" s="41"/>
      <c r="CA56" s="41"/>
      <c r="CB56" s="22"/>
      <c r="CC56" s="22"/>
      <c r="CE56" s="22"/>
      <c r="CF56" s="22"/>
    </row>
    <row r="57" spans="4:84" ht="15.95" customHeight="1">
      <c r="D57" s="64"/>
      <c r="E57" s="64"/>
      <c r="F57" s="64"/>
      <c r="G57" s="81"/>
      <c r="H57" s="82"/>
      <c r="I57" s="72"/>
      <c r="J57" s="72"/>
      <c r="K57" s="72"/>
      <c r="L57" s="81"/>
      <c r="M57" s="82"/>
      <c r="O57" s="64"/>
      <c r="P57" s="1016"/>
      <c r="Q57" s="547"/>
      <c r="R57" s="548"/>
      <c r="S57" s="549"/>
      <c r="T57" s="1018">
        <v>33</v>
      </c>
      <c r="U57" s="591">
        <f>W41</f>
        <v>25.8</v>
      </c>
      <c r="V57" s="650">
        <f>T57-U57</f>
        <v>7.1999999999999993</v>
      </c>
      <c r="W57" s="752">
        <f>(T57-U57)/U57</f>
        <v>0.27906976744186041</v>
      </c>
      <c r="AB57" s="1016"/>
      <c r="AC57" s="547"/>
      <c r="AD57" s="548"/>
      <c r="AE57" s="549"/>
      <c r="AF57" s="641">
        <f>T57</f>
        <v>33</v>
      </c>
      <c r="AG57" s="643">
        <f>AG25-AF41</f>
        <v>7</v>
      </c>
      <c r="AH57" s="643">
        <f>AH25-AG41</f>
        <v>7</v>
      </c>
      <c r="AI57" s="643">
        <f>AG57+AH57</f>
        <v>14</v>
      </c>
      <c r="AJ57" s="650">
        <f>AF57*AI57</f>
        <v>462</v>
      </c>
      <c r="AV57" s="583"/>
      <c r="AW57" s="594"/>
      <c r="AX57" s="594"/>
      <c r="AY57" s="584"/>
      <c r="AZ57" s="714"/>
      <c r="BA57" s="718"/>
      <c r="BB57" s="714"/>
      <c r="BC57" s="716"/>
      <c r="BD57" s="718"/>
      <c r="BE57" s="718"/>
      <c r="BF57" s="714"/>
      <c r="BG57" s="716"/>
      <c r="BH57" s="901">
        <f>SUM(AZ57:BG58)</f>
        <v>0</v>
      </c>
      <c r="BI57" s="736">
        <f t="shared" ref="BI57" si="20">AZ57*$T$55+BA57*$T$55+BB57*$T$57+BC57*$T$57</f>
        <v>0</v>
      </c>
      <c r="BJ57" s="738"/>
      <c r="BK57" s="748"/>
      <c r="BL57" s="739"/>
      <c r="BM57" s="736"/>
      <c r="BN57" s="736"/>
      <c r="BO57" s="738"/>
      <c r="BP57" s="739"/>
      <c r="BQ57" s="898"/>
    </row>
    <row r="58" spans="4:84" ht="15.95" customHeight="1" thickBot="1">
      <c r="D58" s="64"/>
      <c r="E58" s="64"/>
      <c r="F58" s="64"/>
      <c r="G58" s="81"/>
      <c r="H58" s="82"/>
      <c r="I58" s="72"/>
      <c r="J58" s="72"/>
      <c r="K58" s="72"/>
      <c r="L58" s="72"/>
      <c r="M58" s="72"/>
      <c r="O58" s="64"/>
      <c r="P58" s="1017"/>
      <c r="Q58" s="550"/>
      <c r="R58" s="551"/>
      <c r="S58" s="552"/>
      <c r="T58" s="1019"/>
      <c r="U58" s="592"/>
      <c r="V58" s="644"/>
      <c r="W58" s="753"/>
      <c r="AB58" s="1017"/>
      <c r="AC58" s="550"/>
      <c r="AD58" s="551"/>
      <c r="AE58" s="552"/>
      <c r="AF58" s="642"/>
      <c r="AG58" s="644"/>
      <c r="AH58" s="644"/>
      <c r="AI58" s="644"/>
      <c r="AJ58" s="651"/>
      <c r="AV58" s="529"/>
      <c r="AW58" s="530"/>
      <c r="AX58" s="530"/>
      <c r="AY58" s="531"/>
      <c r="AZ58" s="715"/>
      <c r="BA58" s="719"/>
      <c r="BB58" s="715"/>
      <c r="BC58" s="717"/>
      <c r="BD58" s="719"/>
      <c r="BE58" s="719"/>
      <c r="BF58" s="715"/>
      <c r="BG58" s="717"/>
      <c r="BH58" s="902"/>
      <c r="BI58" s="737"/>
      <c r="BJ58" s="740"/>
      <c r="BK58" s="749"/>
      <c r="BL58" s="741"/>
      <c r="BM58" s="737"/>
      <c r="BN58" s="737"/>
      <c r="BO58" s="740"/>
      <c r="BP58" s="741"/>
      <c r="BQ58" s="899"/>
      <c r="BT58" s="87"/>
      <c r="BU58" s="87"/>
      <c r="BV58" s="108"/>
      <c r="BW58" s="108"/>
      <c r="BX58" s="108"/>
      <c r="BY58" s="108"/>
      <c r="BZ58" s="108"/>
      <c r="CA58" s="108"/>
      <c r="CB58" s="108"/>
      <c r="CC58" s="108"/>
    </row>
    <row r="59" spans="4:84" ht="15.95" customHeight="1">
      <c r="D59" s="64"/>
      <c r="E59" s="64"/>
      <c r="F59" s="64"/>
      <c r="G59" s="81"/>
      <c r="H59" s="82"/>
      <c r="I59" s="72"/>
      <c r="J59" s="72"/>
      <c r="K59" s="72"/>
      <c r="L59" s="81"/>
      <c r="M59" s="82"/>
      <c r="O59" s="64"/>
      <c r="P59" s="1014"/>
      <c r="Q59" s="547"/>
      <c r="R59" s="548"/>
      <c r="S59" s="549"/>
      <c r="T59" s="1018"/>
      <c r="U59" s="591"/>
      <c r="V59" s="650"/>
      <c r="W59" s="752"/>
      <c r="AB59" s="1014"/>
      <c r="AC59" s="547"/>
      <c r="AD59" s="548"/>
      <c r="AE59" s="549"/>
      <c r="AF59" s="641">
        <f>T59</f>
        <v>0</v>
      </c>
      <c r="AG59" s="643">
        <f>AG27-AF43</f>
        <v>0</v>
      </c>
      <c r="AH59" s="643">
        <f>AH27-AG43</f>
        <v>0</v>
      </c>
      <c r="AI59" s="643">
        <f>AG59+AH59</f>
        <v>0</v>
      </c>
      <c r="AJ59" s="650">
        <f>AF59*AI59</f>
        <v>0</v>
      </c>
      <c r="AV59" s="583"/>
      <c r="AW59" s="594"/>
      <c r="AX59" s="594"/>
      <c r="AY59" s="584"/>
      <c r="AZ59" s="728"/>
      <c r="BA59" s="703"/>
      <c r="BB59" s="728"/>
      <c r="BC59" s="701"/>
      <c r="BD59" s="703"/>
      <c r="BE59" s="703"/>
      <c r="BF59" s="728"/>
      <c r="BG59" s="701"/>
      <c r="BH59" s="932">
        <f>SUM(AZ59:BG60)</f>
        <v>0</v>
      </c>
      <c r="BI59" s="736">
        <f t="shared" ref="BI59" si="21">AZ59*$T$55+BA59*$T$55+BB59*$T$57+BC59*$T$57</f>
        <v>0</v>
      </c>
      <c r="BJ59" s="722"/>
      <c r="BK59" s="734"/>
      <c r="BL59" s="723"/>
      <c r="BM59" s="720"/>
      <c r="BN59" s="720"/>
      <c r="BO59" s="750"/>
      <c r="BP59" s="751"/>
      <c r="BQ59" s="930"/>
      <c r="BU59" s="175"/>
      <c r="BV59" s="41"/>
      <c r="BW59" s="41"/>
      <c r="BX59" s="41"/>
      <c r="BY59" s="41"/>
      <c r="BZ59" s="22"/>
      <c r="CA59" s="22"/>
      <c r="CB59" s="41"/>
      <c r="CC59" s="41"/>
      <c r="CE59" s="22"/>
      <c r="CF59" s="22"/>
    </row>
    <row r="60" spans="4:84" ht="15.95" customHeight="1" thickBot="1">
      <c r="D60" s="64"/>
      <c r="E60" s="64"/>
      <c r="F60" s="64"/>
      <c r="G60" s="81"/>
      <c r="H60" s="82"/>
      <c r="I60" s="72"/>
      <c r="J60" s="72"/>
      <c r="K60" s="72"/>
      <c r="L60" s="72"/>
      <c r="M60" s="72"/>
      <c r="O60" s="64"/>
      <c r="P60" s="1015"/>
      <c r="Q60" s="550"/>
      <c r="R60" s="551"/>
      <c r="S60" s="552"/>
      <c r="T60" s="1019"/>
      <c r="U60" s="592"/>
      <c r="V60" s="644"/>
      <c r="W60" s="753"/>
      <c r="AB60" s="1015"/>
      <c r="AC60" s="550"/>
      <c r="AD60" s="551"/>
      <c r="AE60" s="552"/>
      <c r="AF60" s="642"/>
      <c r="AG60" s="644"/>
      <c r="AH60" s="644"/>
      <c r="AI60" s="644"/>
      <c r="AJ60" s="651"/>
      <c r="AV60" s="529"/>
      <c r="AW60" s="530"/>
      <c r="AX60" s="530"/>
      <c r="AY60" s="531"/>
      <c r="AZ60" s="729"/>
      <c r="BA60" s="704"/>
      <c r="BB60" s="729"/>
      <c r="BC60" s="702"/>
      <c r="BD60" s="704"/>
      <c r="BE60" s="704"/>
      <c r="BF60" s="729"/>
      <c r="BG60" s="702"/>
      <c r="BH60" s="933"/>
      <c r="BI60" s="737"/>
      <c r="BJ60" s="724"/>
      <c r="BK60" s="735"/>
      <c r="BL60" s="725"/>
      <c r="BM60" s="721"/>
      <c r="BN60" s="721"/>
      <c r="BO60" s="750"/>
      <c r="BP60" s="751"/>
      <c r="BQ60" s="931"/>
      <c r="BV60" s="41"/>
      <c r="BW60" s="41"/>
      <c r="BX60" s="41"/>
      <c r="BY60" s="41"/>
      <c r="BZ60" s="41"/>
      <c r="CA60" s="41"/>
      <c r="CB60" s="22"/>
      <c r="CC60" s="22"/>
      <c r="CE60" s="22"/>
      <c r="CF60" s="22"/>
    </row>
    <row r="61" spans="4:84" ht="15.95" customHeight="1">
      <c r="D61" s="64"/>
      <c r="E61" s="64"/>
      <c r="F61" s="64"/>
      <c r="G61" s="81"/>
      <c r="H61" s="82"/>
      <c r="I61" s="72"/>
      <c r="J61" s="72"/>
      <c r="K61" s="72"/>
      <c r="L61" s="81"/>
      <c r="M61" s="82"/>
      <c r="O61" s="64"/>
      <c r="P61" s="1012"/>
      <c r="Q61" s="547"/>
      <c r="R61" s="548"/>
      <c r="S61" s="549"/>
      <c r="T61" s="1018"/>
      <c r="U61" s="591"/>
      <c r="V61" s="650"/>
      <c r="W61" s="752"/>
      <c r="AB61" s="1012"/>
      <c r="AC61" s="547"/>
      <c r="AD61" s="548"/>
      <c r="AE61" s="549"/>
      <c r="AF61" s="641">
        <f>T61</f>
        <v>0</v>
      </c>
      <c r="AG61" s="643">
        <f>AG29-AF45</f>
        <v>0</v>
      </c>
      <c r="AH61" s="643">
        <f>AH29-AG45</f>
        <v>0</v>
      </c>
      <c r="AI61" s="643">
        <f>AG61+AH61</f>
        <v>0</v>
      </c>
      <c r="AJ61" s="650">
        <f>AF61*AI61</f>
        <v>0</v>
      </c>
      <c r="AV61" s="583"/>
      <c r="AW61" s="594"/>
      <c r="AX61" s="594"/>
      <c r="AY61" s="584"/>
      <c r="AZ61" s="714"/>
      <c r="BA61" s="718"/>
      <c r="BB61" s="714"/>
      <c r="BC61" s="716"/>
      <c r="BD61" s="718"/>
      <c r="BE61" s="718"/>
      <c r="BF61" s="714"/>
      <c r="BG61" s="716"/>
      <c r="BH61" s="901">
        <f>SUM(AZ61:BG62)</f>
        <v>0</v>
      </c>
      <c r="BI61" s="736">
        <f t="shared" ref="BI61" si="22">AZ61*$T$55+BA61*$T$55+BB61*$T$57+BC61*$T$57</f>
        <v>0</v>
      </c>
      <c r="BJ61" s="738"/>
      <c r="BK61" s="748"/>
      <c r="BL61" s="739"/>
      <c r="BM61" s="736"/>
      <c r="BN61" s="736"/>
      <c r="BO61" s="738"/>
      <c r="BP61" s="739"/>
      <c r="BQ61" s="898"/>
    </row>
    <row r="62" spans="4:84" ht="15.95" customHeight="1" thickBot="1">
      <c r="D62" s="64"/>
      <c r="E62" s="64"/>
      <c r="F62" s="64"/>
      <c r="G62" s="81"/>
      <c r="H62" s="82"/>
      <c r="I62" s="72"/>
      <c r="J62" s="72"/>
      <c r="K62" s="72"/>
      <c r="L62" s="72"/>
      <c r="M62" s="72"/>
      <c r="O62" s="64"/>
      <c r="P62" s="1013"/>
      <c r="Q62" s="550"/>
      <c r="R62" s="551"/>
      <c r="S62" s="552"/>
      <c r="T62" s="1020"/>
      <c r="U62" s="929"/>
      <c r="V62" s="664"/>
      <c r="W62" s="758"/>
      <c r="AB62" s="1013"/>
      <c r="AC62" s="550"/>
      <c r="AD62" s="551"/>
      <c r="AE62" s="552"/>
      <c r="AF62" s="656"/>
      <c r="AG62" s="664"/>
      <c r="AH62" s="664"/>
      <c r="AI62" s="644"/>
      <c r="AJ62" s="651"/>
      <c r="AV62" s="529"/>
      <c r="AW62" s="530"/>
      <c r="AX62" s="530"/>
      <c r="AY62" s="531"/>
      <c r="AZ62" s="715"/>
      <c r="BA62" s="719"/>
      <c r="BB62" s="715"/>
      <c r="BC62" s="717"/>
      <c r="BD62" s="719"/>
      <c r="BE62" s="719"/>
      <c r="BF62" s="715"/>
      <c r="BG62" s="717"/>
      <c r="BH62" s="902"/>
      <c r="BI62" s="737"/>
      <c r="BJ62" s="740"/>
      <c r="BK62" s="749"/>
      <c r="BL62" s="741"/>
      <c r="BM62" s="737"/>
      <c r="BN62" s="737"/>
      <c r="BO62" s="740"/>
      <c r="BP62" s="741"/>
      <c r="BQ62" s="899"/>
      <c r="BT62" s="87"/>
      <c r="BU62" s="87"/>
      <c r="BV62" s="108"/>
      <c r="BW62" s="108"/>
      <c r="BX62" s="108"/>
      <c r="BY62" s="108"/>
      <c r="BZ62" s="108"/>
      <c r="CA62" s="108"/>
      <c r="CB62" s="108"/>
      <c r="CC62" s="108"/>
    </row>
    <row r="63" spans="4:84" ht="15.95" customHeight="1">
      <c r="D63" s="64"/>
      <c r="E63" s="64"/>
      <c r="F63" s="64"/>
      <c r="G63" s="81"/>
      <c r="H63" s="82"/>
      <c r="I63" s="72"/>
      <c r="J63" s="72"/>
      <c r="K63" s="72"/>
      <c r="L63" s="81"/>
      <c r="M63" s="82"/>
      <c r="O63" s="64"/>
      <c r="AF63" s="72"/>
      <c r="AG63" s="72"/>
      <c r="AH63" s="72"/>
      <c r="AI63" s="643">
        <f>SUM(AI55:AI62)</f>
        <v>22</v>
      </c>
      <c r="AJ63" s="650">
        <f>SUM(AJ55:AJ62)</f>
        <v>966</v>
      </c>
      <c r="AV63" s="583"/>
      <c r="AW63" s="594"/>
      <c r="AX63" s="594"/>
      <c r="AY63" s="584"/>
      <c r="AZ63" s="728"/>
      <c r="BA63" s="703"/>
      <c r="BB63" s="728"/>
      <c r="BC63" s="701"/>
      <c r="BD63" s="703"/>
      <c r="BE63" s="703"/>
      <c r="BF63" s="728"/>
      <c r="BG63" s="701"/>
      <c r="BH63" s="932">
        <f>SUM(AZ63:BG64)</f>
        <v>0</v>
      </c>
      <c r="BI63" s="736">
        <f t="shared" ref="BI63" si="23">AZ63*$T$55+BA63*$T$55+BB63*$T$57+BC63*$T$57</f>
        <v>0</v>
      </c>
      <c r="BJ63" s="722"/>
      <c r="BK63" s="734"/>
      <c r="BL63" s="723"/>
      <c r="BM63" s="720"/>
      <c r="BN63" s="720"/>
      <c r="BO63" s="750"/>
      <c r="BP63" s="751"/>
      <c r="BQ63" s="930"/>
      <c r="BU63" s="175"/>
      <c r="BV63" s="41"/>
      <c r="BW63" s="41"/>
      <c r="BX63" s="41"/>
      <c r="BY63" s="41"/>
      <c r="BZ63" s="22"/>
      <c r="CA63" s="22"/>
      <c r="CB63" s="41"/>
      <c r="CC63" s="41"/>
      <c r="CE63" s="22"/>
      <c r="CF63" s="22"/>
    </row>
    <row r="64" spans="4:84" ht="15.95" customHeight="1" thickBot="1">
      <c r="D64" s="64"/>
      <c r="E64" s="64"/>
      <c r="F64" s="64"/>
      <c r="G64" s="81"/>
      <c r="H64" s="82"/>
      <c r="I64" s="72"/>
      <c r="J64" s="72"/>
      <c r="K64" s="72"/>
      <c r="L64" s="72"/>
      <c r="M64" s="72"/>
      <c r="O64" s="64"/>
      <c r="AF64" s="72"/>
      <c r="AG64" s="72"/>
      <c r="AH64" s="72"/>
      <c r="AI64" s="664"/>
      <c r="AJ64" s="665"/>
      <c r="AV64" s="529"/>
      <c r="AW64" s="530"/>
      <c r="AX64" s="530"/>
      <c r="AY64" s="531"/>
      <c r="AZ64" s="729"/>
      <c r="BA64" s="704"/>
      <c r="BB64" s="729"/>
      <c r="BC64" s="702"/>
      <c r="BD64" s="704"/>
      <c r="BE64" s="704"/>
      <c r="BF64" s="729"/>
      <c r="BG64" s="702"/>
      <c r="BH64" s="933"/>
      <c r="BI64" s="737"/>
      <c r="BJ64" s="724"/>
      <c r="BK64" s="735"/>
      <c r="BL64" s="725"/>
      <c r="BM64" s="721"/>
      <c r="BN64" s="721"/>
      <c r="BO64" s="750"/>
      <c r="BP64" s="751"/>
      <c r="BQ64" s="931"/>
      <c r="BV64" s="41"/>
      <c r="BW64" s="41"/>
      <c r="BX64" s="41"/>
      <c r="BY64" s="41"/>
      <c r="BZ64" s="41"/>
      <c r="CA64" s="41"/>
      <c r="CB64" s="22"/>
      <c r="CC64" s="22"/>
      <c r="CE64" s="22"/>
      <c r="CF64" s="22"/>
    </row>
    <row r="65" spans="4:84" ht="15.95" customHeight="1">
      <c r="D65" s="64"/>
      <c r="E65" s="64"/>
      <c r="F65" s="64"/>
      <c r="G65" s="81"/>
      <c r="H65" s="82"/>
      <c r="I65" s="72"/>
      <c r="J65" s="72"/>
      <c r="K65" s="72"/>
      <c r="L65" s="81"/>
      <c r="M65" s="82"/>
      <c r="O65" s="64"/>
      <c r="AV65" s="583"/>
      <c r="AW65" s="594"/>
      <c r="AX65" s="594"/>
      <c r="AY65" s="584"/>
      <c r="AZ65" s="714"/>
      <c r="BA65" s="718"/>
      <c r="BB65" s="714"/>
      <c r="BC65" s="716"/>
      <c r="BD65" s="718"/>
      <c r="BE65" s="718"/>
      <c r="BF65" s="714"/>
      <c r="BG65" s="716"/>
      <c r="BH65" s="901">
        <f>SUM(AZ65:BG66)</f>
        <v>0</v>
      </c>
      <c r="BI65" s="736">
        <f t="shared" ref="BI65" si="24">AZ65*$T$55+BA65*$T$55+BB65*$T$57+BC65*$T$57</f>
        <v>0</v>
      </c>
      <c r="BJ65" s="738"/>
      <c r="BK65" s="748"/>
      <c r="BL65" s="739"/>
      <c r="BM65" s="736"/>
      <c r="BN65" s="736"/>
      <c r="BO65" s="738"/>
      <c r="BP65" s="739"/>
      <c r="BQ65" s="898"/>
    </row>
    <row r="66" spans="4:84" ht="15.95" customHeight="1" thickBot="1">
      <c r="D66" s="64"/>
      <c r="E66" s="64"/>
      <c r="F66" s="64"/>
      <c r="G66" s="81"/>
      <c r="H66" s="82"/>
      <c r="I66" s="72"/>
      <c r="J66" s="72"/>
      <c r="K66" s="72"/>
      <c r="L66" s="72"/>
      <c r="M66" s="72"/>
      <c r="O66" s="64"/>
      <c r="AJ66" s="86"/>
      <c r="AV66" s="529"/>
      <c r="AW66" s="530"/>
      <c r="AX66" s="530"/>
      <c r="AY66" s="531"/>
      <c r="AZ66" s="715"/>
      <c r="BA66" s="719"/>
      <c r="BB66" s="715"/>
      <c r="BC66" s="717"/>
      <c r="BD66" s="719"/>
      <c r="BE66" s="719"/>
      <c r="BF66" s="715"/>
      <c r="BG66" s="717"/>
      <c r="BH66" s="902"/>
      <c r="BI66" s="737"/>
      <c r="BJ66" s="740"/>
      <c r="BK66" s="749"/>
      <c r="BL66" s="741"/>
      <c r="BM66" s="737"/>
      <c r="BN66" s="737"/>
      <c r="BO66" s="740"/>
      <c r="BP66" s="741"/>
      <c r="BQ66" s="899"/>
      <c r="BT66" s="87"/>
      <c r="BU66" s="87"/>
      <c r="BV66" s="108"/>
      <c r="BW66" s="108"/>
      <c r="BX66" s="108"/>
      <c r="BY66" s="108"/>
      <c r="BZ66" s="108"/>
      <c r="CA66" s="108"/>
      <c r="CB66" s="108"/>
      <c r="CC66" s="108"/>
    </row>
    <row r="67" spans="4:84" ht="15.95" customHeight="1">
      <c r="D67" s="64"/>
      <c r="E67" s="64"/>
      <c r="F67" s="64"/>
      <c r="G67" s="81"/>
      <c r="H67" s="82"/>
      <c r="I67" s="72"/>
      <c r="J67" s="72"/>
      <c r="K67" s="72"/>
      <c r="L67" s="81"/>
      <c r="M67" s="82"/>
      <c r="O67" s="64"/>
      <c r="AV67" s="583"/>
      <c r="AW67" s="594"/>
      <c r="AX67" s="594"/>
      <c r="AY67" s="584"/>
      <c r="AZ67" s="728"/>
      <c r="BA67" s="703"/>
      <c r="BB67" s="728"/>
      <c r="BC67" s="701"/>
      <c r="BD67" s="703"/>
      <c r="BE67" s="703"/>
      <c r="BF67" s="728"/>
      <c r="BG67" s="701"/>
      <c r="BH67" s="932">
        <f>SUM(AZ67:BG68)</f>
        <v>0</v>
      </c>
      <c r="BI67" s="736">
        <f t="shared" ref="BI67" si="25">AZ67*$T$55+BA67*$T$55+BB67*$T$57+BC67*$T$57</f>
        <v>0</v>
      </c>
      <c r="BJ67" s="722"/>
      <c r="BK67" s="734"/>
      <c r="BL67" s="723"/>
      <c r="BM67" s="720"/>
      <c r="BN67" s="720"/>
      <c r="BO67" s="750"/>
      <c r="BP67" s="751"/>
      <c r="BQ67" s="930"/>
      <c r="BU67" s="175"/>
      <c r="BV67" s="41"/>
      <c r="BW67" s="41"/>
      <c r="BX67" s="41"/>
      <c r="BY67" s="41"/>
      <c r="BZ67" s="22"/>
      <c r="CA67" s="22"/>
      <c r="CB67" s="41"/>
      <c r="CC67" s="41"/>
      <c r="CE67" s="22"/>
      <c r="CF67" s="22"/>
    </row>
    <row r="68" spans="4:84" ht="15.95" customHeight="1" thickBot="1">
      <c r="D68" s="64"/>
      <c r="E68" s="64"/>
      <c r="F68" s="64"/>
      <c r="G68" s="81"/>
      <c r="H68" s="82"/>
      <c r="I68" s="72"/>
      <c r="J68" s="72"/>
      <c r="K68" s="72"/>
      <c r="L68" s="72"/>
      <c r="M68" s="72"/>
      <c r="O68" s="64"/>
      <c r="AV68" s="529"/>
      <c r="AW68" s="530"/>
      <c r="AX68" s="530"/>
      <c r="AY68" s="531"/>
      <c r="AZ68" s="729"/>
      <c r="BA68" s="704"/>
      <c r="BB68" s="729"/>
      <c r="BC68" s="702"/>
      <c r="BD68" s="704"/>
      <c r="BE68" s="704"/>
      <c r="BF68" s="729"/>
      <c r="BG68" s="702"/>
      <c r="BH68" s="933"/>
      <c r="BI68" s="737"/>
      <c r="BJ68" s="724"/>
      <c r="BK68" s="735"/>
      <c r="BL68" s="725"/>
      <c r="BM68" s="721"/>
      <c r="BN68" s="721"/>
      <c r="BO68" s="750"/>
      <c r="BP68" s="751"/>
      <c r="BQ68" s="931"/>
      <c r="BV68" s="41"/>
      <c r="BW68" s="41"/>
      <c r="BX68" s="41"/>
      <c r="BY68" s="41"/>
      <c r="BZ68" s="41"/>
      <c r="CA68" s="41"/>
      <c r="CB68" s="22"/>
      <c r="CC68" s="22"/>
      <c r="CE68" s="22"/>
      <c r="CF68" s="22"/>
    </row>
    <row r="69" spans="4:84" ht="15.95" customHeight="1">
      <c r="D69" s="64"/>
      <c r="E69" s="64"/>
      <c r="F69" s="64"/>
      <c r="G69" s="81"/>
      <c r="H69" s="82"/>
      <c r="I69" s="72"/>
      <c r="J69" s="72"/>
      <c r="K69" s="72"/>
      <c r="L69" s="81"/>
      <c r="M69" s="82"/>
      <c r="O69" s="64"/>
      <c r="AV69" s="583"/>
      <c r="AW69" s="594"/>
      <c r="AX69" s="594"/>
      <c r="AY69" s="584"/>
      <c r="AZ69" s="714"/>
      <c r="BA69" s="718"/>
      <c r="BB69" s="714"/>
      <c r="BC69" s="716"/>
      <c r="BD69" s="718"/>
      <c r="BE69" s="718"/>
      <c r="BF69" s="714"/>
      <c r="BG69" s="716"/>
      <c r="BH69" s="901">
        <f>SUM(AZ69:BG70)</f>
        <v>0</v>
      </c>
      <c r="BI69" s="736">
        <f t="shared" ref="BI69" si="26">AZ69*$T$55+BA69*$T$55+BB69*$T$57+BC69*$T$57</f>
        <v>0</v>
      </c>
      <c r="BJ69" s="738"/>
      <c r="BK69" s="748"/>
      <c r="BL69" s="739"/>
      <c r="BM69" s="736"/>
      <c r="BN69" s="736"/>
      <c r="BO69" s="738"/>
      <c r="BP69" s="739"/>
      <c r="BQ69" s="898"/>
    </row>
    <row r="70" spans="4:84" ht="15.95" customHeight="1" thickBot="1">
      <c r="D70" s="64"/>
      <c r="E70" s="64"/>
      <c r="F70" s="64"/>
      <c r="G70" s="81"/>
      <c r="H70" s="82"/>
      <c r="I70" s="72"/>
      <c r="J70" s="72"/>
      <c r="K70" s="72"/>
      <c r="L70" s="72"/>
      <c r="M70" s="72"/>
      <c r="O70" s="64"/>
      <c r="AV70" s="585"/>
      <c r="AW70" s="595"/>
      <c r="AX70" s="595"/>
      <c r="AY70" s="586"/>
      <c r="AZ70" s="715"/>
      <c r="BA70" s="719"/>
      <c r="BB70" s="715"/>
      <c r="BC70" s="717"/>
      <c r="BD70" s="719"/>
      <c r="BE70" s="719"/>
      <c r="BF70" s="715"/>
      <c r="BG70" s="717"/>
      <c r="BH70" s="902"/>
      <c r="BI70" s="737"/>
      <c r="BJ70" s="740"/>
      <c r="BK70" s="749"/>
      <c r="BL70" s="741"/>
      <c r="BM70" s="737"/>
      <c r="BN70" s="737"/>
      <c r="BO70" s="740"/>
      <c r="BP70" s="741"/>
      <c r="BQ70" s="899"/>
    </row>
    <row r="71" spans="4:84" ht="15.95" customHeight="1" thickBot="1">
      <c r="D71" s="64"/>
      <c r="E71" s="64"/>
      <c r="F71" s="64"/>
      <c r="G71" s="81"/>
      <c r="H71" s="82"/>
      <c r="I71" s="72"/>
      <c r="J71" s="72"/>
      <c r="K71" s="72"/>
      <c r="L71" s="81"/>
      <c r="M71" s="82"/>
      <c r="O71" s="64"/>
      <c r="P71" s="87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</row>
    <row r="72" spans="4:84" ht="15.95" customHeight="1">
      <c r="D72" s="64"/>
      <c r="E72" s="64"/>
      <c r="F72" s="64"/>
      <c r="G72" s="81"/>
      <c r="H72" s="82"/>
      <c r="I72" s="72"/>
      <c r="J72" s="72"/>
      <c r="K72" s="72"/>
      <c r="L72" s="72"/>
      <c r="M72" s="72"/>
      <c r="O72" s="64"/>
      <c r="AX72" s="523" t="s">
        <v>136</v>
      </c>
      <c r="AY72" s="525"/>
      <c r="AZ72" s="649">
        <f>SUM(AZ9:AZ70)</f>
        <v>2</v>
      </c>
      <c r="BA72" s="649">
        <f t="shared" ref="BA72:BG72" si="27">SUM(BA9:BA70)</f>
        <v>4</v>
      </c>
      <c r="BB72" s="649">
        <f t="shared" si="27"/>
        <v>5</v>
      </c>
      <c r="BC72" s="649">
        <f t="shared" si="27"/>
        <v>4</v>
      </c>
      <c r="BD72" s="649">
        <f t="shared" si="27"/>
        <v>0</v>
      </c>
      <c r="BE72" s="649">
        <f t="shared" si="27"/>
        <v>0</v>
      </c>
      <c r="BF72" s="649">
        <f t="shared" si="27"/>
        <v>0</v>
      </c>
      <c r="BG72" s="649">
        <f t="shared" si="27"/>
        <v>0</v>
      </c>
      <c r="BH72" s="763">
        <f>SUM(BH9:BH70)</f>
        <v>15</v>
      </c>
      <c r="BI72" s="762">
        <f>SUM(BI9:BI70)</f>
        <v>635</v>
      </c>
      <c r="BJ72" s="72"/>
      <c r="BK72" s="72"/>
      <c r="BL72" s="72"/>
      <c r="BM72" s="762">
        <f>SUM(BM9:BM70)</f>
        <v>0</v>
      </c>
      <c r="BN72" s="762">
        <f>SUM(BN9:BN70)</f>
        <v>644</v>
      </c>
      <c r="BO72" s="762">
        <f>SUM(BO9:BP70)</f>
        <v>0</v>
      </c>
      <c r="BP72" s="72"/>
      <c r="BQ72" s="72"/>
    </row>
    <row r="73" spans="4:84" ht="15.95" customHeight="1" thickBot="1">
      <c r="D73" s="64"/>
      <c r="E73" s="64"/>
      <c r="F73" s="64"/>
      <c r="G73" s="81"/>
      <c r="H73" s="82"/>
      <c r="I73" s="72"/>
      <c r="J73" s="72"/>
      <c r="K73" s="72"/>
      <c r="L73" s="81"/>
      <c r="M73" s="82"/>
      <c r="O73" s="64"/>
      <c r="AX73" s="526"/>
      <c r="AY73" s="528"/>
      <c r="AZ73" s="657"/>
      <c r="BA73" s="657"/>
      <c r="BB73" s="657"/>
      <c r="BC73" s="657"/>
      <c r="BD73" s="657"/>
      <c r="BE73" s="657"/>
      <c r="BF73" s="657"/>
      <c r="BG73" s="657"/>
      <c r="BH73" s="761"/>
      <c r="BI73" s="761"/>
      <c r="BJ73" s="72"/>
      <c r="BK73" s="72"/>
      <c r="BL73" s="72"/>
      <c r="BM73" s="761"/>
      <c r="BN73" s="761"/>
      <c r="BO73" s="761"/>
      <c r="BP73" s="72"/>
      <c r="BQ73" s="72"/>
    </row>
    <row r="74" spans="4:84" ht="15.95" customHeight="1">
      <c r="D74" s="64"/>
      <c r="E74" s="64"/>
      <c r="F74" s="64"/>
      <c r="G74" s="81"/>
      <c r="H74" s="82"/>
      <c r="I74" s="72"/>
      <c r="J74" s="72"/>
      <c r="K74" s="72"/>
      <c r="L74" s="72"/>
      <c r="M74" s="72"/>
      <c r="O74" s="64"/>
      <c r="AX74" s="523" t="s">
        <v>137</v>
      </c>
      <c r="AY74" s="525"/>
      <c r="AZ74" s="649">
        <f t="shared" ref="AZ74:BH74" si="28">AZ5-AZ72</f>
        <v>2</v>
      </c>
      <c r="BA74" s="649">
        <f t="shared" si="28"/>
        <v>0</v>
      </c>
      <c r="BB74" s="649">
        <f t="shared" si="28"/>
        <v>2</v>
      </c>
      <c r="BC74" s="649">
        <f t="shared" si="28"/>
        <v>3</v>
      </c>
      <c r="BD74" s="649">
        <f t="shared" si="28"/>
        <v>0</v>
      </c>
      <c r="BE74" s="649">
        <f t="shared" si="28"/>
        <v>0</v>
      </c>
      <c r="BF74" s="649">
        <f t="shared" si="28"/>
        <v>0</v>
      </c>
      <c r="BG74" s="649">
        <f t="shared" si="28"/>
        <v>0</v>
      </c>
      <c r="BH74" s="763">
        <f t="shared" si="28"/>
        <v>7</v>
      </c>
      <c r="BI74" s="72"/>
      <c r="BJ74" s="72"/>
      <c r="BK74" s="72"/>
      <c r="BL74" s="72"/>
      <c r="BM74" s="72"/>
      <c r="BN74" s="474">
        <f>BM72+BN72+BO72</f>
        <v>644</v>
      </c>
      <c r="BO74" s="72"/>
      <c r="BP74" s="72"/>
      <c r="BQ74" s="72"/>
    </row>
    <row r="75" spans="4:84" ht="15.95" customHeight="1" thickBot="1">
      <c r="G75" s="72"/>
      <c r="H75" s="72"/>
      <c r="I75" s="77"/>
      <c r="J75" s="77"/>
      <c r="K75" s="77"/>
      <c r="L75" s="84"/>
      <c r="M75" s="85"/>
      <c r="AX75" s="526"/>
      <c r="AY75" s="528"/>
      <c r="AZ75" s="657"/>
      <c r="BA75" s="657"/>
      <c r="BB75" s="657"/>
      <c r="BC75" s="657"/>
      <c r="BD75" s="657"/>
      <c r="BE75" s="657"/>
      <c r="BF75" s="657"/>
      <c r="BG75" s="657"/>
      <c r="BH75" s="761"/>
      <c r="BI75" s="72"/>
      <c r="BJ75" s="72"/>
      <c r="BK75" s="72"/>
      <c r="BL75" s="72"/>
      <c r="BM75" s="72"/>
      <c r="BN75" s="764"/>
      <c r="BO75" s="72"/>
      <c r="BP75" s="72"/>
      <c r="BQ75" s="72"/>
    </row>
    <row r="76" spans="4:84" ht="15.95" customHeight="1" thickBot="1">
      <c r="G76" s="72"/>
      <c r="H76" s="72"/>
      <c r="I76" s="77"/>
      <c r="J76" s="77"/>
      <c r="K76" s="77"/>
      <c r="L76" s="77"/>
      <c r="M76" s="77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</row>
    <row r="77" spans="4:84" ht="15.95" customHeight="1" thickBot="1"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533" t="s">
        <v>98</v>
      </c>
      <c r="BL77" s="534"/>
      <c r="BM77" s="534"/>
      <c r="BN77" s="534"/>
      <c r="BO77" s="535"/>
      <c r="BP77" s="488">
        <f>BN74</f>
        <v>644</v>
      </c>
      <c r="BQ77" s="489"/>
    </row>
    <row r="78" spans="4:84" ht="15.95" customHeight="1" thickBot="1">
      <c r="AX78" s="523" t="s">
        <v>136</v>
      </c>
      <c r="AY78" s="525"/>
      <c r="AZ78" s="763">
        <f>BH72</f>
        <v>15</v>
      </c>
      <c r="BA78" s="72"/>
      <c r="BB78" s="72"/>
      <c r="BC78" s="72"/>
      <c r="BD78" s="72"/>
      <c r="BE78" s="72"/>
      <c r="BF78" s="72"/>
      <c r="BG78" s="72"/>
      <c r="BH78" s="88"/>
      <c r="BI78" s="88"/>
      <c r="BJ78" s="72"/>
      <c r="BK78" s="536"/>
      <c r="BL78" s="537"/>
      <c r="BM78" s="537"/>
      <c r="BN78" s="537"/>
      <c r="BO78" s="538"/>
      <c r="BP78" s="490"/>
      <c r="BQ78" s="491"/>
    </row>
    <row r="79" spans="4:84" ht="15.95" customHeight="1" thickBot="1">
      <c r="AX79" s="526"/>
      <c r="AY79" s="528"/>
      <c r="AZ79" s="761"/>
      <c r="BA79" s="72"/>
      <c r="BB79" s="72"/>
      <c r="BC79" s="72"/>
      <c r="BD79" s="72"/>
      <c r="BE79" s="72"/>
      <c r="BF79" s="72"/>
      <c r="BG79" s="72"/>
      <c r="BH79" s="89"/>
      <c r="BI79" s="82"/>
      <c r="BJ79" s="72"/>
      <c r="BP79" s="70"/>
      <c r="BQ79" s="70"/>
    </row>
    <row r="80" spans="4:84" ht="15.95" customHeight="1">
      <c r="AX80" s="523" t="s">
        <v>137</v>
      </c>
      <c r="AY80" s="525"/>
      <c r="AZ80" s="763">
        <f>BH74</f>
        <v>7</v>
      </c>
      <c r="BA80" s="72"/>
      <c r="BB80" s="72"/>
      <c r="BC80" s="72"/>
      <c r="BD80" s="72"/>
      <c r="BE80" s="72"/>
      <c r="BF80" s="72"/>
      <c r="BG80" s="72"/>
      <c r="BH80" s="89"/>
      <c r="BI80" s="82"/>
      <c r="BJ80" s="72"/>
      <c r="BK80" s="583" t="s">
        <v>278</v>
      </c>
      <c r="BL80" s="594"/>
      <c r="BM80" s="594"/>
      <c r="BN80" s="594"/>
      <c r="BO80" s="584"/>
      <c r="BP80" s="427">
        <f>AR6</f>
        <v>387</v>
      </c>
      <c r="BQ80" s="428"/>
    </row>
    <row r="81" spans="4:69" ht="15.95" customHeight="1" thickBot="1">
      <c r="AX81" s="526"/>
      <c r="AY81" s="528"/>
      <c r="AZ81" s="761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529"/>
      <c r="BL81" s="530"/>
      <c r="BM81" s="530"/>
      <c r="BN81" s="530"/>
      <c r="BO81" s="531"/>
      <c r="BP81" s="429"/>
      <c r="BQ81" s="430"/>
    </row>
    <row r="82" spans="4:69" ht="15.95" customHeight="1">
      <c r="BK82" s="529" t="s">
        <v>421</v>
      </c>
      <c r="BL82" s="530"/>
      <c r="BM82" s="530"/>
      <c r="BN82" s="530"/>
      <c r="BO82" s="531"/>
      <c r="BP82" s="532">
        <f>AR8</f>
        <v>532.66999999999996</v>
      </c>
      <c r="BQ82" s="430"/>
    </row>
    <row r="83" spans="4:69" ht="15.95" customHeight="1">
      <c r="BK83" s="529"/>
      <c r="BL83" s="530"/>
      <c r="BM83" s="530"/>
      <c r="BN83" s="530"/>
      <c r="BO83" s="531"/>
      <c r="BP83" s="429"/>
      <c r="BQ83" s="430"/>
    </row>
    <row r="84" spans="4:69" ht="15.95" customHeight="1">
      <c r="BK84" s="529" t="s">
        <v>141</v>
      </c>
      <c r="BL84" s="530"/>
      <c r="BM84" s="530"/>
      <c r="BN84" s="530"/>
      <c r="BO84" s="531"/>
      <c r="BP84" s="532">
        <f>AR10</f>
        <v>29.04</v>
      </c>
      <c r="BQ84" s="430"/>
    </row>
    <row r="85" spans="4:69" ht="15.95" customHeight="1">
      <c r="BK85" s="529"/>
      <c r="BL85" s="530"/>
      <c r="BM85" s="530"/>
      <c r="BN85" s="530"/>
      <c r="BO85" s="531"/>
      <c r="BP85" s="429"/>
      <c r="BQ85" s="430"/>
    </row>
    <row r="86" spans="4:69" ht="15.95" customHeight="1">
      <c r="BK86" s="529"/>
      <c r="BL86" s="530"/>
      <c r="BM86" s="530"/>
      <c r="BN86" s="530"/>
      <c r="BO86" s="531"/>
      <c r="BP86" s="532"/>
      <c r="BQ86" s="430"/>
    </row>
    <row r="87" spans="4:69" ht="15.95" customHeight="1">
      <c r="D87" s="64"/>
      <c r="E87" s="64"/>
      <c r="F87" s="64"/>
      <c r="G87" s="79"/>
      <c r="H87" s="80"/>
      <c r="BK87" s="529"/>
      <c r="BL87" s="530"/>
      <c r="BM87" s="530"/>
      <c r="BN87" s="530"/>
      <c r="BO87" s="531"/>
      <c r="BP87" s="429"/>
      <c r="BQ87" s="430"/>
    </row>
    <row r="88" spans="4:69" ht="15.95" customHeight="1">
      <c r="D88" s="64"/>
      <c r="E88" s="64"/>
      <c r="F88" s="64"/>
      <c r="G88" s="79"/>
      <c r="H88" s="80"/>
      <c r="BK88" s="529"/>
      <c r="BL88" s="530"/>
      <c r="BM88" s="530"/>
      <c r="BN88" s="530"/>
      <c r="BO88" s="531"/>
      <c r="BP88" s="532"/>
      <c r="BQ88" s="430"/>
    </row>
    <row r="89" spans="4:69" ht="15.95" customHeight="1">
      <c r="BK89" s="529"/>
      <c r="BL89" s="530"/>
      <c r="BM89" s="530"/>
      <c r="BN89" s="530"/>
      <c r="BO89" s="531"/>
      <c r="BP89" s="429"/>
      <c r="BQ89" s="430"/>
    </row>
    <row r="90" spans="4:69" ht="15.95" customHeight="1">
      <c r="BK90" s="529"/>
      <c r="BL90" s="530"/>
      <c r="BM90" s="530"/>
      <c r="BN90" s="530"/>
      <c r="BO90" s="531"/>
      <c r="BP90" s="532"/>
      <c r="BQ90" s="600"/>
    </row>
    <row r="91" spans="4:69" ht="15.95" customHeight="1" thickBot="1">
      <c r="BK91" s="585"/>
      <c r="BL91" s="595"/>
      <c r="BM91" s="595"/>
      <c r="BN91" s="595"/>
      <c r="BO91" s="586"/>
      <c r="BP91" s="601"/>
      <c r="BQ91" s="602"/>
    </row>
    <row r="92" spans="4:69" ht="15.95" customHeight="1">
      <c r="BK92" s="617" t="s">
        <v>145</v>
      </c>
      <c r="BL92" s="618"/>
      <c r="BM92" s="618"/>
      <c r="BN92" s="618"/>
      <c r="BO92" s="619"/>
      <c r="BP92" s="623">
        <f>SUM(BP80:BQ91)</f>
        <v>948.70999999999992</v>
      </c>
      <c r="BQ92" s="624"/>
    </row>
    <row r="93" spans="4:69" ht="15.95" customHeight="1" thickBot="1">
      <c r="BK93" s="620"/>
      <c r="BL93" s="621"/>
      <c r="BM93" s="621"/>
      <c r="BN93" s="621"/>
      <c r="BO93" s="622"/>
      <c r="BP93" s="625"/>
      <c r="BQ93" s="626"/>
    </row>
    <row r="94" spans="4:69" ht="15.95" customHeight="1" thickBot="1">
      <c r="BP94" s="70"/>
      <c r="BQ94" s="70"/>
    </row>
    <row r="95" spans="4:69" ht="15.95" customHeight="1">
      <c r="BK95" s="628" t="s">
        <v>295</v>
      </c>
      <c r="BL95" s="629"/>
      <c r="BM95" s="629"/>
      <c r="BN95" s="629"/>
      <c r="BO95" s="630"/>
      <c r="BP95" s="634">
        <f>BP77-BP92</f>
        <v>-304.70999999999992</v>
      </c>
      <c r="BQ95" s="635"/>
    </row>
    <row r="96" spans="4:69" ht="15.95" customHeight="1" thickBot="1">
      <c r="BK96" s="631"/>
      <c r="BL96" s="632"/>
      <c r="BM96" s="632"/>
      <c r="BN96" s="632"/>
      <c r="BO96" s="633"/>
      <c r="BP96" s="636"/>
      <c r="BQ96" s="637"/>
    </row>
  </sheetData>
  <mergeCells count="822">
    <mergeCell ref="BP95:BQ96"/>
    <mergeCell ref="BP86:BQ87"/>
    <mergeCell ref="BK88:BO89"/>
    <mergeCell ref="BP88:BQ89"/>
    <mergeCell ref="BK90:BO91"/>
    <mergeCell ref="BP90:BQ91"/>
    <mergeCell ref="BK92:BO93"/>
    <mergeCell ref="BP92:BQ93"/>
    <mergeCell ref="BP84:BQ85"/>
    <mergeCell ref="BK86:BO87"/>
    <mergeCell ref="BK84:BO85"/>
    <mergeCell ref="C3:F6"/>
    <mergeCell ref="G3:M4"/>
    <mergeCell ref="AX80:AY81"/>
    <mergeCell ref="AZ80:AZ81"/>
    <mergeCell ref="G5:G6"/>
    <mergeCell ref="H5:H6"/>
    <mergeCell ref="I5:I6"/>
    <mergeCell ref="J5:J6"/>
    <mergeCell ref="BK95:BO96"/>
    <mergeCell ref="I9:I10"/>
    <mergeCell ref="J9:J10"/>
    <mergeCell ref="K9:K10"/>
    <mergeCell ref="L9:L10"/>
    <mergeCell ref="M9:M10"/>
    <mergeCell ref="J7:J8"/>
    <mergeCell ref="K7:K8"/>
    <mergeCell ref="L7:L8"/>
    <mergeCell ref="M7:M8"/>
    <mergeCell ref="BK82:BO83"/>
    <mergeCell ref="K5:K6"/>
    <mergeCell ref="L5:L6"/>
    <mergeCell ref="M5:M6"/>
    <mergeCell ref="BE74:BE75"/>
    <mergeCell ref="BG72:BG73"/>
    <mergeCell ref="BP82:BQ83"/>
    <mergeCell ref="BK80:BO81"/>
    <mergeCell ref="BP80:BQ81"/>
    <mergeCell ref="C7:C8"/>
    <mergeCell ref="D7:F8"/>
    <mergeCell ref="G7:G8"/>
    <mergeCell ref="H7:H8"/>
    <mergeCell ref="I7:I8"/>
    <mergeCell ref="BK77:BO78"/>
    <mergeCell ref="BP77:BQ78"/>
    <mergeCell ref="AX78:AY79"/>
    <mergeCell ref="AZ78:AZ79"/>
    <mergeCell ref="BF74:BF75"/>
    <mergeCell ref="BG74:BG75"/>
    <mergeCell ref="BH74:BH75"/>
    <mergeCell ref="BN74:BN75"/>
    <mergeCell ref="AX72:AY73"/>
    <mergeCell ref="AZ72:AZ73"/>
    <mergeCell ref="AX74:AY75"/>
    <mergeCell ref="AZ74:AZ75"/>
    <mergeCell ref="BA74:BA75"/>
    <mergeCell ref="BB74:BB75"/>
    <mergeCell ref="BC74:BC75"/>
    <mergeCell ref="BD74:BD75"/>
    <mergeCell ref="BH72:BH73"/>
    <mergeCell ref="BI72:BI73"/>
    <mergeCell ref="BM72:BM73"/>
    <mergeCell ref="BN72:BN73"/>
    <mergeCell ref="BO72:BO73"/>
    <mergeCell ref="BA72:BA73"/>
    <mergeCell ref="BB72:BB73"/>
    <mergeCell ref="BC72:BC73"/>
    <mergeCell ref="BD72:BD73"/>
    <mergeCell ref="BE72:BE73"/>
    <mergeCell ref="BF72:BF73"/>
    <mergeCell ref="AV67:AY68"/>
    <mergeCell ref="AZ67:AZ68"/>
    <mergeCell ref="BO69:BP70"/>
    <mergeCell ref="BQ69:BQ70"/>
    <mergeCell ref="BD69:BD70"/>
    <mergeCell ref="BE69:BE70"/>
    <mergeCell ref="BF69:BF70"/>
    <mergeCell ref="BG69:BG70"/>
    <mergeCell ref="BH69:BH70"/>
    <mergeCell ref="BI69:BI70"/>
    <mergeCell ref="AV69:AY70"/>
    <mergeCell ref="AZ69:AZ70"/>
    <mergeCell ref="BA69:BA70"/>
    <mergeCell ref="BB69:BB70"/>
    <mergeCell ref="BC69:BC70"/>
    <mergeCell ref="BJ69:BL70"/>
    <mergeCell ref="BM69:BM70"/>
    <mergeCell ref="BN69:BN70"/>
    <mergeCell ref="BO67:BP68"/>
    <mergeCell ref="BQ67:BQ68"/>
    <mergeCell ref="BG67:BG68"/>
    <mergeCell ref="BH67:BH68"/>
    <mergeCell ref="BI67:BI68"/>
    <mergeCell ref="BJ67:BL68"/>
    <mergeCell ref="BM67:BM68"/>
    <mergeCell ref="BN67:BN68"/>
    <mergeCell ref="BA67:BA68"/>
    <mergeCell ref="BB67:BB68"/>
    <mergeCell ref="BC67:BC68"/>
    <mergeCell ref="BD67:BD68"/>
    <mergeCell ref="BE67:BE68"/>
    <mergeCell ref="BF67:BF68"/>
    <mergeCell ref="BO65:BP66"/>
    <mergeCell ref="BQ65:BQ66"/>
    <mergeCell ref="BD65:BD66"/>
    <mergeCell ref="BE65:BE66"/>
    <mergeCell ref="BF65:BF66"/>
    <mergeCell ref="BG65:BG66"/>
    <mergeCell ref="BH65:BH66"/>
    <mergeCell ref="BI65:BI66"/>
    <mergeCell ref="AV65:AY66"/>
    <mergeCell ref="AZ65:AZ66"/>
    <mergeCell ref="BA65:BA66"/>
    <mergeCell ref="BB65:BB66"/>
    <mergeCell ref="BC65:BC66"/>
    <mergeCell ref="BJ65:BL66"/>
    <mergeCell ref="BM65:BM66"/>
    <mergeCell ref="BN65:BN66"/>
    <mergeCell ref="P61:P62"/>
    <mergeCell ref="Q61:S62"/>
    <mergeCell ref="BO63:BP64"/>
    <mergeCell ref="BQ63:BQ64"/>
    <mergeCell ref="BG63:BG64"/>
    <mergeCell ref="BH63:BH64"/>
    <mergeCell ref="BI63:BI64"/>
    <mergeCell ref="BJ63:BL64"/>
    <mergeCell ref="BM63:BM64"/>
    <mergeCell ref="BN63:BN64"/>
    <mergeCell ref="BA63:BA64"/>
    <mergeCell ref="BB63:BB64"/>
    <mergeCell ref="BC63:BC64"/>
    <mergeCell ref="BD63:BD64"/>
    <mergeCell ref="BE63:BE64"/>
    <mergeCell ref="BF63:BF64"/>
    <mergeCell ref="AI63:AI64"/>
    <mergeCell ref="AJ63:AJ64"/>
    <mergeCell ref="AV63:AY64"/>
    <mergeCell ref="AZ63:AZ64"/>
    <mergeCell ref="T61:T62"/>
    <mergeCell ref="U61:U62"/>
    <mergeCell ref="V61:V62"/>
    <mergeCell ref="W61:W62"/>
    <mergeCell ref="BN61:BN62"/>
    <mergeCell ref="BO61:BP62"/>
    <mergeCell ref="BQ61:BQ62"/>
    <mergeCell ref="BG61:BG62"/>
    <mergeCell ref="BH61:BH62"/>
    <mergeCell ref="BI61:BI62"/>
    <mergeCell ref="BJ61:BL62"/>
    <mergeCell ref="BM61:BM62"/>
    <mergeCell ref="AZ61:AZ62"/>
    <mergeCell ref="BA61:BA62"/>
    <mergeCell ref="BB61:BB62"/>
    <mergeCell ref="BC61:BC62"/>
    <mergeCell ref="BD61:BD62"/>
    <mergeCell ref="BE61:BE62"/>
    <mergeCell ref="AJ59:AJ60"/>
    <mergeCell ref="AV59:AY60"/>
    <mergeCell ref="AZ59:AZ60"/>
    <mergeCell ref="BA59:BA60"/>
    <mergeCell ref="BB59:BB60"/>
    <mergeCell ref="BC59:BC60"/>
    <mergeCell ref="AB59:AB60"/>
    <mergeCell ref="AC59:AE60"/>
    <mergeCell ref="BF61:BF62"/>
    <mergeCell ref="AF61:AF62"/>
    <mergeCell ref="AG61:AG62"/>
    <mergeCell ref="AH61:AH62"/>
    <mergeCell ref="AI61:AI62"/>
    <mergeCell ref="AJ61:AJ62"/>
    <mergeCell ref="AV61:AY62"/>
    <mergeCell ref="AF59:AF60"/>
    <mergeCell ref="AG59:AG60"/>
    <mergeCell ref="AH59:AH60"/>
    <mergeCell ref="AI59:AI60"/>
    <mergeCell ref="AB61:AB62"/>
    <mergeCell ref="AC61:AE62"/>
    <mergeCell ref="BJ59:BL60"/>
    <mergeCell ref="BM59:BM60"/>
    <mergeCell ref="BN59:BN60"/>
    <mergeCell ref="BO59:BP60"/>
    <mergeCell ref="BQ59:BQ60"/>
    <mergeCell ref="BD59:BD60"/>
    <mergeCell ref="BE59:BE60"/>
    <mergeCell ref="BF59:BF60"/>
    <mergeCell ref="BG59:BG60"/>
    <mergeCell ref="BH59:BH60"/>
    <mergeCell ref="BI59:BI60"/>
    <mergeCell ref="P59:P60"/>
    <mergeCell ref="Q59:S60"/>
    <mergeCell ref="T59:T60"/>
    <mergeCell ref="U59:U60"/>
    <mergeCell ref="V59:V60"/>
    <mergeCell ref="W59:W60"/>
    <mergeCell ref="BQ57:BQ58"/>
    <mergeCell ref="BH57:BH58"/>
    <mergeCell ref="BI57:BI58"/>
    <mergeCell ref="BJ57:BL58"/>
    <mergeCell ref="BM57:BM58"/>
    <mergeCell ref="BN57:BN58"/>
    <mergeCell ref="BO57:BP58"/>
    <mergeCell ref="BB57:BB58"/>
    <mergeCell ref="BC57:BC58"/>
    <mergeCell ref="BD57:BD58"/>
    <mergeCell ref="BE57:BE58"/>
    <mergeCell ref="BF57:BF58"/>
    <mergeCell ref="BG57:BG58"/>
    <mergeCell ref="AZ57:AZ58"/>
    <mergeCell ref="BA57:BA58"/>
    <mergeCell ref="V57:V58"/>
    <mergeCell ref="W57:W58"/>
    <mergeCell ref="AB57:AB58"/>
    <mergeCell ref="AC57:AE58"/>
    <mergeCell ref="AF57:AF58"/>
    <mergeCell ref="AG57:AG58"/>
    <mergeCell ref="P57:P58"/>
    <mergeCell ref="Q57:S58"/>
    <mergeCell ref="T57:T58"/>
    <mergeCell ref="U57:U58"/>
    <mergeCell ref="AH57:AH58"/>
    <mergeCell ref="AI57:AI58"/>
    <mergeCell ref="AJ57:AJ58"/>
    <mergeCell ref="AV57:AY58"/>
    <mergeCell ref="BO55:BP56"/>
    <mergeCell ref="BQ55:BQ56"/>
    <mergeCell ref="BF55:BF56"/>
    <mergeCell ref="BG55:BG56"/>
    <mergeCell ref="BH55:BH56"/>
    <mergeCell ref="BI55:BI56"/>
    <mergeCell ref="BJ55:BL56"/>
    <mergeCell ref="BM55:BM56"/>
    <mergeCell ref="AZ55:AZ56"/>
    <mergeCell ref="BA55:BA56"/>
    <mergeCell ref="BB55:BB56"/>
    <mergeCell ref="BC55:BC56"/>
    <mergeCell ref="T55:T56"/>
    <mergeCell ref="U55:U56"/>
    <mergeCell ref="V55:V56"/>
    <mergeCell ref="W55:W56"/>
    <mergeCell ref="AB55:AB56"/>
    <mergeCell ref="AC55:AE56"/>
    <mergeCell ref="P55:P56"/>
    <mergeCell ref="Q55:S56"/>
    <mergeCell ref="BN55:BN56"/>
    <mergeCell ref="BC53:BC54"/>
    <mergeCell ref="V53:V54"/>
    <mergeCell ref="W53:W54"/>
    <mergeCell ref="AF53:AF54"/>
    <mergeCell ref="AG53:AG54"/>
    <mergeCell ref="AH53:AH54"/>
    <mergeCell ref="AI53:AI54"/>
    <mergeCell ref="BD55:BD56"/>
    <mergeCell ref="BE55:BE56"/>
    <mergeCell ref="AF55:AF56"/>
    <mergeCell ref="AG55:AG56"/>
    <mergeCell ref="AH55:AH56"/>
    <mergeCell ref="AI55:AI56"/>
    <mergeCell ref="AJ55:AJ56"/>
    <mergeCell ref="AV55:AY56"/>
    <mergeCell ref="P51:S54"/>
    <mergeCell ref="AB51:AE54"/>
    <mergeCell ref="AV51:AY52"/>
    <mergeCell ref="T53:T54"/>
    <mergeCell ref="U53:U54"/>
    <mergeCell ref="BN51:BN52"/>
    <mergeCell ref="BO51:BP52"/>
    <mergeCell ref="BQ51:BQ52"/>
    <mergeCell ref="BJ53:BL54"/>
    <mergeCell ref="BM53:BM54"/>
    <mergeCell ref="BN53:BN54"/>
    <mergeCell ref="BO53:BP54"/>
    <mergeCell ref="BQ53:BQ54"/>
    <mergeCell ref="BD53:BD54"/>
    <mergeCell ref="BE53:BE54"/>
    <mergeCell ref="BF53:BF54"/>
    <mergeCell ref="BG53:BG54"/>
    <mergeCell ref="BH53:BH54"/>
    <mergeCell ref="BI53:BI54"/>
    <mergeCell ref="AJ53:AJ54"/>
    <mergeCell ref="AV53:AY54"/>
    <mergeCell ref="AZ53:AZ54"/>
    <mergeCell ref="BA53:BA54"/>
    <mergeCell ref="BB53:BB54"/>
    <mergeCell ref="BI51:BI52"/>
    <mergeCell ref="BJ51:BL52"/>
    <mergeCell ref="BM51:BM52"/>
    <mergeCell ref="AZ51:AZ52"/>
    <mergeCell ref="BA51:BA52"/>
    <mergeCell ref="BB51:BB52"/>
    <mergeCell ref="BC51:BC52"/>
    <mergeCell ref="BD51:BD52"/>
    <mergeCell ref="BE51:BE52"/>
    <mergeCell ref="AV49:AY50"/>
    <mergeCell ref="AZ49:AZ50"/>
    <mergeCell ref="BA49:BA50"/>
    <mergeCell ref="BB49:BB50"/>
    <mergeCell ref="BC49:BC50"/>
    <mergeCell ref="BD49:BD50"/>
    <mergeCell ref="BF51:BF52"/>
    <mergeCell ref="BG51:BG52"/>
    <mergeCell ref="BH51:BH52"/>
    <mergeCell ref="BM49:BM50"/>
    <mergeCell ref="BN49:BN50"/>
    <mergeCell ref="BO49:BP50"/>
    <mergeCell ref="BQ49:BQ50"/>
    <mergeCell ref="BE49:BE50"/>
    <mergeCell ref="BF49:BF50"/>
    <mergeCell ref="BG49:BG50"/>
    <mergeCell ref="BH49:BH50"/>
    <mergeCell ref="BI49:BI50"/>
    <mergeCell ref="BJ49:BL50"/>
    <mergeCell ref="BQ47:BQ48"/>
    <mergeCell ref="BH47:BH48"/>
    <mergeCell ref="BI47:BI48"/>
    <mergeCell ref="BJ47:BL48"/>
    <mergeCell ref="BM47:BM48"/>
    <mergeCell ref="BN47:BN48"/>
    <mergeCell ref="BO47:BP48"/>
    <mergeCell ref="BB47:BB48"/>
    <mergeCell ref="BC47:BC48"/>
    <mergeCell ref="BD47:BD48"/>
    <mergeCell ref="BE47:BE48"/>
    <mergeCell ref="BF47:BF48"/>
    <mergeCell ref="BG47:BG48"/>
    <mergeCell ref="AH47:AH48"/>
    <mergeCell ref="AJ47:AJ48"/>
    <mergeCell ref="AV47:AY48"/>
    <mergeCell ref="AZ47:AZ48"/>
    <mergeCell ref="BA47:BA48"/>
    <mergeCell ref="P45:P46"/>
    <mergeCell ref="Q45:S46"/>
    <mergeCell ref="T45:T46"/>
    <mergeCell ref="BO45:BP46"/>
    <mergeCell ref="AG45:AG46"/>
    <mergeCell ref="AH45:AH46"/>
    <mergeCell ref="AI45:AI46"/>
    <mergeCell ref="AJ45:AJ46"/>
    <mergeCell ref="AV45:AY46"/>
    <mergeCell ref="AZ45:AZ46"/>
    <mergeCell ref="U45:U46"/>
    <mergeCell ref="V45:V46"/>
    <mergeCell ref="W45:W46"/>
    <mergeCell ref="AB45:AB46"/>
    <mergeCell ref="AC45:AE46"/>
    <mergeCell ref="AF45:AF46"/>
    <mergeCell ref="BQ45:BQ46"/>
    <mergeCell ref="BG45:BG46"/>
    <mergeCell ref="BH45:BH46"/>
    <mergeCell ref="BI45:BI46"/>
    <mergeCell ref="BJ45:BL46"/>
    <mergeCell ref="BM45:BM46"/>
    <mergeCell ref="BN45:BN46"/>
    <mergeCell ref="BA45:BA46"/>
    <mergeCell ref="BB45:BB46"/>
    <mergeCell ref="BC45:BC46"/>
    <mergeCell ref="BD45:BD46"/>
    <mergeCell ref="BE45:BE46"/>
    <mergeCell ref="BF45:BF46"/>
    <mergeCell ref="AG43:AG44"/>
    <mergeCell ref="AH43:AH44"/>
    <mergeCell ref="BO43:BP44"/>
    <mergeCell ref="BQ43:BQ44"/>
    <mergeCell ref="BC43:BC44"/>
    <mergeCell ref="BD43:BD44"/>
    <mergeCell ref="BE43:BE44"/>
    <mergeCell ref="BF43:BF44"/>
    <mergeCell ref="BG43:BG44"/>
    <mergeCell ref="BH43:BH44"/>
    <mergeCell ref="AI43:AI44"/>
    <mergeCell ref="AJ43:AJ44"/>
    <mergeCell ref="AV43:AY44"/>
    <mergeCell ref="AZ43:AZ44"/>
    <mergeCell ref="BA43:BA44"/>
    <mergeCell ref="BB43:BB44"/>
    <mergeCell ref="BB41:BB42"/>
    <mergeCell ref="BC41:BC42"/>
    <mergeCell ref="BD41:BD42"/>
    <mergeCell ref="BE41:BE42"/>
    <mergeCell ref="BF41:BF42"/>
    <mergeCell ref="BM39:BM40"/>
    <mergeCell ref="BN39:BN40"/>
    <mergeCell ref="P43:P44"/>
    <mergeCell ref="Q43:S44"/>
    <mergeCell ref="T43:T44"/>
    <mergeCell ref="U43:U44"/>
    <mergeCell ref="V43:V44"/>
    <mergeCell ref="BH41:BH42"/>
    <mergeCell ref="BI41:BI42"/>
    <mergeCell ref="BJ41:BL42"/>
    <mergeCell ref="BM41:BM42"/>
    <mergeCell ref="BI43:BI44"/>
    <mergeCell ref="BJ43:BL44"/>
    <mergeCell ref="BM43:BM44"/>
    <mergeCell ref="BN43:BN44"/>
    <mergeCell ref="W43:W44"/>
    <mergeCell ref="AB43:AB44"/>
    <mergeCell ref="AC43:AE44"/>
    <mergeCell ref="AF43:AF44"/>
    <mergeCell ref="BO39:BP40"/>
    <mergeCell ref="BQ39:BQ40"/>
    <mergeCell ref="P41:P42"/>
    <mergeCell ref="Q41:S42"/>
    <mergeCell ref="T41:T42"/>
    <mergeCell ref="BE39:BE40"/>
    <mergeCell ref="BF39:BF40"/>
    <mergeCell ref="BG39:BG40"/>
    <mergeCell ref="BH39:BH40"/>
    <mergeCell ref="BI39:BI40"/>
    <mergeCell ref="BJ39:BL40"/>
    <mergeCell ref="AV39:AY40"/>
    <mergeCell ref="AZ39:AZ40"/>
    <mergeCell ref="BA39:BA40"/>
    <mergeCell ref="BB39:BB40"/>
    <mergeCell ref="BC39:BC40"/>
    <mergeCell ref="BD39:BD40"/>
    <mergeCell ref="AC39:AE40"/>
    <mergeCell ref="AF39:AF40"/>
    <mergeCell ref="BO41:BP42"/>
    <mergeCell ref="BQ41:BQ42"/>
    <mergeCell ref="BG41:BG42"/>
    <mergeCell ref="BN41:BN42"/>
    <mergeCell ref="BA41:BA42"/>
    <mergeCell ref="AH37:AH38"/>
    <mergeCell ref="AI37:AI38"/>
    <mergeCell ref="AJ37:AJ38"/>
    <mergeCell ref="AV37:AY38"/>
    <mergeCell ref="AV41:AY42"/>
    <mergeCell ref="AZ41:AZ42"/>
    <mergeCell ref="U41:U42"/>
    <mergeCell ref="V41:V42"/>
    <mergeCell ref="W41:W42"/>
    <mergeCell ref="AB41:AB42"/>
    <mergeCell ref="AC41:AE42"/>
    <mergeCell ref="AF41:AF42"/>
    <mergeCell ref="AG41:AG42"/>
    <mergeCell ref="AH41:AH42"/>
    <mergeCell ref="AI41:AI42"/>
    <mergeCell ref="AJ41:AJ42"/>
    <mergeCell ref="P35:S38"/>
    <mergeCell ref="AB35:AE38"/>
    <mergeCell ref="AV33:AY34"/>
    <mergeCell ref="AG39:AG40"/>
    <mergeCell ref="AH39:AH40"/>
    <mergeCell ref="AI39:AI40"/>
    <mergeCell ref="AJ39:AJ40"/>
    <mergeCell ref="BN37:BN38"/>
    <mergeCell ref="BO37:BP38"/>
    <mergeCell ref="P39:P40"/>
    <mergeCell ref="Q39:S40"/>
    <mergeCell ref="T39:T40"/>
    <mergeCell ref="U39:U40"/>
    <mergeCell ref="V39:V40"/>
    <mergeCell ref="W39:W40"/>
    <mergeCell ref="AB39:AB40"/>
    <mergeCell ref="BF37:BF38"/>
    <mergeCell ref="BG37:BG38"/>
    <mergeCell ref="BH37:BH38"/>
    <mergeCell ref="BI37:BI38"/>
    <mergeCell ref="BJ37:BL38"/>
    <mergeCell ref="BM37:BM38"/>
    <mergeCell ref="AZ37:AZ38"/>
    <mergeCell ref="BA37:BA38"/>
    <mergeCell ref="T37:T38"/>
    <mergeCell ref="U37:U38"/>
    <mergeCell ref="V37:V38"/>
    <mergeCell ref="W37:W38"/>
    <mergeCell ref="BQ33:BQ34"/>
    <mergeCell ref="BH33:BH34"/>
    <mergeCell ref="BI33:BI34"/>
    <mergeCell ref="BJ33:BL34"/>
    <mergeCell ref="BM33:BM34"/>
    <mergeCell ref="BN33:BN34"/>
    <mergeCell ref="BO33:BP34"/>
    <mergeCell ref="BB33:BB34"/>
    <mergeCell ref="BC33:BC34"/>
    <mergeCell ref="BD33:BD34"/>
    <mergeCell ref="BE33:BE34"/>
    <mergeCell ref="BF33:BF34"/>
    <mergeCell ref="BG33:BG34"/>
    <mergeCell ref="BQ37:BQ38"/>
    <mergeCell ref="BB37:BB38"/>
    <mergeCell ref="BC37:BC38"/>
    <mergeCell ref="BD37:BD38"/>
    <mergeCell ref="BE37:BE38"/>
    <mergeCell ref="AF37:AF38"/>
    <mergeCell ref="AG37:AG38"/>
    <mergeCell ref="BO29:BP30"/>
    <mergeCell ref="BQ29:BQ30"/>
    <mergeCell ref="BG29:BG30"/>
    <mergeCell ref="BH29:BH30"/>
    <mergeCell ref="BI29:BI30"/>
    <mergeCell ref="BJ29:BL30"/>
    <mergeCell ref="BM29:BM30"/>
    <mergeCell ref="BN29:BN30"/>
    <mergeCell ref="BA29:BA30"/>
    <mergeCell ref="BB29:BB30"/>
    <mergeCell ref="BC29:BC30"/>
    <mergeCell ref="BD29:BD30"/>
    <mergeCell ref="BE29:BE30"/>
    <mergeCell ref="BF29:BF30"/>
    <mergeCell ref="U25:U26"/>
    <mergeCell ref="V25:V26"/>
    <mergeCell ref="X25:X26"/>
    <mergeCell ref="AI31:AI32"/>
    <mergeCell ref="AF29:AF30"/>
    <mergeCell ref="AG29:AG30"/>
    <mergeCell ref="AH29:AH30"/>
    <mergeCell ref="AI29:AI30"/>
    <mergeCell ref="AJ29:AJ30"/>
    <mergeCell ref="AB29:AB30"/>
    <mergeCell ref="AC29:AE30"/>
    <mergeCell ref="AG25:AG26"/>
    <mergeCell ref="AH25:AH26"/>
    <mergeCell ref="AJ31:AJ32"/>
    <mergeCell ref="AI27:AI28"/>
    <mergeCell ref="AJ27:AJ28"/>
    <mergeCell ref="AB27:AB28"/>
    <mergeCell ref="AC27:AE28"/>
    <mergeCell ref="AF27:AF28"/>
    <mergeCell ref="AG27:AG28"/>
    <mergeCell ref="AH27:AH28"/>
    <mergeCell ref="AI25:AI26"/>
    <mergeCell ref="AJ25:AJ26"/>
    <mergeCell ref="AB25:AB26"/>
    <mergeCell ref="AV35:AY36"/>
    <mergeCell ref="AZ35:AZ36"/>
    <mergeCell ref="BA35:BA36"/>
    <mergeCell ref="BB35:BB36"/>
    <mergeCell ref="AV31:AY32"/>
    <mergeCell ref="AZ31:AZ32"/>
    <mergeCell ref="BA31:BA32"/>
    <mergeCell ref="BB31:BB32"/>
    <mergeCell ref="AV29:AY30"/>
    <mergeCell ref="AZ29:AZ30"/>
    <mergeCell ref="AV27:AY28"/>
    <mergeCell ref="AZ27:AZ28"/>
    <mergeCell ref="BA27:BA28"/>
    <mergeCell ref="BB27:BB28"/>
    <mergeCell ref="BC31:BC32"/>
    <mergeCell ref="AZ33:AZ34"/>
    <mergeCell ref="BA33:BA34"/>
    <mergeCell ref="BD31:BD32"/>
    <mergeCell ref="BE27:BE28"/>
    <mergeCell ref="BC27:BC28"/>
    <mergeCell ref="BD27:BD28"/>
    <mergeCell ref="AC25:AE26"/>
    <mergeCell ref="AF25:AF26"/>
    <mergeCell ref="BC21:BC22"/>
    <mergeCell ref="AV25:AY26"/>
    <mergeCell ref="AR18:AS19"/>
    <mergeCell ref="AV17:AY18"/>
    <mergeCell ref="AZ25:AZ26"/>
    <mergeCell ref="BA25:BA26"/>
    <mergeCell ref="BB25:BB26"/>
    <mergeCell ref="BA21:BA22"/>
    <mergeCell ref="BB21:BB22"/>
    <mergeCell ref="V23:V24"/>
    <mergeCell ref="W23:W24"/>
    <mergeCell ref="X23:X24"/>
    <mergeCell ref="AB23:AB24"/>
    <mergeCell ref="AV19:AY20"/>
    <mergeCell ref="AZ19:AZ20"/>
    <mergeCell ref="AC23:AE24"/>
    <mergeCell ref="AF23:AF24"/>
    <mergeCell ref="AZ21:AZ22"/>
    <mergeCell ref="AM18:AQ19"/>
    <mergeCell ref="AG23:AG24"/>
    <mergeCell ref="AH23:AH24"/>
    <mergeCell ref="AI23:AI24"/>
    <mergeCell ref="AJ23:AJ24"/>
    <mergeCell ref="AV23:AY24"/>
    <mergeCell ref="AZ23:AZ24"/>
    <mergeCell ref="BC15:BC16"/>
    <mergeCell ref="BD15:BD16"/>
    <mergeCell ref="BE15:BE16"/>
    <mergeCell ref="AM16:AQ17"/>
    <mergeCell ref="AR16:AS17"/>
    <mergeCell ref="BA19:BA20"/>
    <mergeCell ref="AV15:AY16"/>
    <mergeCell ref="AZ15:AZ16"/>
    <mergeCell ref="BA15:BA16"/>
    <mergeCell ref="BB17:BB18"/>
    <mergeCell ref="AZ17:AZ18"/>
    <mergeCell ref="BA17:BA18"/>
    <mergeCell ref="BC17:BC18"/>
    <mergeCell ref="BD17:BD18"/>
    <mergeCell ref="BE17:BE18"/>
    <mergeCell ref="P19:S22"/>
    <mergeCell ref="AR21:AS22"/>
    <mergeCell ref="AV21:AY22"/>
    <mergeCell ref="T21:T22"/>
    <mergeCell ref="U21:U22"/>
    <mergeCell ref="V21:V22"/>
    <mergeCell ref="AB19:AE22"/>
    <mergeCell ref="BC25:BC26"/>
    <mergeCell ref="BD25:BD26"/>
    <mergeCell ref="AH21:AH22"/>
    <mergeCell ref="AI21:AI22"/>
    <mergeCell ref="AJ21:AJ22"/>
    <mergeCell ref="AM21:AQ22"/>
    <mergeCell ref="W21:W22"/>
    <mergeCell ref="X21:X22"/>
    <mergeCell ref="AF21:AF22"/>
    <mergeCell ref="AG21:AG22"/>
    <mergeCell ref="P23:P24"/>
    <mergeCell ref="Q23:S24"/>
    <mergeCell ref="T23:T24"/>
    <mergeCell ref="U23:U24"/>
    <mergeCell ref="BA23:BA24"/>
    <mergeCell ref="BB23:BB24"/>
    <mergeCell ref="BC23:BC24"/>
    <mergeCell ref="BI17:BI18"/>
    <mergeCell ref="BJ17:BL18"/>
    <mergeCell ref="BM17:BM18"/>
    <mergeCell ref="BN17:BN18"/>
    <mergeCell ref="BO17:BP18"/>
    <mergeCell ref="BQ17:BQ18"/>
    <mergeCell ref="BQ19:BQ20"/>
    <mergeCell ref="BI19:BI20"/>
    <mergeCell ref="BJ19:BL20"/>
    <mergeCell ref="BM19:BM20"/>
    <mergeCell ref="BN19:BN20"/>
    <mergeCell ref="BO19:BP20"/>
    <mergeCell ref="BJ15:BL16"/>
    <mergeCell ref="BN35:BN36"/>
    <mergeCell ref="BO35:BP36"/>
    <mergeCell ref="BQ35:BQ36"/>
    <mergeCell ref="BC35:BC36"/>
    <mergeCell ref="BD35:BD36"/>
    <mergeCell ref="BE35:BE36"/>
    <mergeCell ref="BF35:BF36"/>
    <mergeCell ref="BJ35:BL36"/>
    <mergeCell ref="BM35:BM36"/>
    <mergeCell ref="BJ31:BL32"/>
    <mergeCell ref="BM31:BM32"/>
    <mergeCell ref="BE31:BE32"/>
    <mergeCell ref="BF31:BF32"/>
    <mergeCell ref="BG31:BG32"/>
    <mergeCell ref="BH31:BH32"/>
    <mergeCell ref="BI31:BI32"/>
    <mergeCell ref="BN31:BN32"/>
    <mergeCell ref="BO31:BP32"/>
    <mergeCell ref="BQ31:BQ32"/>
    <mergeCell ref="BJ27:BL28"/>
    <mergeCell ref="BM27:BM28"/>
    <mergeCell ref="BQ25:BQ26"/>
    <mergeCell ref="BJ21:BL22"/>
    <mergeCell ref="BM21:BM22"/>
    <mergeCell ref="BO21:BP22"/>
    <mergeCell ref="BJ25:BL26"/>
    <mergeCell ref="BM25:BM26"/>
    <mergeCell ref="BN25:BN26"/>
    <mergeCell ref="BO25:BP26"/>
    <mergeCell ref="BN21:BN22"/>
    <mergeCell ref="BO23:BP24"/>
    <mergeCell ref="BQ21:BQ22"/>
    <mergeCell ref="BH17:BH18"/>
    <mergeCell ref="BF21:BF22"/>
    <mergeCell ref="BG21:BG22"/>
    <mergeCell ref="BH21:BH22"/>
    <mergeCell ref="BI21:BI22"/>
    <mergeCell ref="BN15:BN16"/>
    <mergeCell ref="BO15:BP16"/>
    <mergeCell ref="BQ15:BQ16"/>
    <mergeCell ref="BO27:BP28"/>
    <mergeCell ref="BQ27:BQ28"/>
    <mergeCell ref="BN27:BN28"/>
    <mergeCell ref="BQ23:BQ24"/>
    <mergeCell ref="BM15:BM16"/>
    <mergeCell ref="BG25:BG26"/>
    <mergeCell ref="BH25:BH26"/>
    <mergeCell ref="BI25:BI26"/>
    <mergeCell ref="BG23:BG24"/>
    <mergeCell ref="BH23:BH24"/>
    <mergeCell ref="BI23:BI24"/>
    <mergeCell ref="BJ23:BL24"/>
    <mergeCell ref="BM23:BM24"/>
    <mergeCell ref="BN23:BN24"/>
    <mergeCell ref="BF17:BF18"/>
    <mergeCell ref="BG17:BG18"/>
    <mergeCell ref="BI35:BI36"/>
    <mergeCell ref="BD21:BD22"/>
    <mergeCell ref="BE21:BE22"/>
    <mergeCell ref="BH19:BH20"/>
    <mergeCell ref="BB19:BB20"/>
    <mergeCell ref="BC19:BC20"/>
    <mergeCell ref="BD19:BD20"/>
    <mergeCell ref="BE19:BE20"/>
    <mergeCell ref="BF19:BF20"/>
    <mergeCell ref="BG19:BG20"/>
    <mergeCell ref="BG35:BG36"/>
    <mergeCell ref="BH35:BH36"/>
    <mergeCell ref="BF23:BF24"/>
    <mergeCell ref="BF27:BF28"/>
    <mergeCell ref="BG27:BG28"/>
    <mergeCell ref="BH27:BH28"/>
    <mergeCell ref="BI27:BI28"/>
    <mergeCell ref="BF25:BF26"/>
    <mergeCell ref="BD23:BD24"/>
    <mergeCell ref="BE23:BE24"/>
    <mergeCell ref="BE25:BE26"/>
    <mergeCell ref="P14:R16"/>
    <mergeCell ref="S14:U16"/>
    <mergeCell ref="V14:X16"/>
    <mergeCell ref="Y14:AA16"/>
    <mergeCell ref="AB14:AD16"/>
    <mergeCell ref="BD13:BD14"/>
    <mergeCell ref="BE13:BE14"/>
    <mergeCell ref="AM10:AQ11"/>
    <mergeCell ref="AR10:AS11"/>
    <mergeCell ref="AM12:AQ13"/>
    <mergeCell ref="AR12:AS13"/>
    <mergeCell ref="AV11:AY12"/>
    <mergeCell ref="AZ11:AZ12"/>
    <mergeCell ref="BA11:BA12"/>
    <mergeCell ref="AV13:AY14"/>
    <mergeCell ref="AZ13:AZ14"/>
    <mergeCell ref="BA13:BA14"/>
    <mergeCell ref="AM14:AQ15"/>
    <mergeCell ref="AR14:AS15"/>
    <mergeCell ref="BB11:BB12"/>
    <mergeCell ref="BC11:BC12"/>
    <mergeCell ref="BB13:BB14"/>
    <mergeCell ref="BC13:BC14"/>
    <mergeCell ref="BB15:BB16"/>
    <mergeCell ref="BQ11:BQ12"/>
    <mergeCell ref="AH11:AJ13"/>
    <mergeCell ref="AE14:AG16"/>
    <mergeCell ref="AH14:AJ16"/>
    <mergeCell ref="BJ13:BL14"/>
    <mergeCell ref="BM13:BM14"/>
    <mergeCell ref="BN13:BN14"/>
    <mergeCell ref="BO13:BP14"/>
    <mergeCell ref="BQ13:BQ14"/>
    <mergeCell ref="BH11:BH12"/>
    <mergeCell ref="BI11:BI12"/>
    <mergeCell ref="BJ11:BL12"/>
    <mergeCell ref="BM11:BM12"/>
    <mergeCell ref="BN11:BN12"/>
    <mergeCell ref="BO11:BP12"/>
    <mergeCell ref="BG11:BG12"/>
    <mergeCell ref="BF15:BF16"/>
    <mergeCell ref="BG15:BG16"/>
    <mergeCell ref="BH15:BH16"/>
    <mergeCell ref="BI15:BI16"/>
    <mergeCell ref="BF13:BF14"/>
    <mergeCell ref="BG13:BG14"/>
    <mergeCell ref="BH13:BH14"/>
    <mergeCell ref="BI13:BI14"/>
    <mergeCell ref="BD11:BD12"/>
    <mergeCell ref="BE11:BE12"/>
    <mergeCell ref="BF11:BF12"/>
    <mergeCell ref="P11:R13"/>
    <mergeCell ref="S11:U13"/>
    <mergeCell ref="V11:X13"/>
    <mergeCell ref="Y11:AA13"/>
    <mergeCell ref="AB11:AD13"/>
    <mergeCell ref="AE11:AG13"/>
    <mergeCell ref="BH9:BH10"/>
    <mergeCell ref="BI9:BI10"/>
    <mergeCell ref="BJ9:BL10"/>
    <mergeCell ref="BM9:BM10"/>
    <mergeCell ref="BN9:BN10"/>
    <mergeCell ref="BO9:BP10"/>
    <mergeCell ref="BQ9:BQ10"/>
    <mergeCell ref="BO7:BP8"/>
    <mergeCell ref="BQ7:BQ8"/>
    <mergeCell ref="BH7:BH8"/>
    <mergeCell ref="BI7:BI8"/>
    <mergeCell ref="BJ7:BL8"/>
    <mergeCell ref="BM7:BM8"/>
    <mergeCell ref="BN7:BN8"/>
    <mergeCell ref="BC7:BC8"/>
    <mergeCell ref="BD7:BD8"/>
    <mergeCell ref="BE7:BE8"/>
    <mergeCell ref="BF7:BF8"/>
    <mergeCell ref="AR8:AS9"/>
    <mergeCell ref="BA9:BA10"/>
    <mergeCell ref="BB9:BB10"/>
    <mergeCell ref="BF5:BF6"/>
    <mergeCell ref="BG9:BG10"/>
    <mergeCell ref="BG7:BG8"/>
    <mergeCell ref="BC9:BC10"/>
    <mergeCell ref="BD9:BD10"/>
    <mergeCell ref="BE9:BE10"/>
    <mergeCell ref="BF9:BF10"/>
    <mergeCell ref="AV9:AY10"/>
    <mergeCell ref="AZ9:AZ10"/>
    <mergeCell ref="BG5:BG6"/>
    <mergeCell ref="AM6:AQ7"/>
    <mergeCell ref="AZ5:AZ6"/>
    <mergeCell ref="BA5:BA6"/>
    <mergeCell ref="AM8:AQ9"/>
    <mergeCell ref="BB5:BB6"/>
    <mergeCell ref="AR6:AS7"/>
    <mergeCell ref="AZ7:AZ8"/>
    <mergeCell ref="BA7:BA8"/>
    <mergeCell ref="BB7:BB8"/>
    <mergeCell ref="BH5:BH6"/>
    <mergeCell ref="P6:R8"/>
    <mergeCell ref="BR13:BR14"/>
    <mergeCell ref="P3:R5"/>
    <mergeCell ref="S3:U5"/>
    <mergeCell ref="AR3:AS4"/>
    <mergeCell ref="AV3:AY8"/>
    <mergeCell ref="AZ3:BA4"/>
    <mergeCell ref="BB3:BC4"/>
    <mergeCell ref="BC5:BC6"/>
    <mergeCell ref="BD5:BD6"/>
    <mergeCell ref="BE5:BE6"/>
    <mergeCell ref="V3:X5"/>
    <mergeCell ref="Y3:AA5"/>
    <mergeCell ref="AB3:AD5"/>
    <mergeCell ref="AE3:AG5"/>
    <mergeCell ref="AH3:AJ5"/>
    <mergeCell ref="AM3:AQ4"/>
    <mergeCell ref="S6:U8"/>
    <mergeCell ref="V6:X8"/>
    <mergeCell ref="Y6:AA8"/>
    <mergeCell ref="AB6:AD8"/>
    <mergeCell ref="AE6:AG8"/>
    <mergeCell ref="AH6:AJ8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77B8-A3CD-AC43-AD3D-CF9A277A0132}">
  <sheetPr>
    <tabColor rgb="FF0070C0"/>
  </sheetPr>
  <dimension ref="C2:DO130"/>
  <sheetViews>
    <sheetView topLeftCell="BL49" zoomScale="65" zoomScaleNormal="64" workbookViewId="0">
      <selection activeCell="CL85" sqref="CL85:CM86"/>
    </sheetView>
  </sheetViews>
  <sheetFormatPr defaultColWidth="10.875" defaultRowHeight="15.95" customHeight="1"/>
  <cols>
    <col min="7" max="7" width="10.875" customWidth="1"/>
    <col min="11" max="13" width="10.875" customWidth="1"/>
    <col min="18" max="18" width="10.875" customWidth="1"/>
    <col min="22" max="23" width="10.875" customWidth="1"/>
    <col min="29" max="33" width="10.875" customWidth="1"/>
    <col min="34" max="34" width="12.25" customWidth="1"/>
    <col min="35" max="35" width="10.875" customWidth="1"/>
    <col min="42" max="45" width="10.875" customWidth="1"/>
    <col min="46" max="46" width="13.375" customWidth="1"/>
    <col min="54" max="54" width="10.875" customWidth="1"/>
    <col min="58" max="58" width="10.875" customWidth="1"/>
    <col min="59" max="59" width="14.25" customWidth="1"/>
    <col min="63" max="63" width="10.875" customWidth="1"/>
    <col min="83" max="83" width="10.875" customWidth="1"/>
    <col min="88" max="88" width="14.125" bestFit="1" customWidth="1"/>
    <col min="89" max="89" width="12.75" bestFit="1" customWidth="1"/>
    <col min="91" max="91" width="11.75" bestFit="1" customWidth="1"/>
  </cols>
  <sheetData>
    <row r="2" spans="3:119" ht="15.95" customHeight="1" thickBot="1"/>
    <row r="3" spans="3:119" ht="15.95" customHeight="1">
      <c r="C3" s="573"/>
      <c r="D3" s="574"/>
      <c r="E3" s="574"/>
      <c r="F3" s="574"/>
      <c r="G3" s="523" t="s">
        <v>434</v>
      </c>
      <c r="H3" s="524"/>
      <c r="I3" s="524"/>
      <c r="J3" s="524"/>
      <c r="K3" s="525"/>
      <c r="L3" s="10"/>
      <c r="M3" s="10"/>
      <c r="R3" s="523" t="s">
        <v>435</v>
      </c>
      <c r="S3" s="524"/>
      <c r="T3" s="524"/>
      <c r="U3" s="524"/>
      <c r="V3" s="525"/>
      <c r="W3" s="10"/>
      <c r="X3" s="10"/>
      <c r="AC3" s="523" t="s">
        <v>436</v>
      </c>
      <c r="AD3" s="524"/>
      <c r="AE3" s="524"/>
      <c r="AF3" s="524"/>
      <c r="AG3" s="525"/>
      <c r="AH3" s="10"/>
      <c r="AI3" s="10"/>
      <c r="AL3" s="435" t="s">
        <v>437</v>
      </c>
      <c r="AM3" s="436"/>
      <c r="AN3" s="437"/>
      <c r="AO3" s="435" t="s">
        <v>270</v>
      </c>
      <c r="AP3" s="436"/>
      <c r="AQ3" s="437"/>
      <c r="AR3" s="435" t="s">
        <v>113</v>
      </c>
      <c r="AS3" s="436"/>
      <c r="AT3" s="437"/>
      <c r="AU3" s="435" t="s">
        <v>271</v>
      </c>
      <c r="AV3" s="436"/>
      <c r="AW3" s="437"/>
      <c r="AX3" s="435" t="s">
        <v>139</v>
      </c>
      <c r="AY3" s="436"/>
      <c r="AZ3" s="437"/>
      <c r="BA3" s="435" t="s">
        <v>272</v>
      </c>
      <c r="BB3" s="436"/>
      <c r="BC3" s="437"/>
      <c r="BI3" s="533" t="s">
        <v>98</v>
      </c>
      <c r="BJ3" s="534"/>
      <c r="BK3" s="534"/>
      <c r="BL3" s="534"/>
      <c r="BM3" s="535"/>
      <c r="BN3" s="488">
        <f>BG70</f>
        <v>1452</v>
      </c>
      <c r="BO3" s="489"/>
      <c r="BR3" s="492"/>
      <c r="BS3" s="493"/>
      <c r="BT3" s="493"/>
      <c r="BU3" s="494"/>
      <c r="BV3" s="1073"/>
      <c r="BW3" s="1074"/>
      <c r="BX3" s="1165"/>
      <c r="BY3" s="1166"/>
      <c r="BZ3" s="1167"/>
      <c r="CA3" s="1077"/>
      <c r="CB3" s="1078"/>
      <c r="CC3" s="51"/>
      <c r="CQ3" s="7"/>
      <c r="CR3" s="7"/>
      <c r="DB3" s="22"/>
      <c r="DC3" s="22"/>
    </row>
    <row r="4" spans="3:119" ht="15.95" customHeight="1" thickBot="1">
      <c r="C4" s="576"/>
      <c r="D4" s="577"/>
      <c r="E4" s="577"/>
      <c r="F4" s="577"/>
      <c r="G4" s="526"/>
      <c r="H4" s="527"/>
      <c r="I4" s="527"/>
      <c r="J4" s="527"/>
      <c r="K4" s="528"/>
      <c r="L4" s="10"/>
      <c r="M4" s="10"/>
      <c r="R4" s="526"/>
      <c r="S4" s="527"/>
      <c r="T4" s="527"/>
      <c r="U4" s="527"/>
      <c r="V4" s="528"/>
      <c r="W4" s="10"/>
      <c r="X4" s="10"/>
      <c r="AC4" s="1068"/>
      <c r="AD4" s="1069"/>
      <c r="AE4" s="1069"/>
      <c r="AF4" s="1069"/>
      <c r="AG4" s="1070"/>
      <c r="AH4" s="10"/>
      <c r="AI4" s="10"/>
      <c r="AL4" s="438"/>
      <c r="AM4" s="439"/>
      <c r="AN4" s="440"/>
      <c r="AO4" s="438"/>
      <c r="AP4" s="439"/>
      <c r="AQ4" s="440"/>
      <c r="AR4" s="438"/>
      <c r="AS4" s="439"/>
      <c r="AT4" s="440"/>
      <c r="AU4" s="438"/>
      <c r="AV4" s="439"/>
      <c r="AW4" s="440"/>
      <c r="AX4" s="438"/>
      <c r="AY4" s="439"/>
      <c r="AZ4" s="440"/>
      <c r="BA4" s="438"/>
      <c r="BB4" s="439"/>
      <c r="BC4" s="440"/>
      <c r="BI4" s="536"/>
      <c r="BJ4" s="537"/>
      <c r="BK4" s="537"/>
      <c r="BL4" s="537"/>
      <c r="BM4" s="538"/>
      <c r="BN4" s="490"/>
      <c r="BO4" s="491"/>
      <c r="BR4" s="495"/>
      <c r="BS4" s="496"/>
      <c r="BT4" s="496"/>
      <c r="BU4" s="497"/>
      <c r="BV4" s="1075"/>
      <c r="BW4" s="1076"/>
      <c r="BX4" s="1168"/>
      <c r="BY4" s="1169"/>
      <c r="BZ4" s="1170"/>
      <c r="CA4" s="1079"/>
      <c r="CB4" s="1080"/>
      <c r="CC4" s="51"/>
      <c r="CQ4" s="7"/>
      <c r="CR4" s="7"/>
      <c r="DB4" s="22"/>
      <c r="DC4" s="22"/>
      <c r="DE4" s="19"/>
      <c r="DF4" s="19"/>
      <c r="DG4" s="19"/>
      <c r="DH4" s="19"/>
    </row>
    <row r="5" spans="3:119" ht="15.95" customHeight="1" thickBot="1">
      <c r="C5" s="576"/>
      <c r="D5" s="577"/>
      <c r="E5" s="577"/>
      <c r="F5" s="578"/>
      <c r="G5" s="1064" t="s">
        <v>274</v>
      </c>
      <c r="H5" s="484" t="s">
        <v>16</v>
      </c>
      <c r="I5" s="1067" t="s">
        <v>13</v>
      </c>
      <c r="J5" s="1067" t="s">
        <v>275</v>
      </c>
      <c r="K5" s="484" t="s">
        <v>277</v>
      </c>
      <c r="L5" s="5"/>
      <c r="R5" s="1067" t="s">
        <v>274</v>
      </c>
      <c r="S5" s="1067" t="s">
        <v>16</v>
      </c>
      <c r="T5" s="1067" t="s">
        <v>13</v>
      </c>
      <c r="U5" s="1067" t="s">
        <v>275</v>
      </c>
      <c r="V5" s="1067" t="s">
        <v>277</v>
      </c>
      <c r="W5" s="5"/>
      <c r="X5" s="5"/>
      <c r="AC5" s="484" t="s">
        <v>274</v>
      </c>
      <c r="AD5" s="484" t="s">
        <v>16</v>
      </c>
      <c r="AE5" s="484" t="s">
        <v>13</v>
      </c>
      <c r="AF5" s="484" t="s">
        <v>118</v>
      </c>
      <c r="AG5" s="484" t="s">
        <v>275</v>
      </c>
      <c r="AH5" s="484" t="s">
        <v>277</v>
      </c>
      <c r="AI5" s="5"/>
      <c r="AL5" s="441"/>
      <c r="AM5" s="442"/>
      <c r="AN5" s="443"/>
      <c r="AO5" s="441"/>
      <c r="AP5" s="442"/>
      <c r="AQ5" s="443"/>
      <c r="AR5" s="441"/>
      <c r="AS5" s="442"/>
      <c r="AT5" s="443"/>
      <c r="AU5" s="441"/>
      <c r="AV5" s="442"/>
      <c r="AW5" s="443"/>
      <c r="AX5" s="441"/>
      <c r="AY5" s="442"/>
      <c r="AZ5" s="443"/>
      <c r="BA5" s="441"/>
      <c r="BB5" s="442"/>
      <c r="BC5" s="443"/>
      <c r="BN5" s="1"/>
      <c r="BO5" s="1"/>
      <c r="BR5" s="495"/>
      <c r="BS5" s="496"/>
      <c r="BT5" s="496"/>
      <c r="BU5" s="497"/>
      <c r="BV5" s="433">
        <f>AD9</f>
        <v>1</v>
      </c>
      <c r="BW5" s="433">
        <f>BD62</f>
        <v>4</v>
      </c>
      <c r="BX5" s="433">
        <f>BC64</f>
        <v>4</v>
      </c>
      <c r="BY5" s="433">
        <f>BD64</f>
        <v>16</v>
      </c>
      <c r="BZ5" s="433">
        <f>BE64</f>
        <v>4</v>
      </c>
      <c r="CA5" s="433">
        <f>BC66</f>
        <v>8</v>
      </c>
      <c r="CB5" s="433">
        <f>AE7</f>
        <v>1</v>
      </c>
      <c r="CC5" s="433">
        <f>AF7</f>
        <v>1</v>
      </c>
      <c r="CD5" s="444">
        <f>SUM(BV5:CB6)</f>
        <v>38</v>
      </c>
      <c r="DE5" s="19"/>
      <c r="DF5" s="19"/>
      <c r="DG5" s="19"/>
      <c r="DH5" s="19"/>
    </row>
    <row r="6" spans="3:119" ht="15.95" customHeight="1" thickBot="1">
      <c r="C6" s="579"/>
      <c r="D6" s="580"/>
      <c r="E6" s="580"/>
      <c r="F6" s="581"/>
      <c r="G6" s="487"/>
      <c r="H6" s="485"/>
      <c r="I6" s="485"/>
      <c r="J6" s="485"/>
      <c r="K6" s="485"/>
      <c r="L6" s="5"/>
      <c r="R6" s="485"/>
      <c r="S6" s="485"/>
      <c r="T6" s="485"/>
      <c r="U6" s="485"/>
      <c r="V6" s="485"/>
      <c r="W6" s="5"/>
      <c r="X6" s="5"/>
      <c r="AC6" s="485"/>
      <c r="AD6" s="485"/>
      <c r="AE6" s="485"/>
      <c r="AF6" s="485"/>
      <c r="AG6" s="485"/>
      <c r="AH6" s="485"/>
      <c r="AI6" s="5"/>
      <c r="AL6" s="560">
        <f>K19+V25+AH11</f>
        <v>465.25</v>
      </c>
      <c r="AM6" s="561"/>
      <c r="AN6" s="562"/>
      <c r="AO6" s="1081"/>
      <c r="AP6" s="1082"/>
      <c r="AQ6" s="1083"/>
      <c r="AR6" s="560">
        <f>AL6+AO6</f>
        <v>465.25</v>
      </c>
      <c r="AS6" s="561"/>
      <c r="AT6" s="562"/>
      <c r="AU6" s="582">
        <f>J19+U25+AG11</f>
        <v>17</v>
      </c>
      <c r="AV6" s="456"/>
      <c r="AW6" s="457"/>
      <c r="AX6" s="582"/>
      <c r="AY6" s="456"/>
      <c r="AZ6" s="457"/>
      <c r="BA6" s="560">
        <f>AR6</f>
        <v>465.25</v>
      </c>
      <c r="BB6" s="561"/>
      <c r="BC6" s="562"/>
      <c r="BF6" s="6"/>
      <c r="BI6" s="583" t="s">
        <v>147</v>
      </c>
      <c r="BJ6" s="594"/>
      <c r="BK6" s="594"/>
      <c r="BL6" s="594"/>
      <c r="BM6" s="584"/>
      <c r="BN6" s="427">
        <f>BA20</f>
        <v>1100.24</v>
      </c>
      <c r="BO6" s="428"/>
      <c r="BR6" s="495"/>
      <c r="BS6" s="496"/>
      <c r="BT6" s="496"/>
      <c r="BU6" s="497"/>
      <c r="BV6" s="434"/>
      <c r="BW6" s="434"/>
      <c r="BX6" s="434"/>
      <c r="BY6" s="434"/>
      <c r="BZ6" s="434"/>
      <c r="CA6" s="434"/>
      <c r="CB6" s="434"/>
      <c r="CC6" s="434"/>
      <c r="CD6" s="445"/>
      <c r="CQ6" s="20"/>
      <c r="CR6" s="20"/>
      <c r="CS6" s="20"/>
      <c r="CT6" s="20"/>
      <c r="CU6" s="20"/>
      <c r="CV6" s="20"/>
      <c r="CW6" s="20"/>
      <c r="CX6" s="20"/>
      <c r="CY6" s="20"/>
      <c r="CZ6" s="20"/>
      <c r="DE6" s="19"/>
      <c r="DF6" s="20"/>
      <c r="DG6" s="20"/>
      <c r="DH6" s="20"/>
      <c r="DI6" s="20"/>
      <c r="DJ6" s="20"/>
      <c r="DK6" s="20"/>
      <c r="DL6" s="20"/>
      <c r="DM6" s="20"/>
      <c r="DN6" s="20"/>
      <c r="DO6" s="20"/>
    </row>
    <row r="7" spans="3:119" ht="15.95" customHeight="1">
      <c r="C7" s="545"/>
      <c r="D7" s="547" t="s">
        <v>279</v>
      </c>
      <c r="E7" s="548"/>
      <c r="F7" s="549"/>
      <c r="G7" s="555">
        <v>35.69</v>
      </c>
      <c r="H7" s="649"/>
      <c r="I7" s="557"/>
      <c r="J7" s="557">
        <f>H7+I7</f>
        <v>0</v>
      </c>
      <c r="K7" s="519">
        <f>G7*J7</f>
        <v>0</v>
      </c>
      <c r="L7" s="18"/>
      <c r="N7" s="545"/>
      <c r="O7" s="547" t="s">
        <v>279</v>
      </c>
      <c r="P7" s="548"/>
      <c r="Q7" s="548"/>
      <c r="R7" s="555">
        <v>15.89</v>
      </c>
      <c r="S7" s="649"/>
      <c r="T7" s="557"/>
      <c r="U7" s="557">
        <f>S7+T7</f>
        <v>0</v>
      </c>
      <c r="V7" s="519">
        <f>R7*U7</f>
        <v>0</v>
      </c>
      <c r="W7" s="15"/>
      <c r="X7" s="16"/>
      <c r="Y7" s="1078"/>
      <c r="Z7" s="547" t="s">
        <v>279</v>
      </c>
      <c r="AA7" s="548"/>
      <c r="AB7" s="548"/>
      <c r="AC7" s="555">
        <v>30.39</v>
      </c>
      <c r="AD7" s="649">
        <v>9</v>
      </c>
      <c r="AE7" s="557">
        <v>1</v>
      </c>
      <c r="AF7" s="557">
        <v>1</v>
      </c>
      <c r="AG7" s="557">
        <f>AD7+AE7+AF7</f>
        <v>11</v>
      </c>
      <c r="AH7" s="519">
        <f>357.25</f>
        <v>357.25</v>
      </c>
      <c r="AI7" s="5"/>
      <c r="AL7" s="563"/>
      <c r="AM7" s="564"/>
      <c r="AN7" s="565"/>
      <c r="AO7" s="1084"/>
      <c r="AP7" s="1085"/>
      <c r="AQ7" s="1086"/>
      <c r="AR7" s="563"/>
      <c r="AS7" s="564"/>
      <c r="AT7" s="565"/>
      <c r="AU7" s="458"/>
      <c r="AV7" s="459"/>
      <c r="AW7" s="460"/>
      <c r="AX7" s="458"/>
      <c r="AY7" s="459"/>
      <c r="AZ7" s="460"/>
      <c r="BA7" s="563"/>
      <c r="BB7" s="564"/>
      <c r="BC7" s="565"/>
      <c r="BE7" s="6"/>
      <c r="BF7" s="6"/>
      <c r="BI7" s="529"/>
      <c r="BJ7" s="530"/>
      <c r="BK7" s="530"/>
      <c r="BL7" s="530"/>
      <c r="BM7" s="531"/>
      <c r="BN7" s="429"/>
      <c r="BO7" s="430"/>
      <c r="BR7" s="495"/>
      <c r="BS7" s="496"/>
      <c r="BT7" s="496"/>
      <c r="BU7" s="497"/>
      <c r="BV7" s="521" t="s">
        <v>16</v>
      </c>
      <c r="BW7" s="521" t="s">
        <v>13</v>
      </c>
      <c r="BX7" s="521" t="s">
        <v>16</v>
      </c>
      <c r="BY7" s="521" t="s">
        <v>13</v>
      </c>
      <c r="BZ7" s="521" t="s">
        <v>118</v>
      </c>
      <c r="CA7" s="521" t="s">
        <v>16</v>
      </c>
      <c r="CB7" s="521" t="s">
        <v>13</v>
      </c>
      <c r="CC7" s="521" t="s">
        <v>118</v>
      </c>
      <c r="CD7" s="484" t="s">
        <v>275</v>
      </c>
      <c r="CE7" s="484" t="s">
        <v>277</v>
      </c>
      <c r="CF7" s="583" t="s">
        <v>280</v>
      </c>
      <c r="CG7" s="594"/>
      <c r="CH7" s="584"/>
      <c r="CI7" s="596" t="s">
        <v>281</v>
      </c>
      <c r="CJ7" s="596" t="s">
        <v>282</v>
      </c>
      <c r="CK7" s="583" t="s">
        <v>272</v>
      </c>
      <c r="CL7" s="584"/>
      <c r="CM7" s="587" t="s">
        <v>139</v>
      </c>
      <c r="CR7" s="8"/>
      <c r="CW7" s="21"/>
      <c r="CX7" s="21"/>
      <c r="DB7" s="22"/>
      <c r="DC7" s="22"/>
      <c r="DE7" s="19"/>
      <c r="DG7" s="8"/>
      <c r="DL7" s="21"/>
      <c r="DM7" s="21"/>
    </row>
    <row r="8" spans="3:119" ht="15.95" customHeight="1" thickBot="1">
      <c r="C8" s="546"/>
      <c r="D8" s="550"/>
      <c r="E8" s="551"/>
      <c r="F8" s="552"/>
      <c r="G8" s="556"/>
      <c r="H8" s="520"/>
      <c r="I8" s="558"/>
      <c r="J8" s="558"/>
      <c r="K8" s="640"/>
      <c r="L8" s="5"/>
      <c r="N8" s="546"/>
      <c r="O8" s="550"/>
      <c r="P8" s="551"/>
      <c r="Q8" s="551"/>
      <c r="R8" s="556"/>
      <c r="S8" s="520"/>
      <c r="T8" s="558"/>
      <c r="U8" s="558"/>
      <c r="V8" s="640"/>
      <c r="W8" s="15"/>
      <c r="X8" s="16"/>
      <c r="Y8" s="1090"/>
      <c r="Z8" s="1071"/>
      <c r="AA8" s="1072"/>
      <c r="AB8" s="1072"/>
      <c r="AC8" s="556"/>
      <c r="AD8" s="520"/>
      <c r="AE8" s="558"/>
      <c r="AF8" s="558"/>
      <c r="AG8" s="558"/>
      <c r="AH8" s="640"/>
      <c r="AI8" s="5"/>
      <c r="AL8" s="566"/>
      <c r="AM8" s="567"/>
      <c r="AN8" s="568"/>
      <c r="AO8" s="1087"/>
      <c r="AP8" s="1088"/>
      <c r="AQ8" s="1089"/>
      <c r="AR8" s="566"/>
      <c r="AS8" s="567"/>
      <c r="AT8" s="568"/>
      <c r="AU8" s="461"/>
      <c r="AV8" s="462"/>
      <c r="AW8" s="463"/>
      <c r="AX8" s="461"/>
      <c r="AY8" s="462"/>
      <c r="AZ8" s="463"/>
      <c r="BA8" s="566"/>
      <c r="BB8" s="567"/>
      <c r="BC8" s="568"/>
      <c r="BI8" s="529" t="s">
        <v>141</v>
      </c>
      <c r="BJ8" s="530"/>
      <c r="BK8" s="530"/>
      <c r="BL8" s="530"/>
      <c r="BM8" s="531"/>
      <c r="BN8" s="532">
        <f>AT38</f>
        <v>217.8</v>
      </c>
      <c r="BO8" s="430"/>
      <c r="BR8" s="498"/>
      <c r="BS8" s="499"/>
      <c r="BT8" s="499"/>
      <c r="BU8" s="500"/>
      <c r="BV8" s="522"/>
      <c r="BW8" s="522"/>
      <c r="BX8" s="871"/>
      <c r="BY8" s="871"/>
      <c r="BZ8" s="871"/>
      <c r="CA8" s="871"/>
      <c r="CB8" s="871"/>
      <c r="CC8" s="871"/>
      <c r="CD8" s="485"/>
      <c r="CE8" s="485"/>
      <c r="CF8" s="585"/>
      <c r="CG8" s="595"/>
      <c r="CH8" s="586"/>
      <c r="CI8" s="597"/>
      <c r="CJ8" s="597"/>
      <c r="CK8" s="585"/>
      <c r="CL8" s="586"/>
      <c r="CM8" s="588"/>
      <c r="CY8" s="21"/>
      <c r="CZ8" s="21"/>
      <c r="DB8" s="22"/>
      <c r="DC8" s="22"/>
      <c r="DE8" s="19"/>
      <c r="DN8" s="21"/>
      <c r="DO8" s="21"/>
    </row>
    <row r="9" spans="3:119" ht="15.95" customHeight="1" thickBot="1">
      <c r="C9" s="639"/>
      <c r="D9" s="547" t="s">
        <v>376</v>
      </c>
      <c r="E9" s="548"/>
      <c r="F9" s="549"/>
      <c r="G9" s="555">
        <v>35.69</v>
      </c>
      <c r="H9" s="649"/>
      <c r="I9" s="557"/>
      <c r="J9" s="557">
        <f>H9+I9</f>
        <v>0</v>
      </c>
      <c r="K9" s="519">
        <f>G9*J9</f>
        <v>0</v>
      </c>
      <c r="L9" s="18"/>
      <c r="N9" s="639"/>
      <c r="O9" s="547" t="s">
        <v>376</v>
      </c>
      <c r="P9" s="548"/>
      <c r="Q9" s="548"/>
      <c r="R9" s="555">
        <v>15.89</v>
      </c>
      <c r="S9" s="649"/>
      <c r="T9" s="557"/>
      <c r="U9" s="557">
        <f>S9+T9</f>
        <v>0</v>
      </c>
      <c r="V9" s="519">
        <f>R9*U9</f>
        <v>0</v>
      </c>
      <c r="W9" s="17"/>
      <c r="X9" s="18"/>
      <c r="Y9" s="1074"/>
      <c r="Z9" s="547" t="s">
        <v>376</v>
      </c>
      <c r="AA9" s="548"/>
      <c r="AB9" s="548"/>
      <c r="AC9" s="687">
        <v>0</v>
      </c>
      <c r="AD9" s="649">
        <v>1</v>
      </c>
      <c r="AE9" s="557">
        <v>5</v>
      </c>
      <c r="AF9" s="557">
        <v>0</v>
      </c>
      <c r="AG9" s="557">
        <f>AD9+AE9+AF9</f>
        <v>6</v>
      </c>
      <c r="AH9" s="519">
        <v>108</v>
      </c>
      <c r="AI9" s="5"/>
      <c r="BF9" s="6"/>
      <c r="BG9" s="6"/>
      <c r="BI9" s="529"/>
      <c r="BJ9" s="530"/>
      <c r="BK9" s="530"/>
      <c r="BL9" s="530"/>
      <c r="BM9" s="531"/>
      <c r="BN9" s="429"/>
      <c r="BO9" s="430"/>
      <c r="BR9" s="852" t="s">
        <v>74</v>
      </c>
      <c r="BS9" s="853"/>
      <c r="BT9" s="853"/>
      <c r="BU9" s="854"/>
      <c r="BV9" s="539"/>
      <c r="BW9" s="540"/>
      <c r="BX9" s="1091"/>
      <c r="BY9" s="1093"/>
      <c r="BZ9" s="1093">
        <v>1</v>
      </c>
      <c r="CA9" s="1091"/>
      <c r="CB9" s="1093"/>
      <c r="CC9" s="157"/>
      <c r="CD9" s="541">
        <f>SUM(BV9:CC10)</f>
        <v>1</v>
      </c>
      <c r="CE9" s="474">
        <f t="shared" ref="CE9" si="0">BV9*44+BW9*44+BX9*34+BY9*34+BZ9*34+CA9*44+CB9*44+CC9*44</f>
        <v>34</v>
      </c>
      <c r="CF9" s="468" t="s">
        <v>349</v>
      </c>
      <c r="CG9" s="469"/>
      <c r="CH9" s="470"/>
      <c r="CI9" s="474"/>
      <c r="CJ9" s="474">
        <v>34</v>
      </c>
      <c r="CK9" s="992" t="s">
        <v>286</v>
      </c>
      <c r="CL9" s="993"/>
      <c r="CM9" s="464">
        <v>45034</v>
      </c>
      <c r="DE9" s="19"/>
      <c r="DF9" s="19"/>
      <c r="DG9" s="19"/>
      <c r="DH9" s="19"/>
    </row>
    <row r="10" spans="3:119" ht="15.95" customHeight="1" thickBot="1">
      <c r="C10" s="639"/>
      <c r="D10" s="550"/>
      <c r="E10" s="551"/>
      <c r="F10" s="552"/>
      <c r="G10" s="556"/>
      <c r="H10" s="520"/>
      <c r="I10" s="558"/>
      <c r="J10" s="558"/>
      <c r="K10" s="640"/>
      <c r="L10" s="5"/>
      <c r="N10" s="639"/>
      <c r="O10" s="550"/>
      <c r="P10" s="551"/>
      <c r="Q10" s="551"/>
      <c r="R10" s="556"/>
      <c r="S10" s="520"/>
      <c r="T10" s="558"/>
      <c r="U10" s="558"/>
      <c r="V10" s="640"/>
      <c r="W10" s="17"/>
      <c r="X10" s="18"/>
      <c r="Y10" s="1076"/>
      <c r="Z10" s="550"/>
      <c r="AA10" s="551"/>
      <c r="AB10" s="551"/>
      <c r="AC10" s="688"/>
      <c r="AD10" s="657"/>
      <c r="AE10" s="668"/>
      <c r="AF10" s="668"/>
      <c r="AG10" s="668"/>
      <c r="AH10" s="669"/>
      <c r="AI10" s="18"/>
      <c r="AL10" s="435" t="s">
        <v>438</v>
      </c>
      <c r="AM10" s="436"/>
      <c r="AN10" s="437"/>
      <c r="AO10" s="435" t="s">
        <v>270</v>
      </c>
      <c r="AP10" s="436"/>
      <c r="AQ10" s="437"/>
      <c r="AR10" s="435" t="s">
        <v>113</v>
      </c>
      <c r="AS10" s="436"/>
      <c r="AT10" s="437"/>
      <c r="AU10" s="435" t="s">
        <v>271</v>
      </c>
      <c r="AV10" s="436"/>
      <c r="AW10" s="437"/>
      <c r="AX10" s="435" t="s">
        <v>139</v>
      </c>
      <c r="AY10" s="436"/>
      <c r="AZ10" s="437"/>
      <c r="BA10" s="435" t="s">
        <v>272</v>
      </c>
      <c r="BB10" s="436"/>
      <c r="BC10" s="437"/>
      <c r="BI10" s="529"/>
      <c r="BJ10" s="530"/>
      <c r="BK10" s="530"/>
      <c r="BL10" s="530"/>
      <c r="BM10" s="531"/>
      <c r="BN10" s="532"/>
      <c r="BO10" s="430"/>
      <c r="BR10" s="855"/>
      <c r="BS10" s="856"/>
      <c r="BT10" s="856"/>
      <c r="BU10" s="857"/>
      <c r="BV10" s="831"/>
      <c r="BW10" s="832"/>
      <c r="BX10" s="1092"/>
      <c r="BY10" s="1094"/>
      <c r="BZ10" s="1094"/>
      <c r="CA10" s="1092"/>
      <c r="CB10" s="1094"/>
      <c r="CC10" s="155"/>
      <c r="CD10" s="833"/>
      <c r="CE10" s="475"/>
      <c r="CF10" s="471"/>
      <c r="CG10" s="472"/>
      <c r="CH10" s="473"/>
      <c r="CI10" s="475"/>
      <c r="CJ10" s="475"/>
      <c r="CK10" s="994"/>
      <c r="CL10" s="995"/>
      <c r="CM10" s="465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E10" s="50"/>
      <c r="DF10" s="50"/>
      <c r="DG10" s="50"/>
      <c r="DH10" s="50"/>
      <c r="DI10" s="18"/>
      <c r="DJ10" s="5"/>
      <c r="DK10" s="5"/>
    </row>
    <row r="11" spans="3:119" ht="15.95" customHeight="1">
      <c r="C11" s="1047"/>
      <c r="D11" s="547" t="s">
        <v>439</v>
      </c>
      <c r="E11" s="548"/>
      <c r="F11" s="548"/>
      <c r="G11" s="555">
        <v>35.69</v>
      </c>
      <c r="H11" s="649"/>
      <c r="I11" s="557"/>
      <c r="J11" s="557">
        <f>H11+I11</f>
        <v>0</v>
      </c>
      <c r="K11" s="519">
        <f>G11*J11</f>
        <v>0</v>
      </c>
      <c r="L11" s="18"/>
      <c r="N11" s="653"/>
      <c r="O11" s="547" t="s">
        <v>302</v>
      </c>
      <c r="P11" s="548"/>
      <c r="Q11" s="548"/>
      <c r="R11" s="555">
        <v>15.89</v>
      </c>
      <c r="S11" s="649"/>
      <c r="T11" s="557"/>
      <c r="U11" s="557">
        <f>S11+T11</f>
        <v>0</v>
      </c>
      <c r="V11" s="519">
        <f>R11*U11</f>
        <v>0</v>
      </c>
      <c r="W11" s="17"/>
      <c r="X11" s="18"/>
      <c r="Z11" s="10"/>
      <c r="AA11" s="10"/>
      <c r="AB11" s="10"/>
      <c r="AC11" s="5"/>
      <c r="AD11" s="1051">
        <f>SUM(AD7:AD10)</f>
        <v>10</v>
      </c>
      <c r="AE11" s="1051">
        <f t="shared" ref="AE11" si="1">SUM(AE7:AE10)</f>
        <v>6</v>
      </c>
      <c r="AF11" s="1051">
        <f t="shared" ref="AF11" si="2">SUM(AF7:AF10)</f>
        <v>1</v>
      </c>
      <c r="AG11" s="1051">
        <f>SUM(AG7:AG10)</f>
        <v>17</v>
      </c>
      <c r="AH11" s="960">
        <f>SUM(AH7:AH10)</f>
        <v>465.25</v>
      </c>
      <c r="AI11" s="5"/>
      <c r="AL11" s="438"/>
      <c r="AM11" s="439"/>
      <c r="AN11" s="440"/>
      <c r="AO11" s="438"/>
      <c r="AP11" s="439"/>
      <c r="AQ11" s="440"/>
      <c r="AR11" s="438"/>
      <c r="AS11" s="439"/>
      <c r="AT11" s="440"/>
      <c r="AU11" s="438"/>
      <c r="AV11" s="439"/>
      <c r="AW11" s="440"/>
      <c r="AX11" s="438"/>
      <c r="AY11" s="439"/>
      <c r="AZ11" s="440"/>
      <c r="BA11" s="438"/>
      <c r="BB11" s="439"/>
      <c r="BC11" s="440"/>
      <c r="BI11" s="529"/>
      <c r="BJ11" s="530"/>
      <c r="BK11" s="530"/>
      <c r="BL11" s="530"/>
      <c r="BM11" s="531"/>
      <c r="BN11" s="429"/>
      <c r="BO11" s="430"/>
      <c r="BR11" s="852" t="s">
        <v>48</v>
      </c>
      <c r="BS11" s="853"/>
      <c r="BT11" s="853"/>
      <c r="BU11" s="854"/>
      <c r="BV11" s="539"/>
      <c r="BW11" s="540"/>
      <c r="BX11" s="1091"/>
      <c r="BY11" s="1093"/>
      <c r="BZ11" s="1093"/>
      <c r="CA11" s="1091"/>
      <c r="CB11" s="1093">
        <v>1</v>
      </c>
      <c r="CC11" s="157"/>
      <c r="CD11" s="541">
        <f>SUM(BV11:CC12)</f>
        <v>1</v>
      </c>
      <c r="CE11" s="474">
        <f t="shared" ref="CE11" si="3">BV11*44+BW11*44+BX11*34+BY11*34+BZ11*34+CA11*44+CB11*44+CC11*44</f>
        <v>44</v>
      </c>
      <c r="CF11" s="468" t="s">
        <v>440</v>
      </c>
      <c r="CG11" s="469"/>
      <c r="CH11" s="470"/>
      <c r="CI11" s="474"/>
      <c r="CJ11" s="998">
        <v>44</v>
      </c>
      <c r="CK11" s="992" t="s">
        <v>286</v>
      </c>
      <c r="CL11" s="993"/>
      <c r="CM11" s="996">
        <f>CM9</f>
        <v>45034</v>
      </c>
      <c r="CR11" s="8"/>
      <c r="CW11" s="21"/>
      <c r="CX11" s="21"/>
      <c r="DB11" s="22"/>
      <c r="DC11" s="22"/>
      <c r="DE11" s="50"/>
      <c r="DF11" s="50"/>
      <c r="DG11" s="50"/>
      <c r="DH11" s="50"/>
      <c r="DI11" s="18"/>
      <c r="DJ11" s="5"/>
      <c r="DK11" s="5"/>
    </row>
    <row r="12" spans="3:119" ht="15.95" customHeight="1" thickBot="1">
      <c r="C12" s="1048"/>
      <c r="D12" s="550"/>
      <c r="E12" s="551"/>
      <c r="F12" s="551"/>
      <c r="G12" s="556"/>
      <c r="H12" s="520"/>
      <c r="I12" s="558"/>
      <c r="J12" s="558"/>
      <c r="K12" s="640"/>
      <c r="L12" s="5"/>
      <c r="N12" s="653"/>
      <c r="O12" s="550"/>
      <c r="P12" s="551"/>
      <c r="Q12" s="551"/>
      <c r="R12" s="556"/>
      <c r="S12" s="520"/>
      <c r="T12" s="558"/>
      <c r="U12" s="558"/>
      <c r="V12" s="640"/>
      <c r="W12" s="17"/>
      <c r="X12" s="18"/>
      <c r="Z12" s="10"/>
      <c r="AA12" s="10"/>
      <c r="AB12" s="10"/>
      <c r="AC12" s="5"/>
      <c r="AD12" s="697"/>
      <c r="AE12" s="697"/>
      <c r="AF12" s="697"/>
      <c r="AG12" s="697"/>
      <c r="AH12" s="663"/>
      <c r="AI12" s="5"/>
      <c r="AL12" s="441"/>
      <c r="AM12" s="442"/>
      <c r="AN12" s="443"/>
      <c r="AO12" s="441"/>
      <c r="AP12" s="442"/>
      <c r="AQ12" s="443"/>
      <c r="AR12" s="441"/>
      <c r="AS12" s="442"/>
      <c r="AT12" s="443"/>
      <c r="AU12" s="441"/>
      <c r="AV12" s="442"/>
      <c r="AW12" s="443"/>
      <c r="AX12" s="441"/>
      <c r="AY12" s="442"/>
      <c r="AZ12" s="443"/>
      <c r="BA12" s="441"/>
      <c r="BB12" s="442"/>
      <c r="BC12" s="443"/>
      <c r="BI12" s="529"/>
      <c r="BJ12" s="530"/>
      <c r="BK12" s="530"/>
      <c r="BL12" s="530"/>
      <c r="BM12" s="531"/>
      <c r="BN12" s="532"/>
      <c r="BO12" s="430"/>
      <c r="BR12" s="855"/>
      <c r="BS12" s="856"/>
      <c r="BT12" s="856"/>
      <c r="BU12" s="857"/>
      <c r="BV12" s="831"/>
      <c r="BW12" s="832"/>
      <c r="BX12" s="1092"/>
      <c r="BY12" s="1094"/>
      <c r="BZ12" s="1094"/>
      <c r="CA12" s="1092"/>
      <c r="CB12" s="1094"/>
      <c r="CC12" s="155"/>
      <c r="CD12" s="833"/>
      <c r="CE12" s="475"/>
      <c r="CF12" s="471"/>
      <c r="CG12" s="472"/>
      <c r="CH12" s="473"/>
      <c r="CI12" s="475"/>
      <c r="CJ12" s="999"/>
      <c r="CK12" s="994"/>
      <c r="CL12" s="995"/>
      <c r="CM12" s="997"/>
      <c r="CY12" s="21"/>
      <c r="CZ12" s="21"/>
      <c r="DB12" s="22"/>
      <c r="DC12" s="22"/>
      <c r="DE12" s="50"/>
      <c r="DF12" s="50"/>
      <c r="DG12" s="50"/>
      <c r="DH12" s="50"/>
      <c r="DI12" s="18"/>
      <c r="DJ12" s="5"/>
      <c r="DK12" s="5"/>
    </row>
    <row r="13" spans="3:119" ht="15.95" customHeight="1">
      <c r="C13" s="1065"/>
      <c r="D13" s="547" t="s">
        <v>305</v>
      </c>
      <c r="E13" s="548"/>
      <c r="F13" s="549"/>
      <c r="G13" s="555">
        <v>35.69</v>
      </c>
      <c r="H13" s="649"/>
      <c r="I13" s="557"/>
      <c r="J13" s="557">
        <f>H13+I13</f>
        <v>0</v>
      </c>
      <c r="K13" s="519">
        <f>G13*J13</f>
        <v>0</v>
      </c>
      <c r="L13" s="18"/>
      <c r="N13" s="658"/>
      <c r="O13" s="547" t="s">
        <v>305</v>
      </c>
      <c r="P13" s="548"/>
      <c r="Q13" s="548"/>
      <c r="R13" s="555">
        <v>15.89</v>
      </c>
      <c r="S13" s="649"/>
      <c r="T13" s="557"/>
      <c r="U13" s="557">
        <f>S13+T13</f>
        <v>0</v>
      </c>
      <c r="V13" s="519">
        <f>R13*U13</f>
        <v>0</v>
      </c>
      <c r="W13" s="17"/>
      <c r="X13" s="18"/>
      <c r="Z13" s="10"/>
      <c r="AA13" s="10"/>
      <c r="AB13" s="10"/>
      <c r="AC13" s="17"/>
      <c r="AD13" s="18"/>
      <c r="AE13" s="5"/>
      <c r="AF13" s="5"/>
      <c r="AG13" s="5"/>
      <c r="AH13" s="17"/>
      <c r="AI13" s="18"/>
      <c r="AL13" s="560">
        <f>K76+W82+AG68</f>
        <v>624</v>
      </c>
      <c r="AM13" s="561"/>
      <c r="AN13" s="562"/>
      <c r="AO13" s="1081">
        <v>10.99</v>
      </c>
      <c r="AP13" s="1082"/>
      <c r="AQ13" s="1083"/>
      <c r="AR13" s="560">
        <f>AL13+AO13</f>
        <v>634.99</v>
      </c>
      <c r="AS13" s="561"/>
      <c r="AT13" s="562"/>
      <c r="AU13" s="582">
        <f>J76+V82+AF68</f>
        <v>26</v>
      </c>
      <c r="AV13" s="456"/>
      <c r="AW13" s="457"/>
      <c r="AX13" s="582"/>
      <c r="AY13" s="456"/>
      <c r="AZ13" s="457"/>
      <c r="BA13" s="560">
        <f>AR13</f>
        <v>634.99</v>
      </c>
      <c r="BB13" s="561"/>
      <c r="BC13" s="562"/>
      <c r="BI13" s="529"/>
      <c r="BJ13" s="530"/>
      <c r="BK13" s="530"/>
      <c r="BL13" s="530"/>
      <c r="BM13" s="531"/>
      <c r="BN13" s="429"/>
      <c r="BO13" s="430"/>
      <c r="BR13" s="852" t="s">
        <v>413</v>
      </c>
      <c r="BS13" s="853"/>
      <c r="BT13" s="853"/>
      <c r="BU13" s="854"/>
      <c r="BV13" s="539"/>
      <c r="BW13" s="540"/>
      <c r="BX13" s="1091"/>
      <c r="BY13" s="1093"/>
      <c r="BZ13" s="1093"/>
      <c r="CA13" s="1091">
        <v>1</v>
      </c>
      <c r="CB13" s="1093"/>
      <c r="CC13" s="157"/>
      <c r="CD13" s="541">
        <f>SUM(BV13:CC14)</f>
        <v>1</v>
      </c>
      <c r="CE13" s="474">
        <f t="shared" ref="CE13" si="4">BV13*44+BW13*44+BX13*34+BY13*34+BZ13*34+CA13*44+CB13*44+CC13*44</f>
        <v>44</v>
      </c>
      <c r="CF13" s="468" t="s">
        <v>440</v>
      </c>
      <c r="CG13" s="469"/>
      <c r="CH13" s="470"/>
      <c r="CI13" s="474"/>
      <c r="CJ13" s="474">
        <v>44</v>
      </c>
      <c r="CK13" s="992" t="s">
        <v>286</v>
      </c>
      <c r="CL13" s="993"/>
      <c r="CM13" s="464">
        <v>45043</v>
      </c>
      <c r="DE13" s="50"/>
      <c r="DF13" s="50"/>
      <c r="DG13" s="50"/>
      <c r="DH13" s="50"/>
      <c r="DI13" s="18"/>
      <c r="DJ13" s="5"/>
      <c r="DK13" s="5"/>
    </row>
    <row r="14" spans="3:119" ht="15.95" customHeight="1" thickBot="1">
      <c r="C14" s="1065"/>
      <c r="D14" s="550"/>
      <c r="E14" s="551"/>
      <c r="F14" s="552"/>
      <c r="G14" s="556"/>
      <c r="H14" s="520"/>
      <c r="I14" s="558"/>
      <c r="J14" s="558"/>
      <c r="K14" s="640"/>
      <c r="L14" s="5"/>
      <c r="N14" s="658"/>
      <c r="O14" s="550"/>
      <c r="P14" s="551"/>
      <c r="Q14" s="551"/>
      <c r="R14" s="556"/>
      <c r="S14" s="520"/>
      <c r="T14" s="558"/>
      <c r="U14" s="558"/>
      <c r="V14" s="640"/>
      <c r="W14" s="17"/>
      <c r="X14" s="18"/>
      <c r="Z14" s="10"/>
      <c r="AA14" s="10"/>
      <c r="AB14" s="10"/>
      <c r="AC14" s="17"/>
      <c r="AD14" s="18"/>
      <c r="AE14" s="17"/>
      <c r="AF14" s="5"/>
      <c r="AG14" s="5"/>
      <c r="AH14" s="17"/>
      <c r="AI14" s="18"/>
      <c r="AL14" s="563"/>
      <c r="AM14" s="564"/>
      <c r="AN14" s="565"/>
      <c r="AO14" s="1084"/>
      <c r="AP14" s="1085"/>
      <c r="AQ14" s="1086"/>
      <c r="AR14" s="563"/>
      <c r="AS14" s="564"/>
      <c r="AT14" s="565"/>
      <c r="AU14" s="458"/>
      <c r="AV14" s="459"/>
      <c r="AW14" s="460"/>
      <c r="AX14" s="458"/>
      <c r="AY14" s="459"/>
      <c r="AZ14" s="460"/>
      <c r="BA14" s="563"/>
      <c r="BB14" s="564"/>
      <c r="BC14" s="565"/>
      <c r="BI14" s="529"/>
      <c r="BJ14" s="530"/>
      <c r="BK14" s="530"/>
      <c r="BL14" s="530"/>
      <c r="BM14" s="531"/>
      <c r="BN14" s="532"/>
      <c r="BO14" s="430"/>
      <c r="BR14" s="893"/>
      <c r="BS14" s="894"/>
      <c r="BT14" s="894"/>
      <c r="BU14" s="895"/>
      <c r="BV14" s="831"/>
      <c r="BW14" s="832"/>
      <c r="BX14" s="1092"/>
      <c r="BY14" s="1094"/>
      <c r="BZ14" s="1094"/>
      <c r="CA14" s="1092"/>
      <c r="CB14" s="1094"/>
      <c r="CC14" s="155"/>
      <c r="CD14" s="833"/>
      <c r="CE14" s="475"/>
      <c r="CF14" s="471"/>
      <c r="CG14" s="472"/>
      <c r="CH14" s="473"/>
      <c r="CI14" s="475"/>
      <c r="CJ14" s="475"/>
      <c r="CK14" s="994"/>
      <c r="CL14" s="995"/>
      <c r="CM14" s="465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E14" s="50"/>
      <c r="DF14" s="50"/>
      <c r="DG14" s="50"/>
      <c r="DH14" s="50"/>
      <c r="DI14" s="18"/>
      <c r="DJ14" s="5"/>
      <c r="DK14" s="5"/>
    </row>
    <row r="15" spans="3:119" ht="15.95" customHeight="1" thickBot="1">
      <c r="C15" s="1066"/>
      <c r="D15" s="547" t="s">
        <v>441</v>
      </c>
      <c r="E15" s="548"/>
      <c r="F15" s="549"/>
      <c r="G15" s="555">
        <v>35.69</v>
      </c>
      <c r="H15" s="649"/>
      <c r="I15" s="557"/>
      <c r="J15" s="557">
        <f>H15+I15</f>
        <v>0</v>
      </c>
      <c r="K15" s="519">
        <f>G15*J15</f>
        <v>0</v>
      </c>
      <c r="L15" s="18"/>
      <c r="N15" s="659"/>
      <c r="O15" s="547" t="s">
        <v>306</v>
      </c>
      <c r="P15" s="548"/>
      <c r="Q15" s="548"/>
      <c r="R15" s="555">
        <v>15.89</v>
      </c>
      <c r="S15" s="649"/>
      <c r="T15" s="557"/>
      <c r="U15" s="557">
        <f>S15+T15</f>
        <v>0</v>
      </c>
      <c r="V15" s="519">
        <f>R15*U15</f>
        <v>0</v>
      </c>
      <c r="W15" s="17"/>
      <c r="X15" s="18"/>
      <c r="Z15" s="10"/>
      <c r="AA15" s="10"/>
      <c r="AB15" s="10"/>
      <c r="AC15" s="5"/>
      <c r="AD15" s="5"/>
      <c r="AE15" s="46"/>
      <c r="AF15" s="18"/>
      <c r="AL15" s="566"/>
      <c r="AM15" s="567"/>
      <c r="AN15" s="568"/>
      <c r="AO15" s="1087"/>
      <c r="AP15" s="1088"/>
      <c r="AQ15" s="1089"/>
      <c r="AR15" s="566"/>
      <c r="AS15" s="567"/>
      <c r="AT15" s="568"/>
      <c r="AU15" s="461"/>
      <c r="AV15" s="462"/>
      <c r="AW15" s="463"/>
      <c r="AX15" s="461"/>
      <c r="AY15" s="462"/>
      <c r="AZ15" s="463"/>
      <c r="BA15" s="566"/>
      <c r="BB15" s="567"/>
      <c r="BC15" s="568"/>
      <c r="BI15" s="529"/>
      <c r="BJ15" s="530"/>
      <c r="BK15" s="530"/>
      <c r="BL15" s="530"/>
      <c r="BM15" s="531"/>
      <c r="BN15" s="429"/>
      <c r="BO15" s="430"/>
      <c r="BR15" s="852" t="s">
        <v>442</v>
      </c>
      <c r="BS15" s="853"/>
      <c r="BT15" s="853"/>
      <c r="BU15" s="854"/>
      <c r="BV15" s="539"/>
      <c r="BW15" s="540">
        <v>1</v>
      </c>
      <c r="BX15" s="1091"/>
      <c r="BY15" s="1093"/>
      <c r="BZ15" s="1093"/>
      <c r="CA15" s="1091"/>
      <c r="CB15" s="1093"/>
      <c r="CC15" s="157"/>
      <c r="CD15" s="541">
        <f>SUM(BV15:CC16)</f>
        <v>1</v>
      </c>
      <c r="CE15" s="474">
        <f t="shared" ref="CE15" si="5">BV15*44+BW15*44+BX15*34+BY15*34+BZ15*34+CA15*44+CB15*44+CC15*44</f>
        <v>44</v>
      </c>
      <c r="CF15" s="468" t="s">
        <v>440</v>
      </c>
      <c r="CG15" s="469"/>
      <c r="CH15" s="470"/>
      <c r="CI15" s="474"/>
      <c r="CJ15" s="474">
        <v>44</v>
      </c>
      <c r="CK15" s="992" t="s">
        <v>286</v>
      </c>
      <c r="CL15" s="993"/>
      <c r="CM15" s="464">
        <v>45043</v>
      </c>
      <c r="CR15" s="8"/>
      <c r="CW15" s="21"/>
      <c r="CX15" s="21"/>
      <c r="DB15" s="22"/>
      <c r="DC15" s="22"/>
      <c r="DE15" s="50"/>
      <c r="DF15" s="50"/>
      <c r="DG15" s="50"/>
      <c r="DH15" s="50"/>
      <c r="DI15" s="18"/>
      <c r="DJ15" s="5"/>
      <c r="DK15" s="5"/>
    </row>
    <row r="16" spans="3:119" ht="15.95" customHeight="1" thickBot="1">
      <c r="C16" s="1066"/>
      <c r="D16" s="550"/>
      <c r="E16" s="551"/>
      <c r="F16" s="552"/>
      <c r="G16" s="556"/>
      <c r="H16" s="520"/>
      <c r="I16" s="558"/>
      <c r="J16" s="558"/>
      <c r="K16" s="640"/>
      <c r="L16" s="5"/>
      <c r="N16" s="659"/>
      <c r="O16" s="550"/>
      <c r="P16" s="551"/>
      <c r="Q16" s="551"/>
      <c r="R16" s="556"/>
      <c r="S16" s="520"/>
      <c r="T16" s="558"/>
      <c r="U16" s="558"/>
      <c r="V16" s="640"/>
      <c r="W16" s="17"/>
      <c r="X16" s="18"/>
      <c r="Z16" s="10"/>
      <c r="AA16" s="10"/>
      <c r="AB16" s="10"/>
      <c r="AC16" s="5"/>
      <c r="AD16" s="5"/>
      <c r="AE16" s="26"/>
      <c r="AF16" s="18"/>
      <c r="AI16" s="31"/>
      <c r="BI16" s="529"/>
      <c r="BJ16" s="530"/>
      <c r="BK16" s="530"/>
      <c r="BL16" s="530"/>
      <c r="BM16" s="531"/>
      <c r="BN16" s="532"/>
      <c r="BO16" s="600"/>
      <c r="BR16" s="855"/>
      <c r="BS16" s="856"/>
      <c r="BT16" s="856"/>
      <c r="BU16" s="857"/>
      <c r="BV16" s="831"/>
      <c r="BW16" s="832"/>
      <c r="BX16" s="1103"/>
      <c r="BY16" s="543"/>
      <c r="BZ16" s="543"/>
      <c r="CA16" s="1103"/>
      <c r="CB16" s="543"/>
      <c r="CC16" s="154"/>
      <c r="CD16" s="544"/>
      <c r="CE16" s="906"/>
      <c r="CF16" s="903"/>
      <c r="CG16" s="904"/>
      <c r="CH16" s="905"/>
      <c r="CI16" s="906"/>
      <c r="CJ16" s="906"/>
      <c r="CK16" s="1211"/>
      <c r="CL16" s="1212"/>
      <c r="CM16" s="1102"/>
      <c r="CY16" s="21"/>
      <c r="CZ16" s="21"/>
      <c r="DB16" s="22"/>
      <c r="DC16" s="22"/>
      <c r="DE16" s="50"/>
      <c r="DF16" s="50"/>
      <c r="DG16" s="50"/>
      <c r="DH16" s="50"/>
      <c r="DI16" s="18"/>
      <c r="DJ16" s="5"/>
      <c r="DK16" s="5"/>
    </row>
    <row r="17" spans="3:115" ht="15.95" customHeight="1" thickBot="1">
      <c r="C17" s="684"/>
      <c r="D17" s="547" t="s">
        <v>443</v>
      </c>
      <c r="E17" s="548"/>
      <c r="F17" s="549"/>
      <c r="G17" s="555">
        <v>35.69</v>
      </c>
      <c r="H17" s="649"/>
      <c r="I17" s="557"/>
      <c r="J17" s="557">
        <f>H17+I17</f>
        <v>0</v>
      </c>
      <c r="K17" s="519">
        <f>G17*J17</f>
        <v>0</v>
      </c>
      <c r="L17" s="18"/>
      <c r="N17" s="683"/>
      <c r="O17" s="547" t="s">
        <v>444</v>
      </c>
      <c r="P17" s="548"/>
      <c r="Q17" s="548"/>
      <c r="R17" s="555">
        <v>15.89</v>
      </c>
      <c r="S17" s="649"/>
      <c r="T17" s="557"/>
      <c r="U17" s="557">
        <f>S17+T17</f>
        <v>0</v>
      </c>
      <c r="V17" s="519">
        <f>R17*U17</f>
        <v>0</v>
      </c>
      <c r="W17" s="17"/>
      <c r="X17" s="18"/>
      <c r="Z17" s="10"/>
      <c r="AA17" s="10"/>
      <c r="AB17" s="10"/>
      <c r="AC17" s="5"/>
      <c r="AD17" s="5"/>
      <c r="AE17" s="26"/>
      <c r="AF17" s="18"/>
      <c r="AL17" s="1173" t="s">
        <v>277</v>
      </c>
      <c r="AM17" s="1174"/>
      <c r="AN17" s="1175"/>
      <c r="AO17" s="1173" t="s">
        <v>270</v>
      </c>
      <c r="AP17" s="1174"/>
      <c r="AQ17" s="1175"/>
      <c r="AR17" s="1173" t="s">
        <v>113</v>
      </c>
      <c r="AS17" s="1174"/>
      <c r="AT17" s="1175"/>
      <c r="AU17" s="1173" t="s">
        <v>271</v>
      </c>
      <c r="AV17" s="1174"/>
      <c r="AW17" s="1175"/>
      <c r="AX17" s="1173" t="s">
        <v>139</v>
      </c>
      <c r="AY17" s="1174"/>
      <c r="AZ17" s="1175"/>
      <c r="BA17" s="1173" t="s">
        <v>272</v>
      </c>
      <c r="BB17" s="1174"/>
      <c r="BC17" s="1175"/>
      <c r="BI17" s="585"/>
      <c r="BJ17" s="595"/>
      <c r="BK17" s="595"/>
      <c r="BL17" s="595"/>
      <c r="BM17" s="586"/>
      <c r="BN17" s="601"/>
      <c r="BO17" s="602"/>
      <c r="BR17" s="852" t="s">
        <v>12</v>
      </c>
      <c r="BS17" s="853"/>
      <c r="BT17" s="853"/>
      <c r="BU17" s="854"/>
      <c r="BV17" s="539"/>
      <c r="BW17" s="540"/>
      <c r="BX17" s="539"/>
      <c r="BY17" s="540">
        <v>1</v>
      </c>
      <c r="BZ17" s="540"/>
      <c r="CA17" s="1043">
        <v>1</v>
      </c>
      <c r="CB17" s="540"/>
      <c r="CC17" s="158"/>
      <c r="CD17" s="541">
        <f>SUM(BV17:CC18)</f>
        <v>2</v>
      </c>
      <c r="CE17" s="474">
        <f t="shared" ref="CE17" si="6">BV17*44+BW17*44+BX17*34+BY17*34+BZ17*34+CA17*44+CB17*44+CC17*44</f>
        <v>78</v>
      </c>
      <c r="CF17" s="468" t="s">
        <v>351</v>
      </c>
      <c r="CG17" s="469"/>
      <c r="CH17" s="470"/>
      <c r="CI17" s="474"/>
      <c r="CJ17" s="474">
        <v>78</v>
      </c>
      <c r="CK17" s="1096" t="s">
        <v>286</v>
      </c>
      <c r="CL17" s="1097"/>
      <c r="CM17" s="464">
        <v>45043</v>
      </c>
      <c r="DE17" s="50"/>
      <c r="DF17" s="50"/>
      <c r="DG17" s="50"/>
      <c r="DH17" s="50"/>
      <c r="DI17" s="18"/>
      <c r="DJ17" s="5"/>
      <c r="DK17" s="5"/>
    </row>
    <row r="18" spans="3:115" ht="15.95" customHeight="1" thickBot="1">
      <c r="C18" s="685"/>
      <c r="D18" s="550"/>
      <c r="E18" s="551"/>
      <c r="F18" s="552"/>
      <c r="G18" s="956"/>
      <c r="H18" s="520"/>
      <c r="I18" s="558"/>
      <c r="J18" s="558"/>
      <c r="K18" s="640"/>
      <c r="L18" s="5"/>
      <c r="N18" s="683"/>
      <c r="O18" s="550"/>
      <c r="P18" s="551"/>
      <c r="Q18" s="551"/>
      <c r="R18" s="556"/>
      <c r="S18" s="520"/>
      <c r="T18" s="558"/>
      <c r="U18" s="558"/>
      <c r="V18" s="640"/>
      <c r="W18" s="17"/>
      <c r="X18" s="18"/>
      <c r="Z18" s="10"/>
      <c r="AA18" s="10"/>
      <c r="AB18" s="10"/>
      <c r="AC18" s="5"/>
      <c r="AD18" s="5"/>
      <c r="AE18" s="26"/>
      <c r="AF18" s="18"/>
      <c r="AL18" s="1176"/>
      <c r="AM18" s="1177"/>
      <c r="AN18" s="1178"/>
      <c r="AO18" s="1176"/>
      <c r="AP18" s="1177"/>
      <c r="AQ18" s="1178"/>
      <c r="AR18" s="1176"/>
      <c r="AS18" s="1177"/>
      <c r="AT18" s="1178"/>
      <c r="AU18" s="1176"/>
      <c r="AV18" s="1177"/>
      <c r="AW18" s="1178"/>
      <c r="AX18" s="1176"/>
      <c r="AY18" s="1177"/>
      <c r="AZ18" s="1178"/>
      <c r="BA18" s="1176"/>
      <c r="BB18" s="1177"/>
      <c r="BC18" s="1178"/>
      <c r="BI18" s="617" t="s">
        <v>145</v>
      </c>
      <c r="BJ18" s="618"/>
      <c r="BK18" s="618"/>
      <c r="BL18" s="618"/>
      <c r="BM18" s="619"/>
      <c r="BN18" s="623">
        <f>SUM(BN6:BO17)</f>
        <v>1318.04</v>
      </c>
      <c r="BO18" s="624"/>
      <c r="BR18" s="855"/>
      <c r="BS18" s="856"/>
      <c r="BT18" s="856"/>
      <c r="BU18" s="857"/>
      <c r="BV18" s="831"/>
      <c r="BW18" s="832"/>
      <c r="BX18" s="831"/>
      <c r="BY18" s="832"/>
      <c r="BZ18" s="832"/>
      <c r="CA18" s="1044"/>
      <c r="CB18" s="832"/>
      <c r="CC18" s="159"/>
      <c r="CD18" s="833"/>
      <c r="CE18" s="475"/>
      <c r="CF18" s="471"/>
      <c r="CG18" s="472"/>
      <c r="CH18" s="473"/>
      <c r="CI18" s="475"/>
      <c r="CJ18" s="475"/>
      <c r="CK18" s="1098"/>
      <c r="CL18" s="1099"/>
      <c r="CM18" s="465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E18" s="50"/>
      <c r="DF18" s="50"/>
      <c r="DG18" s="50"/>
      <c r="DH18" s="50"/>
      <c r="DI18" s="18"/>
    </row>
    <row r="19" spans="3:115" ht="15.95" customHeight="1" thickBot="1">
      <c r="D19" s="10"/>
      <c r="E19" s="10"/>
      <c r="F19" s="10"/>
      <c r="G19" s="15"/>
      <c r="H19" s="885">
        <f>SUM(H7:H18)</f>
        <v>0</v>
      </c>
      <c r="I19" s="660">
        <f t="shared" ref="I19:J19" si="7">SUM(I7:I18)</f>
        <v>0</v>
      </c>
      <c r="J19" s="660">
        <f t="shared" si="7"/>
        <v>0</v>
      </c>
      <c r="K19" s="662">
        <f>SUM(K7:K18)</f>
        <v>0</v>
      </c>
      <c r="L19" s="29"/>
      <c r="N19" s="638"/>
      <c r="O19" s="547" t="s">
        <v>294</v>
      </c>
      <c r="P19" s="548"/>
      <c r="Q19" s="548"/>
      <c r="R19" s="555">
        <v>15.89</v>
      </c>
      <c r="S19" s="649"/>
      <c r="T19" s="557"/>
      <c r="U19" s="557">
        <f>S19+T19</f>
        <v>0</v>
      </c>
      <c r="V19" s="519">
        <f>R19*U19</f>
        <v>0</v>
      </c>
      <c r="W19" s="17"/>
      <c r="X19" s="18"/>
      <c r="Z19" s="10"/>
      <c r="AA19" s="10"/>
      <c r="AB19" s="10"/>
      <c r="AC19" s="5"/>
      <c r="AD19" s="5"/>
      <c r="AE19" s="17"/>
      <c r="AF19" s="18"/>
      <c r="AI19" s="6"/>
      <c r="AL19" s="1179"/>
      <c r="AM19" s="1180"/>
      <c r="AN19" s="1181"/>
      <c r="AO19" s="1179"/>
      <c r="AP19" s="1180"/>
      <c r="AQ19" s="1181"/>
      <c r="AR19" s="1179"/>
      <c r="AS19" s="1180"/>
      <c r="AT19" s="1181"/>
      <c r="AU19" s="1179"/>
      <c r="AV19" s="1180"/>
      <c r="AW19" s="1181"/>
      <c r="AX19" s="1179"/>
      <c r="AY19" s="1180"/>
      <c r="AZ19" s="1181"/>
      <c r="BA19" s="1179"/>
      <c r="BB19" s="1180"/>
      <c r="BC19" s="1181"/>
      <c r="BI19" s="620"/>
      <c r="BJ19" s="621"/>
      <c r="BK19" s="621"/>
      <c r="BL19" s="621"/>
      <c r="BM19" s="622"/>
      <c r="BN19" s="625"/>
      <c r="BO19" s="626"/>
      <c r="BR19" s="852" t="s">
        <v>445</v>
      </c>
      <c r="BS19" s="853"/>
      <c r="BT19" s="853"/>
      <c r="BU19" s="854"/>
      <c r="BV19" s="539"/>
      <c r="BW19" s="540"/>
      <c r="BX19" s="1103"/>
      <c r="BY19" s="543"/>
      <c r="BZ19" s="543"/>
      <c r="CA19" s="1103">
        <v>1</v>
      </c>
      <c r="CB19" s="543"/>
      <c r="CC19" s="154"/>
      <c r="CD19" s="544">
        <f t="shared" ref="CD19" si="8">SUM(BV19:CC20)</f>
        <v>1</v>
      </c>
      <c r="CE19" s="906">
        <f t="shared" ref="CE19" si="9">BV19*44+BW19*44+BX19*34+BY19*34+BZ19*34+CA19*44+CB19*44+CC19*44</f>
        <v>44</v>
      </c>
      <c r="CF19" s="903" t="s">
        <v>440</v>
      </c>
      <c r="CG19" s="904"/>
      <c r="CH19" s="905"/>
      <c r="CI19" s="906"/>
      <c r="CJ19" s="906">
        <v>44</v>
      </c>
      <c r="CK19" s="1096" t="s">
        <v>286</v>
      </c>
      <c r="CL19" s="1097"/>
      <c r="CM19" s="1102">
        <v>45066</v>
      </c>
      <c r="CR19" s="8"/>
      <c r="CW19" s="21"/>
      <c r="CX19" s="21"/>
      <c r="DB19" s="22"/>
      <c r="DC19" s="22"/>
      <c r="DE19" s="50"/>
      <c r="DF19" s="50"/>
      <c r="DG19" s="50"/>
      <c r="DH19" s="50"/>
      <c r="DI19" s="18"/>
    </row>
    <row r="20" spans="3:115" ht="15.95" customHeight="1" thickBot="1">
      <c r="D20" s="10"/>
      <c r="E20" s="10"/>
      <c r="F20" s="10"/>
      <c r="G20" s="15"/>
      <c r="H20" s="697"/>
      <c r="I20" s="661"/>
      <c r="J20" s="661"/>
      <c r="K20" s="663"/>
      <c r="L20" s="27"/>
      <c r="N20" s="638"/>
      <c r="O20" s="550"/>
      <c r="P20" s="551"/>
      <c r="Q20" s="551"/>
      <c r="R20" s="556"/>
      <c r="S20" s="520"/>
      <c r="T20" s="558"/>
      <c r="U20" s="558"/>
      <c r="V20" s="640"/>
      <c r="W20" s="17"/>
      <c r="X20" s="18"/>
      <c r="Z20" s="10"/>
      <c r="AA20" s="10"/>
      <c r="AB20" s="10"/>
      <c r="AC20" s="5"/>
      <c r="AD20" s="5"/>
      <c r="AE20" s="26"/>
      <c r="AF20" s="18"/>
      <c r="AL20" s="1182">
        <f>AL6+AL13</f>
        <v>1089.25</v>
      </c>
      <c r="AM20" s="1183"/>
      <c r="AN20" s="1184"/>
      <c r="AO20" s="1191">
        <f>AO6+AO13</f>
        <v>10.99</v>
      </c>
      <c r="AP20" s="1192"/>
      <c r="AQ20" s="1193"/>
      <c r="AR20" s="1182">
        <f>AL20+AO20</f>
        <v>1100.24</v>
      </c>
      <c r="AS20" s="1183"/>
      <c r="AT20" s="1184"/>
      <c r="AU20" s="1202">
        <f>AU6+AU13</f>
        <v>43</v>
      </c>
      <c r="AV20" s="1203"/>
      <c r="AW20" s="1204"/>
      <c r="AX20" s="1202"/>
      <c r="AY20" s="1203"/>
      <c r="AZ20" s="1204"/>
      <c r="BA20" s="1182">
        <f>AR20</f>
        <v>1100.24</v>
      </c>
      <c r="BB20" s="1183"/>
      <c r="BC20" s="1184"/>
      <c r="BN20" s="1"/>
      <c r="BO20" s="1"/>
      <c r="BR20" s="855"/>
      <c r="BS20" s="856"/>
      <c r="BT20" s="856"/>
      <c r="BU20" s="857"/>
      <c r="BV20" s="831"/>
      <c r="BW20" s="832"/>
      <c r="BX20" s="1103"/>
      <c r="BY20" s="543"/>
      <c r="BZ20" s="543"/>
      <c r="CA20" s="1103"/>
      <c r="CB20" s="543"/>
      <c r="CC20" s="154"/>
      <c r="CD20" s="544"/>
      <c r="CE20" s="906"/>
      <c r="CF20" s="903"/>
      <c r="CG20" s="904"/>
      <c r="CH20" s="905"/>
      <c r="CI20" s="906"/>
      <c r="CJ20" s="906"/>
      <c r="CK20" s="1098"/>
      <c r="CL20" s="1099"/>
      <c r="CM20" s="1102"/>
      <c r="CY20" s="21"/>
      <c r="CZ20" s="21"/>
      <c r="DB20" s="22"/>
      <c r="DC20" s="22"/>
    </row>
    <row r="21" spans="3:115" ht="15.95" customHeight="1">
      <c r="D21" s="10"/>
      <c r="E21" s="10"/>
      <c r="F21" s="10"/>
      <c r="G21" s="15"/>
      <c r="H21" s="16"/>
      <c r="I21" s="5"/>
      <c r="J21" s="5"/>
      <c r="K21" s="5"/>
      <c r="L21" s="17"/>
      <c r="M21" s="18"/>
      <c r="N21" s="684"/>
      <c r="O21" s="547" t="s">
        <v>443</v>
      </c>
      <c r="P21" s="548"/>
      <c r="Q21" s="548"/>
      <c r="R21" s="555">
        <v>15.89</v>
      </c>
      <c r="S21" s="649"/>
      <c r="T21" s="557"/>
      <c r="U21" s="557">
        <f>S21+T21</f>
        <v>0</v>
      </c>
      <c r="V21" s="519">
        <f>R21*U21</f>
        <v>0</v>
      </c>
      <c r="W21" s="17"/>
      <c r="X21" s="18"/>
      <c r="Z21" s="10"/>
      <c r="AA21" s="10"/>
      <c r="AB21" s="10"/>
      <c r="AC21" s="5"/>
      <c r="AD21" s="5"/>
      <c r="AE21" s="26"/>
      <c r="AF21" s="18"/>
      <c r="AL21" s="1185"/>
      <c r="AM21" s="1186"/>
      <c r="AN21" s="1187"/>
      <c r="AO21" s="1194"/>
      <c r="AP21" s="1195"/>
      <c r="AQ21" s="1196"/>
      <c r="AR21" s="1185"/>
      <c r="AS21" s="1186"/>
      <c r="AT21" s="1187"/>
      <c r="AU21" s="1205"/>
      <c r="AV21" s="1206"/>
      <c r="AW21" s="1207"/>
      <c r="AX21" s="1205"/>
      <c r="AY21" s="1206"/>
      <c r="AZ21" s="1207"/>
      <c r="BA21" s="1185"/>
      <c r="BB21" s="1186"/>
      <c r="BC21" s="1187"/>
      <c r="BI21" s="628" t="s">
        <v>295</v>
      </c>
      <c r="BJ21" s="629"/>
      <c r="BK21" s="629"/>
      <c r="BL21" s="629"/>
      <c r="BM21" s="630"/>
      <c r="BN21" s="634">
        <f>BN3-BN18</f>
        <v>133.96000000000004</v>
      </c>
      <c r="BO21" s="635"/>
      <c r="BR21" s="852" t="s">
        <v>446</v>
      </c>
      <c r="BS21" s="853"/>
      <c r="BT21" s="853"/>
      <c r="BU21" s="854"/>
      <c r="BV21" s="539"/>
      <c r="BW21" s="540"/>
      <c r="BX21" s="539"/>
      <c r="BY21" s="540">
        <v>1</v>
      </c>
      <c r="BZ21" s="540"/>
      <c r="CA21" s="1043"/>
      <c r="CB21" s="540"/>
      <c r="CC21" s="158"/>
      <c r="CD21" s="541">
        <f t="shared" ref="CD21" si="10">SUM(BV21:CC22)</f>
        <v>1</v>
      </c>
      <c r="CE21" s="474">
        <f t="shared" ref="CE21" si="11">BV21*44+BW21*44+BX21*34+BY21*34+BZ21*34+CA21*44+CB21*44+CC21*44</f>
        <v>34</v>
      </c>
      <c r="CF21" s="468" t="s">
        <v>349</v>
      </c>
      <c r="CG21" s="469"/>
      <c r="CH21" s="470"/>
      <c r="CI21" s="474"/>
      <c r="CJ21" s="474">
        <v>34</v>
      </c>
      <c r="CK21" s="1096" t="s">
        <v>286</v>
      </c>
      <c r="CL21" s="1097"/>
      <c r="CM21" s="464">
        <v>45066</v>
      </c>
    </row>
    <row r="22" spans="3:115" ht="15.95" customHeight="1" thickBot="1">
      <c r="D22" s="10"/>
      <c r="E22" s="10"/>
      <c r="K22" s="5"/>
      <c r="L22" s="17"/>
      <c r="M22" s="5"/>
      <c r="N22" s="685"/>
      <c r="O22" s="550"/>
      <c r="P22" s="551"/>
      <c r="Q22" s="551"/>
      <c r="R22" s="556"/>
      <c r="S22" s="520"/>
      <c r="T22" s="558"/>
      <c r="U22" s="558"/>
      <c r="V22" s="640"/>
      <c r="W22" s="17"/>
      <c r="X22" s="18"/>
      <c r="Z22" s="10"/>
      <c r="AA22" s="10"/>
      <c r="AB22" s="10"/>
      <c r="AC22" s="5"/>
      <c r="AD22" s="5"/>
      <c r="AE22" s="26"/>
      <c r="AF22" s="18"/>
      <c r="AJ22" s="6">
        <f>AL20/AU20</f>
        <v>25.331395348837209</v>
      </c>
      <c r="AL22" s="1188"/>
      <c r="AM22" s="1189"/>
      <c r="AN22" s="1190"/>
      <c r="AO22" s="1197"/>
      <c r="AP22" s="1198"/>
      <c r="AQ22" s="1199"/>
      <c r="AR22" s="1188"/>
      <c r="AS22" s="1189"/>
      <c r="AT22" s="1190"/>
      <c r="AU22" s="1208"/>
      <c r="AV22" s="1209"/>
      <c r="AW22" s="1210"/>
      <c r="AX22" s="1208"/>
      <c r="AY22" s="1209"/>
      <c r="AZ22" s="1210"/>
      <c r="BA22" s="1188"/>
      <c r="BB22" s="1189"/>
      <c r="BC22" s="1190"/>
      <c r="BI22" s="631"/>
      <c r="BJ22" s="632"/>
      <c r="BK22" s="632"/>
      <c r="BL22" s="632"/>
      <c r="BM22" s="633"/>
      <c r="BN22" s="636"/>
      <c r="BO22" s="637"/>
      <c r="BR22" s="855"/>
      <c r="BS22" s="856"/>
      <c r="BT22" s="856"/>
      <c r="BU22" s="857"/>
      <c r="BV22" s="831"/>
      <c r="BW22" s="832"/>
      <c r="BX22" s="831"/>
      <c r="BY22" s="832"/>
      <c r="BZ22" s="832"/>
      <c r="CA22" s="1044"/>
      <c r="CB22" s="832"/>
      <c r="CC22" s="159"/>
      <c r="CD22" s="833"/>
      <c r="CE22" s="475"/>
      <c r="CF22" s="471"/>
      <c r="CG22" s="472"/>
      <c r="CH22" s="473"/>
      <c r="CI22" s="475"/>
      <c r="CJ22" s="475"/>
      <c r="CK22" s="1098"/>
      <c r="CL22" s="1099"/>
      <c r="CM22" s="465"/>
      <c r="CQ22" s="20"/>
      <c r="CR22" s="20"/>
      <c r="CS22" s="20"/>
      <c r="CT22" s="20"/>
      <c r="CU22" s="20"/>
      <c r="CV22" s="20"/>
      <c r="CW22" s="20"/>
      <c r="CX22" s="20"/>
      <c r="CY22" s="20"/>
      <c r="CZ22" s="20"/>
    </row>
    <row r="23" spans="3:115" ht="15.95" customHeight="1">
      <c r="D23" s="10"/>
      <c r="E23" s="10"/>
      <c r="K23" s="5"/>
      <c r="L23" s="17"/>
      <c r="M23" s="18"/>
      <c r="N23" s="1028"/>
      <c r="O23" s="547" t="s">
        <v>447</v>
      </c>
      <c r="P23" s="548"/>
      <c r="Q23" s="548"/>
      <c r="R23" s="687">
        <v>15.89</v>
      </c>
      <c r="S23" s="649"/>
      <c r="T23" s="557"/>
      <c r="U23" s="557">
        <f>S23+T23</f>
        <v>0</v>
      </c>
      <c r="V23" s="519">
        <f>R23*U23</f>
        <v>0</v>
      </c>
      <c r="W23" s="17"/>
      <c r="X23" s="18"/>
      <c r="Z23" s="10"/>
      <c r="AA23" s="10"/>
      <c r="AB23" s="10"/>
      <c r="AC23" s="5"/>
      <c r="AD23" s="5"/>
      <c r="AE23" s="26"/>
      <c r="AF23" s="18"/>
      <c r="BR23" s="852" t="s">
        <v>406</v>
      </c>
      <c r="BS23" s="853"/>
      <c r="BT23" s="853"/>
      <c r="BU23" s="853"/>
      <c r="BV23" s="1091"/>
      <c r="BW23" s="1120"/>
      <c r="BX23" s="543">
        <v>1</v>
      </c>
      <c r="BY23" s="543"/>
      <c r="BZ23" s="543"/>
      <c r="CA23" s="1103">
        <v>1</v>
      </c>
      <c r="CB23" s="543"/>
      <c r="CC23" s="154"/>
      <c r="CD23" s="544">
        <f t="shared" ref="CD23" si="12">SUM(BV23:CC24)</f>
        <v>2</v>
      </c>
      <c r="CE23" s="906">
        <f t="shared" ref="CE23" si="13">BV23*44+BW23*44+BX23*34+BY23*34+BZ23*34+CA23*44+CB23*44+CC23*44</f>
        <v>78</v>
      </c>
      <c r="CF23" s="903" t="s">
        <v>448</v>
      </c>
      <c r="CG23" s="904"/>
      <c r="CH23" s="905"/>
      <c r="CI23" s="906"/>
      <c r="CJ23" s="1115">
        <v>76</v>
      </c>
      <c r="CK23" s="1096" t="s">
        <v>286</v>
      </c>
      <c r="CL23" s="1097"/>
      <c r="CM23" s="1164">
        <v>45066</v>
      </c>
      <c r="CR23" s="8"/>
      <c r="CW23" s="21"/>
      <c r="CX23" s="21"/>
      <c r="DB23" s="22"/>
      <c r="DC23" s="22"/>
    </row>
    <row r="24" spans="3:115" ht="15.95" customHeight="1" thickBot="1">
      <c r="D24" s="10"/>
      <c r="E24" s="10"/>
      <c r="K24" s="5"/>
      <c r="L24" s="17"/>
      <c r="M24" s="5"/>
      <c r="N24" s="1029"/>
      <c r="O24" s="550"/>
      <c r="P24" s="551"/>
      <c r="Q24" s="551"/>
      <c r="R24" s="688"/>
      <c r="S24" s="520"/>
      <c r="T24" s="558"/>
      <c r="U24" s="558"/>
      <c r="V24" s="640"/>
      <c r="W24" s="17"/>
      <c r="X24" s="18"/>
      <c r="Z24" s="10"/>
      <c r="AA24" s="10"/>
      <c r="AB24" s="10"/>
      <c r="AC24" s="5"/>
      <c r="AD24" s="5"/>
      <c r="AE24" s="26"/>
      <c r="AF24" s="18"/>
      <c r="BR24" s="855"/>
      <c r="BS24" s="856"/>
      <c r="BT24" s="856"/>
      <c r="BU24" s="856"/>
      <c r="BV24" s="1092"/>
      <c r="BW24" s="1121"/>
      <c r="BX24" s="1094"/>
      <c r="BY24" s="1094"/>
      <c r="BZ24" s="1094"/>
      <c r="CA24" s="1092"/>
      <c r="CB24" s="1094"/>
      <c r="CC24" s="155"/>
      <c r="CD24" s="833"/>
      <c r="CE24" s="475"/>
      <c r="CF24" s="471"/>
      <c r="CG24" s="472"/>
      <c r="CH24" s="473"/>
      <c r="CI24" s="475"/>
      <c r="CJ24" s="999"/>
      <c r="CK24" s="1098"/>
      <c r="CL24" s="1099"/>
      <c r="CM24" s="997"/>
      <c r="CY24" s="21"/>
      <c r="CZ24" s="21"/>
      <c r="DB24" s="22"/>
      <c r="DC24" s="22"/>
    </row>
    <row r="25" spans="3:115" ht="15.95" customHeight="1" thickBot="1">
      <c r="D25" s="10"/>
      <c r="E25" s="10"/>
      <c r="K25" s="5"/>
      <c r="L25" s="17"/>
      <c r="M25" s="18"/>
      <c r="O25" s="10"/>
      <c r="P25" s="10"/>
      <c r="Q25" s="10"/>
      <c r="R25" s="15"/>
      <c r="S25" s="885">
        <f>SUM(S7:S24)</f>
        <v>0</v>
      </c>
      <c r="T25" s="885">
        <f t="shared" ref="T25:V25" si="14">SUM(T7:T24)</f>
        <v>0</v>
      </c>
      <c r="U25" s="885">
        <f>SUM(U7:U24)</f>
        <v>0</v>
      </c>
      <c r="V25" s="662">
        <f t="shared" si="14"/>
        <v>0</v>
      </c>
      <c r="W25" s="28"/>
      <c r="X25" s="29"/>
      <c r="Z25" s="10"/>
      <c r="AA25" s="10"/>
      <c r="AB25" s="10"/>
      <c r="AC25" s="17"/>
      <c r="AD25" s="18"/>
      <c r="AE25" s="5"/>
      <c r="AF25" s="5"/>
      <c r="AG25" s="5"/>
      <c r="BR25" s="852" t="s">
        <v>66</v>
      </c>
      <c r="BS25" s="853"/>
      <c r="BT25" s="853"/>
      <c r="BU25" s="854"/>
      <c r="BV25" s="539"/>
      <c r="BW25" s="540"/>
      <c r="BX25" s="1103"/>
      <c r="BY25" s="543">
        <v>1</v>
      </c>
      <c r="BZ25" s="543"/>
      <c r="CA25" s="1103"/>
      <c r="CB25" s="543"/>
      <c r="CC25" s="154"/>
      <c r="CD25" s="541">
        <f t="shared" ref="CD25" si="15">SUM(BV25:CC26)</f>
        <v>1</v>
      </c>
      <c r="CE25" s="474">
        <f t="shared" ref="CE25" si="16">BV25*44+BW25*44+BX25*34+BY25*34+BZ25*34+CA25*44+CB25*44+CC25*44</f>
        <v>34</v>
      </c>
      <c r="CF25" s="468" t="s">
        <v>349</v>
      </c>
      <c r="CG25" s="469"/>
      <c r="CH25" s="470"/>
      <c r="CI25" s="474"/>
      <c r="CJ25" s="474">
        <v>34</v>
      </c>
      <c r="CK25" s="1096" t="s">
        <v>286</v>
      </c>
      <c r="CL25" s="1097"/>
      <c r="CM25" s="464">
        <v>45067</v>
      </c>
    </row>
    <row r="26" spans="3:115" ht="15.95" customHeight="1" thickBot="1">
      <c r="D26" s="10"/>
      <c r="E26" s="10"/>
      <c r="K26" s="5"/>
      <c r="L26" s="17"/>
      <c r="M26" s="5"/>
      <c r="O26" s="10"/>
      <c r="P26" s="10"/>
      <c r="Q26" s="10"/>
      <c r="R26" s="15"/>
      <c r="S26" s="697"/>
      <c r="T26" s="697"/>
      <c r="U26" s="697"/>
      <c r="V26" s="663"/>
      <c r="W26" s="27"/>
      <c r="X26" s="27"/>
      <c r="Z26" s="10"/>
      <c r="AA26" s="10"/>
      <c r="AB26" s="10"/>
      <c r="AC26" s="5"/>
      <c r="AG26" s="32"/>
      <c r="AL26" s="608" t="s">
        <v>141</v>
      </c>
      <c r="AM26" s="609"/>
      <c r="AN26" s="609"/>
      <c r="AO26" s="610"/>
      <c r="AX26" s="492"/>
      <c r="AY26" s="493"/>
      <c r="AZ26" s="493"/>
      <c r="BA26" s="494"/>
      <c r="BR26" s="855"/>
      <c r="BS26" s="856"/>
      <c r="BT26" s="856"/>
      <c r="BU26" s="857"/>
      <c r="BV26" s="831"/>
      <c r="BW26" s="832"/>
      <c r="BX26" s="1103"/>
      <c r="BY26" s="543"/>
      <c r="BZ26" s="543"/>
      <c r="CA26" s="1103"/>
      <c r="CB26" s="543"/>
      <c r="CC26" s="154"/>
      <c r="CD26" s="833"/>
      <c r="CE26" s="475"/>
      <c r="CF26" s="471"/>
      <c r="CG26" s="472"/>
      <c r="CH26" s="473"/>
      <c r="CI26" s="475"/>
      <c r="CJ26" s="475"/>
      <c r="CK26" s="1098"/>
      <c r="CL26" s="1099"/>
      <c r="CM26" s="465"/>
      <c r="CQ26" s="20"/>
      <c r="CR26" s="20"/>
      <c r="CS26" s="20"/>
      <c r="CT26" s="20"/>
      <c r="CU26" s="20"/>
      <c r="CV26" s="20"/>
      <c r="CW26" s="20"/>
      <c r="CX26" s="20"/>
      <c r="CY26" s="20"/>
      <c r="CZ26" s="20"/>
    </row>
    <row r="27" spans="3:115" ht="15.95" customHeight="1" thickBot="1">
      <c r="D27" s="10"/>
      <c r="E27" s="10"/>
      <c r="K27" s="5"/>
      <c r="L27" s="17"/>
      <c r="M27" s="18"/>
      <c r="O27" s="10"/>
      <c r="P27" s="10"/>
      <c r="Q27" s="10"/>
      <c r="R27" s="15"/>
      <c r="S27" s="18"/>
      <c r="T27" s="5"/>
      <c r="U27" s="5"/>
      <c r="V27" s="5"/>
      <c r="W27" s="17"/>
      <c r="X27" s="18"/>
      <c r="Z27" s="10"/>
      <c r="AA27" s="10"/>
      <c r="AB27" s="10"/>
      <c r="AC27" s="5"/>
      <c r="AD27" s="26"/>
      <c r="AE27" s="55"/>
      <c r="AF27" s="56"/>
      <c r="AG27" s="48"/>
      <c r="AH27" s="5"/>
      <c r="AJ27" s="48"/>
      <c r="AL27" s="611"/>
      <c r="AM27" s="612"/>
      <c r="AN27" s="612"/>
      <c r="AO27" s="613"/>
      <c r="AX27" s="495"/>
      <c r="AY27" s="496"/>
      <c r="AZ27" s="496"/>
      <c r="BA27" s="497"/>
      <c r="BR27" s="852" t="s">
        <v>67</v>
      </c>
      <c r="BS27" s="853"/>
      <c r="BT27" s="853"/>
      <c r="BU27" s="854"/>
      <c r="BV27" s="539"/>
      <c r="BW27" s="540"/>
      <c r="BX27" s="539"/>
      <c r="BY27" s="540">
        <v>1</v>
      </c>
      <c r="BZ27" s="540"/>
      <c r="CA27" s="1043"/>
      <c r="CB27" s="540"/>
      <c r="CC27" s="153"/>
      <c r="CD27" s="541">
        <f t="shared" ref="CD27" si="17">SUM(BV27:CC28)</f>
        <v>1</v>
      </c>
      <c r="CE27" s="474">
        <f t="shared" ref="CE27" si="18">BV27*44+BW27*44+BX27*34+BY27*34+BZ27*34+CA27*44+CB27*44+CC27*44</f>
        <v>34</v>
      </c>
      <c r="CF27" s="468" t="s">
        <v>349</v>
      </c>
      <c r="CG27" s="469"/>
      <c r="CH27" s="470"/>
      <c r="CI27" s="474"/>
      <c r="CJ27" s="998">
        <v>34</v>
      </c>
      <c r="CK27" s="1096" t="s">
        <v>286</v>
      </c>
      <c r="CL27" s="1097"/>
      <c r="CM27" s="464">
        <v>45067</v>
      </c>
      <c r="CR27" s="8"/>
      <c r="CW27" s="21"/>
      <c r="CX27" s="21"/>
      <c r="DB27" s="22"/>
      <c r="DC27" s="22"/>
    </row>
    <row r="28" spans="3:115" ht="15.95" customHeight="1" thickBot="1">
      <c r="D28" s="10"/>
      <c r="E28" s="10"/>
      <c r="K28" s="5"/>
      <c r="L28" s="17"/>
      <c r="M28" s="5"/>
      <c r="O28" s="10"/>
      <c r="P28" s="10"/>
      <c r="Q28" s="10"/>
      <c r="R28" s="15"/>
      <c r="S28" s="18"/>
      <c r="T28" s="5"/>
      <c r="U28" s="5"/>
      <c r="V28" s="5"/>
      <c r="W28" s="17"/>
      <c r="X28" s="18"/>
      <c r="Z28" s="10"/>
      <c r="AA28" s="10"/>
      <c r="AB28" s="10"/>
      <c r="AC28" s="5"/>
      <c r="AD28" s="26"/>
      <c r="AE28" s="55"/>
      <c r="AF28" s="56"/>
      <c r="AG28" s="48"/>
      <c r="AJ28" s="48"/>
      <c r="AL28" s="611"/>
      <c r="AM28" s="612"/>
      <c r="AN28" s="612"/>
      <c r="AO28" s="613"/>
      <c r="AP28" s="1200" t="s">
        <v>274</v>
      </c>
      <c r="AQ28" s="484" t="s">
        <v>275</v>
      </c>
      <c r="AR28" s="484" t="s">
        <v>102</v>
      </c>
      <c r="AS28" s="605" t="s">
        <v>292</v>
      </c>
      <c r="AT28" s="484" t="s">
        <v>277</v>
      </c>
      <c r="AX28" s="495"/>
      <c r="AY28" s="496"/>
      <c r="AZ28" s="496"/>
      <c r="BA28" s="497"/>
      <c r="BB28" s="484" t="s">
        <v>293</v>
      </c>
      <c r="BC28" s="484" t="s">
        <v>16</v>
      </c>
      <c r="BD28" s="484" t="s">
        <v>13</v>
      </c>
      <c r="BE28" s="484" t="s">
        <v>118</v>
      </c>
      <c r="BF28" s="484" t="s">
        <v>275</v>
      </c>
      <c r="BG28" s="484" t="s">
        <v>277</v>
      </c>
      <c r="BR28" s="855"/>
      <c r="BS28" s="856"/>
      <c r="BT28" s="856"/>
      <c r="BU28" s="857"/>
      <c r="BV28" s="831"/>
      <c r="BW28" s="832"/>
      <c r="BX28" s="831"/>
      <c r="BY28" s="832"/>
      <c r="BZ28" s="832"/>
      <c r="CA28" s="1044"/>
      <c r="CB28" s="832"/>
      <c r="CC28" s="156"/>
      <c r="CD28" s="833"/>
      <c r="CE28" s="475"/>
      <c r="CF28" s="471"/>
      <c r="CG28" s="472"/>
      <c r="CH28" s="473"/>
      <c r="CI28" s="475"/>
      <c r="CJ28" s="999"/>
      <c r="CK28" s="1098"/>
      <c r="CL28" s="1099"/>
      <c r="CM28" s="465"/>
      <c r="CY28" s="21"/>
      <c r="CZ28" s="21"/>
      <c r="DB28" s="22"/>
      <c r="DC28" s="22"/>
    </row>
    <row r="29" spans="3:115" ht="15.95" customHeight="1" thickBot="1">
      <c r="D29" s="10"/>
      <c r="E29" s="10"/>
      <c r="K29" s="5"/>
      <c r="L29" s="17"/>
      <c r="M29" s="18"/>
      <c r="O29" s="10"/>
      <c r="P29" s="10"/>
      <c r="Q29" s="10"/>
      <c r="R29" s="15"/>
      <c r="S29" s="18"/>
      <c r="T29" s="5"/>
      <c r="U29" s="5"/>
      <c r="V29" s="5"/>
      <c r="W29" s="17"/>
      <c r="X29" s="18"/>
      <c r="Z29" s="10"/>
      <c r="AA29" s="10"/>
      <c r="AB29" s="10"/>
      <c r="AC29" s="5"/>
      <c r="AE29" s="17"/>
      <c r="AF29" s="18"/>
      <c r="AJ29" s="49"/>
      <c r="AL29" s="614"/>
      <c r="AM29" s="615"/>
      <c r="AN29" s="615"/>
      <c r="AO29" s="616"/>
      <c r="AP29" s="1201"/>
      <c r="AQ29" s="485"/>
      <c r="AR29" s="485"/>
      <c r="AS29" s="606"/>
      <c r="AT29" s="485"/>
      <c r="AX29" s="498"/>
      <c r="AY29" s="499"/>
      <c r="AZ29" s="499"/>
      <c r="BA29" s="500"/>
      <c r="BB29" s="485"/>
      <c r="BC29" s="485"/>
      <c r="BD29" s="485"/>
      <c r="BE29" s="485"/>
      <c r="BF29" s="485"/>
      <c r="BG29" s="485"/>
      <c r="BR29" s="852" t="s">
        <v>63</v>
      </c>
      <c r="BS29" s="853"/>
      <c r="BT29" s="853"/>
      <c r="BU29" s="854"/>
      <c r="BV29" s="539"/>
      <c r="BW29" s="540"/>
      <c r="BX29" s="1091">
        <v>1</v>
      </c>
      <c r="BY29" s="1093"/>
      <c r="BZ29" s="1093"/>
      <c r="CA29" s="1091"/>
      <c r="CB29" s="1093"/>
      <c r="CC29" s="157"/>
      <c r="CD29" s="541">
        <f t="shared" ref="CD29" si="19">SUM(BV29:CC30)</f>
        <v>1</v>
      </c>
      <c r="CE29" s="474">
        <f t="shared" ref="CE29" si="20">BV29*44+BW29*44+BX29*34+BY29*34+BZ29*34+CA29*44+CB29*44+CC29*44</f>
        <v>34</v>
      </c>
      <c r="CF29" s="468" t="s">
        <v>349</v>
      </c>
      <c r="CG29" s="469"/>
      <c r="CH29" s="470"/>
      <c r="CI29" s="474"/>
      <c r="CJ29" s="474">
        <v>34</v>
      </c>
      <c r="CK29" s="1096" t="s">
        <v>286</v>
      </c>
      <c r="CL29" s="1097"/>
      <c r="CM29" s="464">
        <v>45067</v>
      </c>
    </row>
    <row r="30" spans="3:115" ht="15.95" customHeight="1" thickBot="1">
      <c r="D30" s="10"/>
      <c r="E30" s="10"/>
      <c r="K30" s="5"/>
      <c r="L30" s="17"/>
      <c r="M30" s="5"/>
      <c r="O30" s="10"/>
      <c r="P30" s="10"/>
      <c r="Q30" s="10"/>
      <c r="R30" s="15"/>
      <c r="S30" s="18"/>
      <c r="T30" s="5"/>
      <c r="U30" s="5"/>
      <c r="V30" s="5"/>
      <c r="W30" s="17"/>
      <c r="X30" s="18"/>
      <c r="Z30" s="10"/>
      <c r="AA30" s="10"/>
      <c r="AB30" s="10"/>
      <c r="AC30" s="5"/>
      <c r="AE30" s="17"/>
      <c r="AF30" s="18"/>
      <c r="AL30" s="1100"/>
      <c r="AM30" s="547" t="s">
        <v>376</v>
      </c>
      <c r="AN30" s="548"/>
      <c r="AO30" s="548"/>
      <c r="AP30" s="645">
        <v>6</v>
      </c>
      <c r="AQ30" s="878">
        <f>AG9</f>
        <v>6</v>
      </c>
      <c r="AR30" s="647">
        <f>((AP30*AQ30)*0.21)/AQ30</f>
        <v>1.26</v>
      </c>
      <c r="AS30" s="647">
        <f>AP30+AR30</f>
        <v>7.26</v>
      </c>
      <c r="AT30" s="519">
        <f>AQ30*AS30</f>
        <v>43.56</v>
      </c>
      <c r="AX30" s="1100"/>
      <c r="AY30" s="547" t="s">
        <v>376</v>
      </c>
      <c r="AZ30" s="548"/>
      <c r="BA30" s="548"/>
      <c r="BB30" s="641">
        <f>AP62</f>
        <v>44</v>
      </c>
      <c r="BC30" s="643">
        <f>AD9</f>
        <v>1</v>
      </c>
      <c r="BD30" s="643">
        <f>AE9</f>
        <v>5</v>
      </c>
      <c r="BE30" s="643">
        <f>AF9</f>
        <v>0</v>
      </c>
      <c r="BF30" s="643">
        <f>BC30+BD30+BE30</f>
        <v>6</v>
      </c>
      <c r="BG30" s="650">
        <f>BB30*BF30</f>
        <v>264</v>
      </c>
      <c r="BR30" s="855"/>
      <c r="BS30" s="856"/>
      <c r="BT30" s="856"/>
      <c r="BU30" s="857"/>
      <c r="BV30" s="831"/>
      <c r="BW30" s="832"/>
      <c r="BX30" s="1092"/>
      <c r="BY30" s="1094"/>
      <c r="BZ30" s="1094"/>
      <c r="CA30" s="1092"/>
      <c r="CB30" s="1094"/>
      <c r="CC30" s="155"/>
      <c r="CD30" s="833"/>
      <c r="CE30" s="475"/>
      <c r="CF30" s="471"/>
      <c r="CG30" s="472"/>
      <c r="CH30" s="473"/>
      <c r="CI30" s="475"/>
      <c r="CJ30" s="475"/>
      <c r="CK30" s="1098"/>
      <c r="CL30" s="1099"/>
      <c r="CM30" s="465"/>
      <c r="CQ30" s="20"/>
      <c r="CR30" s="20"/>
      <c r="CS30" s="20"/>
      <c r="CT30" s="20"/>
      <c r="CU30" s="20"/>
      <c r="CV30" s="20"/>
      <c r="CW30" s="20"/>
      <c r="CX30" s="20"/>
      <c r="CY30" s="20"/>
      <c r="CZ30" s="20"/>
    </row>
    <row r="31" spans="3:115" ht="15.95" customHeight="1" thickBot="1">
      <c r="D31" s="10"/>
      <c r="E31" s="10"/>
      <c r="K31" s="5"/>
      <c r="L31" s="17"/>
      <c r="M31" s="18"/>
      <c r="O31" s="10"/>
      <c r="P31" s="10"/>
      <c r="Q31" s="10"/>
      <c r="R31" s="15"/>
      <c r="S31" s="18"/>
      <c r="T31" s="5"/>
      <c r="U31" s="5"/>
      <c r="V31" s="5"/>
      <c r="W31" s="17"/>
      <c r="X31" s="18"/>
      <c r="Z31" s="10"/>
      <c r="AA31" s="10"/>
      <c r="AB31" s="10"/>
      <c r="AC31" s="5"/>
      <c r="AD31" s="5"/>
      <c r="AE31" s="17"/>
      <c r="AF31" s="18"/>
      <c r="AG31" s="6"/>
      <c r="AL31" s="1101"/>
      <c r="AM31" s="550"/>
      <c r="AN31" s="551"/>
      <c r="AO31" s="551"/>
      <c r="AP31" s="646"/>
      <c r="AQ31" s="879"/>
      <c r="AR31" s="648"/>
      <c r="AS31" s="648"/>
      <c r="AT31" s="640"/>
      <c r="AX31" s="1101"/>
      <c r="AY31" s="550"/>
      <c r="AZ31" s="551"/>
      <c r="BA31" s="551"/>
      <c r="BB31" s="642"/>
      <c r="BC31" s="644"/>
      <c r="BD31" s="644"/>
      <c r="BE31" s="644"/>
      <c r="BF31" s="644"/>
      <c r="BG31" s="651"/>
      <c r="BR31" s="852" t="s">
        <v>51</v>
      </c>
      <c r="BS31" s="853"/>
      <c r="BT31" s="853"/>
      <c r="BU31" s="854"/>
      <c r="BV31" s="539"/>
      <c r="BW31" s="540"/>
      <c r="BX31" s="1103"/>
      <c r="BY31" s="543">
        <v>1</v>
      </c>
      <c r="BZ31" s="543"/>
      <c r="CA31" s="1103"/>
      <c r="CB31" s="543"/>
      <c r="CC31" s="154"/>
      <c r="CD31" s="541">
        <f t="shared" ref="CD31" si="21">SUM(BV31:CC32)</f>
        <v>1</v>
      </c>
      <c r="CE31" s="474">
        <f t="shared" ref="CE31" si="22">BV31*44+BW31*44+BX31*34+BY31*34+BZ31*34+CA31*44+CB31*44+CC31*44</f>
        <v>34</v>
      </c>
      <c r="CF31" s="468" t="s">
        <v>349</v>
      </c>
      <c r="CG31" s="469"/>
      <c r="CH31" s="470"/>
      <c r="CI31" s="474"/>
      <c r="CJ31" s="474">
        <v>34</v>
      </c>
      <c r="CK31" s="1096" t="s">
        <v>286</v>
      </c>
      <c r="CL31" s="1097"/>
      <c r="CM31" s="464">
        <v>45067</v>
      </c>
      <c r="CR31" s="8"/>
      <c r="CW31" s="21"/>
      <c r="CX31" s="21"/>
      <c r="DB31" s="22"/>
      <c r="DC31" s="22"/>
    </row>
    <row r="32" spans="3:115" ht="15.95" customHeight="1" thickBot="1">
      <c r="D32" s="10"/>
      <c r="E32" s="10"/>
      <c r="K32" s="5"/>
      <c r="L32" s="17"/>
      <c r="M32" s="5"/>
      <c r="O32" s="10"/>
      <c r="P32" s="10"/>
      <c r="Q32" s="10"/>
      <c r="R32" s="15"/>
      <c r="S32" s="18"/>
      <c r="T32" s="5"/>
      <c r="U32" s="5"/>
      <c r="V32" s="5"/>
      <c r="W32" s="17"/>
      <c r="X32" s="18"/>
      <c r="Z32" s="10"/>
      <c r="AA32" s="10"/>
      <c r="AB32" s="10"/>
      <c r="AC32" s="5"/>
      <c r="AD32" s="5"/>
      <c r="AE32" s="17"/>
      <c r="AF32" s="18"/>
      <c r="AL32" s="1047"/>
      <c r="AM32" s="547" t="s">
        <v>377</v>
      </c>
      <c r="AN32" s="548"/>
      <c r="AO32" s="548"/>
      <c r="AP32" s="571">
        <v>3</v>
      </c>
      <c r="AQ32" s="878">
        <f>V78</f>
        <v>26</v>
      </c>
      <c r="AR32" s="647">
        <f>((AP32*AQ32)*0.21)/AQ32</f>
        <v>0.63</v>
      </c>
      <c r="AS32" s="647">
        <f>AP32+AR32</f>
        <v>3.63</v>
      </c>
      <c r="AT32" s="519">
        <f>AQ32*AS32</f>
        <v>94.38</v>
      </c>
      <c r="AX32" s="1047"/>
      <c r="AY32" s="547" t="s">
        <v>377</v>
      </c>
      <c r="AZ32" s="548"/>
      <c r="BA32" s="548"/>
      <c r="BB32" s="641">
        <f>AP64</f>
        <v>33</v>
      </c>
      <c r="BC32" s="649">
        <f>S78</f>
        <v>5</v>
      </c>
      <c r="BD32" s="649">
        <f>T78</f>
        <v>17</v>
      </c>
      <c r="BE32" s="649">
        <f>U78</f>
        <v>4</v>
      </c>
      <c r="BF32" s="643">
        <f t="shared" ref="BF32" si="23">BC32+BD32+BE32</f>
        <v>26</v>
      </c>
      <c r="BG32" s="650">
        <f>BB32*BF32</f>
        <v>858</v>
      </c>
      <c r="BR32" s="855"/>
      <c r="BS32" s="856"/>
      <c r="BT32" s="856"/>
      <c r="BU32" s="857"/>
      <c r="BV32" s="831"/>
      <c r="BW32" s="832"/>
      <c r="BX32" s="1103"/>
      <c r="BY32" s="543"/>
      <c r="BZ32" s="543"/>
      <c r="CA32" s="1103"/>
      <c r="CB32" s="543"/>
      <c r="CC32" s="154"/>
      <c r="CD32" s="833"/>
      <c r="CE32" s="475"/>
      <c r="CF32" s="471"/>
      <c r="CG32" s="472"/>
      <c r="CH32" s="473"/>
      <c r="CI32" s="475"/>
      <c r="CJ32" s="475"/>
      <c r="CK32" s="1098"/>
      <c r="CL32" s="1099"/>
      <c r="CM32" s="465"/>
      <c r="CY32" s="21"/>
      <c r="CZ32" s="21"/>
      <c r="DB32" s="22"/>
      <c r="DC32" s="22"/>
    </row>
    <row r="33" spans="34:107" ht="15.95" customHeight="1" thickBot="1">
      <c r="AL33" s="1048"/>
      <c r="AM33" s="550"/>
      <c r="AN33" s="551"/>
      <c r="AO33" s="551"/>
      <c r="AP33" s="572"/>
      <c r="AQ33" s="879"/>
      <c r="AR33" s="648"/>
      <c r="AS33" s="648"/>
      <c r="AT33" s="640"/>
      <c r="AU33" s="2"/>
      <c r="AX33" s="1048"/>
      <c r="AY33" s="550"/>
      <c r="AZ33" s="551"/>
      <c r="BA33" s="551"/>
      <c r="BB33" s="642"/>
      <c r="BC33" s="520"/>
      <c r="BD33" s="520"/>
      <c r="BE33" s="520"/>
      <c r="BF33" s="644"/>
      <c r="BG33" s="651"/>
      <c r="BR33" s="852" t="s">
        <v>61</v>
      </c>
      <c r="BS33" s="853"/>
      <c r="BT33" s="853"/>
      <c r="BU33" s="854"/>
      <c r="BV33" s="539"/>
      <c r="BW33" s="540">
        <v>1</v>
      </c>
      <c r="BX33" s="1091"/>
      <c r="BY33" s="1093">
        <v>1</v>
      </c>
      <c r="BZ33" s="1093"/>
      <c r="CA33" s="1091"/>
      <c r="CB33" s="1093"/>
      <c r="CC33" s="157"/>
      <c r="CD33" s="541">
        <f>SUM(BV33:CC34)</f>
        <v>2</v>
      </c>
      <c r="CE33" s="474">
        <f>BV33*44+BW33*44+BX33*34+BY33*34+BZ33*34+CA33*44+CB33*44+CC33*44</f>
        <v>78</v>
      </c>
      <c r="CF33" s="468" t="s">
        <v>351</v>
      </c>
      <c r="CG33" s="469"/>
      <c r="CH33" s="470"/>
      <c r="CI33" s="474"/>
      <c r="CJ33" s="474">
        <v>78</v>
      </c>
      <c r="CK33" s="1096" t="s">
        <v>286</v>
      </c>
      <c r="CL33" s="1097"/>
      <c r="CM33" s="464">
        <v>45067</v>
      </c>
    </row>
    <row r="34" spans="34:107" ht="15.95" customHeight="1" thickBot="1">
      <c r="AH34" s="17"/>
      <c r="AI34" s="18"/>
      <c r="AL34" s="545"/>
      <c r="AM34" s="547" t="s">
        <v>279</v>
      </c>
      <c r="AN34" s="548"/>
      <c r="AO34" s="549"/>
      <c r="AP34" s="571">
        <v>6</v>
      </c>
      <c r="AQ34" s="878">
        <f>AG7</f>
        <v>11</v>
      </c>
      <c r="AR34" s="647">
        <f>((AP34*AQ34)*0.21)/AQ34</f>
        <v>1.26</v>
      </c>
      <c r="AS34" s="647">
        <f>AP34+AR34</f>
        <v>7.26</v>
      </c>
      <c r="AT34" s="519">
        <f>AQ34*AS34</f>
        <v>79.86</v>
      </c>
      <c r="AU34" s="2"/>
      <c r="AX34" s="545"/>
      <c r="AY34" s="547" t="s">
        <v>279</v>
      </c>
      <c r="AZ34" s="548"/>
      <c r="BA34" s="549"/>
      <c r="BB34" s="641">
        <v>44</v>
      </c>
      <c r="BC34" s="649">
        <f>AD7</f>
        <v>9</v>
      </c>
      <c r="BD34" s="649">
        <f t="shared" ref="BD34:BE34" si="24">AE7</f>
        <v>1</v>
      </c>
      <c r="BE34" s="649">
        <f t="shared" si="24"/>
        <v>1</v>
      </c>
      <c r="BF34" s="643">
        <f t="shared" ref="BF34" si="25">BC34+BD34+BE34</f>
        <v>11</v>
      </c>
      <c r="BG34" s="650">
        <f>BB34*BF34</f>
        <v>484</v>
      </c>
      <c r="BP34" s="62"/>
      <c r="BR34" s="855"/>
      <c r="BS34" s="856"/>
      <c r="BT34" s="856"/>
      <c r="BU34" s="857"/>
      <c r="BV34" s="831"/>
      <c r="BW34" s="832"/>
      <c r="BX34" s="1092"/>
      <c r="BY34" s="1094"/>
      <c r="BZ34" s="1094"/>
      <c r="CA34" s="1092"/>
      <c r="CB34" s="1094"/>
      <c r="CC34" s="155"/>
      <c r="CD34" s="833"/>
      <c r="CE34" s="475"/>
      <c r="CF34" s="471"/>
      <c r="CG34" s="472"/>
      <c r="CH34" s="473"/>
      <c r="CI34" s="475"/>
      <c r="CJ34" s="475"/>
      <c r="CK34" s="1098"/>
      <c r="CL34" s="1099"/>
      <c r="CM34" s="465"/>
      <c r="CQ34" s="20"/>
      <c r="CR34" s="20"/>
      <c r="CS34" s="20"/>
      <c r="CT34" s="20"/>
      <c r="CU34" s="20"/>
      <c r="CV34" s="20"/>
      <c r="CW34" s="20"/>
      <c r="CX34" s="20"/>
      <c r="CY34" s="20"/>
      <c r="CZ34" s="20"/>
    </row>
    <row r="35" spans="34:107" ht="15.95" customHeight="1" thickBot="1">
      <c r="AH35" s="17"/>
      <c r="AI35" s="18"/>
      <c r="AL35" s="546"/>
      <c r="AM35" s="550"/>
      <c r="AN35" s="551"/>
      <c r="AO35" s="552"/>
      <c r="AP35" s="572"/>
      <c r="AQ35" s="879"/>
      <c r="AR35" s="648"/>
      <c r="AS35" s="648"/>
      <c r="AT35" s="640"/>
      <c r="AU35" s="2"/>
      <c r="AX35" s="546"/>
      <c r="AY35" s="550"/>
      <c r="AZ35" s="551"/>
      <c r="BA35" s="552"/>
      <c r="BB35" s="642"/>
      <c r="BC35" s="520"/>
      <c r="BD35" s="520"/>
      <c r="BE35" s="520"/>
      <c r="BF35" s="644"/>
      <c r="BG35" s="651"/>
      <c r="BR35" s="852" t="s">
        <v>77</v>
      </c>
      <c r="BS35" s="853"/>
      <c r="BT35" s="853"/>
      <c r="BU35" s="854"/>
      <c r="BV35" s="539"/>
      <c r="BW35" s="540"/>
      <c r="BX35" s="1091"/>
      <c r="BY35" s="1093">
        <v>1</v>
      </c>
      <c r="BZ35" s="1093"/>
      <c r="CA35" s="1091"/>
      <c r="CB35" s="1093"/>
      <c r="CC35" s="157"/>
      <c r="CD35" s="541">
        <f t="shared" ref="CD35" si="26">SUM(BV35:CC36)</f>
        <v>1</v>
      </c>
      <c r="CE35" s="474">
        <f t="shared" ref="CE35" si="27">BV35*44+BW35*44+BX35*34+BY35*34+BZ35*34+CA35*44+CB35*44+CC35*44</f>
        <v>34</v>
      </c>
      <c r="CF35" s="468" t="s">
        <v>349</v>
      </c>
      <c r="CG35" s="469"/>
      <c r="CH35" s="470"/>
      <c r="CI35" s="474"/>
      <c r="CJ35" s="474">
        <v>34</v>
      </c>
      <c r="CK35" s="1096" t="s">
        <v>286</v>
      </c>
      <c r="CL35" s="1097"/>
      <c r="CM35" s="464">
        <v>45067</v>
      </c>
      <c r="CR35" s="8"/>
      <c r="CW35" s="21"/>
      <c r="CX35" s="21"/>
      <c r="DB35" s="22"/>
      <c r="DC35" s="22"/>
    </row>
    <row r="36" spans="34:107" ht="15.95" customHeight="1" thickBot="1">
      <c r="AH36" s="17"/>
      <c r="AI36" s="18"/>
      <c r="AL36" s="880"/>
      <c r="AM36" s="547"/>
      <c r="AN36" s="548"/>
      <c r="AO36" s="549"/>
      <c r="AP36" s="666"/>
      <c r="AQ36" s="878"/>
      <c r="AR36" s="647"/>
      <c r="AS36" s="519"/>
      <c r="AT36" s="519"/>
      <c r="AU36" s="2"/>
      <c r="AX36" s="880"/>
      <c r="AY36" s="547"/>
      <c r="AZ36" s="548"/>
      <c r="BA36" s="549"/>
      <c r="BB36" s="641">
        <f>AP68</f>
        <v>0</v>
      </c>
      <c r="BC36" s="649"/>
      <c r="BD36" s="649"/>
      <c r="BE36" s="649"/>
      <c r="BF36" s="643">
        <f t="shared" ref="BF36" si="28">BC36+BD36+BE36</f>
        <v>0</v>
      </c>
      <c r="BG36" s="650">
        <f>BB36*BF36</f>
        <v>0</v>
      </c>
      <c r="BR36" s="855"/>
      <c r="BS36" s="856"/>
      <c r="BT36" s="856"/>
      <c r="BU36" s="857"/>
      <c r="BV36" s="831"/>
      <c r="BW36" s="832"/>
      <c r="BX36" s="1092"/>
      <c r="BY36" s="1094"/>
      <c r="BZ36" s="1094"/>
      <c r="CA36" s="1092"/>
      <c r="CB36" s="1094"/>
      <c r="CC36" s="155"/>
      <c r="CD36" s="833"/>
      <c r="CE36" s="475"/>
      <c r="CF36" s="471"/>
      <c r="CG36" s="472"/>
      <c r="CH36" s="473"/>
      <c r="CI36" s="475"/>
      <c r="CJ36" s="475"/>
      <c r="CK36" s="1098"/>
      <c r="CL36" s="1099"/>
      <c r="CM36" s="465"/>
      <c r="CY36" s="21"/>
      <c r="CZ36" s="21"/>
      <c r="DB36" s="22"/>
      <c r="DC36" s="22"/>
    </row>
    <row r="37" spans="34:107" ht="15.95" customHeight="1" thickBot="1">
      <c r="AL37" s="881"/>
      <c r="AM37" s="550"/>
      <c r="AN37" s="551"/>
      <c r="AO37" s="552"/>
      <c r="AP37" s="667"/>
      <c r="AQ37" s="884"/>
      <c r="AR37" s="648"/>
      <c r="AS37" s="669"/>
      <c r="AT37" s="640"/>
      <c r="AX37" s="881"/>
      <c r="AY37" s="550"/>
      <c r="AZ37" s="551"/>
      <c r="BA37" s="552"/>
      <c r="BB37" s="656"/>
      <c r="BC37" s="657"/>
      <c r="BD37" s="657"/>
      <c r="BE37" s="657"/>
      <c r="BF37" s="644"/>
      <c r="BG37" s="651"/>
      <c r="BR37" s="852" t="s">
        <v>449</v>
      </c>
      <c r="BS37" s="853"/>
      <c r="BT37" s="853"/>
      <c r="BU37" s="854"/>
      <c r="BV37" s="539">
        <v>1</v>
      </c>
      <c r="BW37" s="540"/>
      <c r="BX37" s="1103"/>
      <c r="BY37" s="543"/>
      <c r="BZ37" s="543"/>
      <c r="CA37" s="1103"/>
      <c r="CB37" s="543"/>
      <c r="CC37" s="154"/>
      <c r="CD37" s="541">
        <f t="shared" ref="CD37" si="29">SUM(BV37:CC38)</f>
        <v>1</v>
      </c>
      <c r="CE37" s="474">
        <f t="shared" ref="CE37" si="30">BV37*44+BW37*44+BX37*34+BY37*34+BZ37*34+CA37*44+CB37*44+CC37*44</f>
        <v>44</v>
      </c>
      <c r="CF37" s="468" t="s">
        <v>440</v>
      </c>
      <c r="CG37" s="469"/>
      <c r="CH37" s="470"/>
      <c r="CI37" s="474"/>
      <c r="CJ37" s="474">
        <v>44</v>
      </c>
      <c r="CK37" s="1096" t="s">
        <v>286</v>
      </c>
      <c r="CL37" s="1097"/>
      <c r="CM37" s="464">
        <v>45079</v>
      </c>
    </row>
    <row r="38" spans="34:107" ht="15.95" customHeight="1" thickBot="1">
      <c r="AP38" s="3"/>
      <c r="AQ38" s="660">
        <f>SUM(AQ30:AQ37)</f>
        <v>43</v>
      </c>
      <c r="AR38" s="662">
        <f>SUM(AR30:AR37)</f>
        <v>3.1500000000000004</v>
      </c>
      <c r="AS38" s="44"/>
      <c r="AT38" s="662">
        <f>SUM(AT30:AT37)</f>
        <v>217.8</v>
      </c>
      <c r="BB38" s="3"/>
      <c r="BC38" s="3"/>
      <c r="BD38" s="3"/>
      <c r="BF38" s="643">
        <f>SUM(BF30:BF37)</f>
        <v>43</v>
      </c>
      <c r="BG38" s="650">
        <f>SUM(BG30:BG37)</f>
        <v>1606</v>
      </c>
      <c r="BR38" s="893"/>
      <c r="BS38" s="894"/>
      <c r="BT38" s="894"/>
      <c r="BU38" s="895"/>
      <c r="BV38" s="831"/>
      <c r="BW38" s="832"/>
      <c r="BX38" s="1092"/>
      <c r="BY38" s="1094"/>
      <c r="BZ38" s="1094"/>
      <c r="CA38" s="1092"/>
      <c r="CB38" s="1094"/>
      <c r="CC38" s="155"/>
      <c r="CD38" s="833"/>
      <c r="CE38" s="475"/>
      <c r="CF38" s="471"/>
      <c r="CG38" s="472"/>
      <c r="CH38" s="473"/>
      <c r="CI38" s="475"/>
      <c r="CJ38" s="475"/>
      <c r="CK38" s="1098"/>
      <c r="CL38" s="1099"/>
      <c r="CM38" s="465"/>
      <c r="CQ38" s="20"/>
      <c r="CR38" s="20"/>
      <c r="CS38" s="20"/>
      <c r="CT38" s="20"/>
      <c r="CU38" s="20"/>
      <c r="CV38" s="20"/>
      <c r="CW38" s="20"/>
      <c r="CX38" s="20"/>
      <c r="CY38" s="20"/>
      <c r="CZ38" s="20"/>
    </row>
    <row r="39" spans="34:107" ht="15.95" customHeight="1" thickBot="1">
      <c r="AP39" s="3"/>
      <c r="AQ39" s="661"/>
      <c r="AR39" s="663"/>
      <c r="AS39" s="44"/>
      <c r="AT39" s="663"/>
      <c r="BB39" s="3"/>
      <c r="BC39" s="3"/>
      <c r="BD39" s="3"/>
      <c r="BF39" s="664"/>
      <c r="BG39" s="665"/>
      <c r="BR39" s="852" t="s">
        <v>450</v>
      </c>
      <c r="BS39" s="853"/>
      <c r="BT39" s="853"/>
      <c r="BU39" s="854"/>
      <c r="BV39" s="539"/>
      <c r="BW39" s="540"/>
      <c r="BX39" s="1091"/>
      <c r="BY39" s="1093">
        <v>1</v>
      </c>
      <c r="BZ39" s="1093"/>
      <c r="CA39" s="1091"/>
      <c r="CB39" s="1093"/>
      <c r="CC39" s="157"/>
      <c r="CD39" s="541">
        <f t="shared" ref="CD39" si="31">SUM(BV39:CC40)</f>
        <v>1</v>
      </c>
      <c r="CE39" s="474">
        <f t="shared" ref="CE39" si="32">BV39*44+BW39*44+BX39*34+BY39*34+BZ39*34+CA39*44+CB39*44+CC39*44</f>
        <v>34</v>
      </c>
      <c r="CF39" s="468" t="s">
        <v>349</v>
      </c>
      <c r="CG39" s="469"/>
      <c r="CH39" s="470"/>
      <c r="CI39" s="474"/>
      <c r="CJ39" s="474">
        <v>34</v>
      </c>
      <c r="CK39" s="1096" t="s">
        <v>286</v>
      </c>
      <c r="CL39" s="1097"/>
      <c r="CM39" s="464">
        <v>45079</v>
      </c>
      <c r="CR39" s="8"/>
      <c r="CW39" s="21"/>
      <c r="CX39" s="21"/>
      <c r="DB39" s="22"/>
      <c r="DC39" s="22"/>
    </row>
    <row r="40" spans="34:107" ht="15.95" customHeight="1" thickBot="1">
      <c r="BB40" s="3"/>
      <c r="BC40" s="3"/>
      <c r="BD40" s="3"/>
      <c r="BE40" s="3"/>
      <c r="BF40" s="3"/>
      <c r="BR40" s="855"/>
      <c r="BS40" s="856"/>
      <c r="BT40" s="856"/>
      <c r="BU40" s="857"/>
      <c r="BV40" s="831"/>
      <c r="BW40" s="832"/>
      <c r="BX40" s="1092"/>
      <c r="BY40" s="1094"/>
      <c r="BZ40" s="1094"/>
      <c r="CA40" s="1092"/>
      <c r="CB40" s="1094"/>
      <c r="CC40" s="155"/>
      <c r="CD40" s="833"/>
      <c r="CE40" s="475"/>
      <c r="CF40" s="471"/>
      <c r="CG40" s="472"/>
      <c r="CH40" s="473"/>
      <c r="CI40" s="475"/>
      <c r="CJ40" s="475"/>
      <c r="CK40" s="1098"/>
      <c r="CL40" s="1099"/>
      <c r="CM40" s="465"/>
      <c r="CY40" s="21"/>
      <c r="CZ40" s="21"/>
      <c r="DB40" s="22"/>
      <c r="DC40" s="22"/>
    </row>
    <row r="41" spans="34:107" ht="15.95" customHeight="1" thickBot="1">
      <c r="AH41" s="10"/>
      <c r="AI41" s="10"/>
      <c r="BB41" s="3"/>
      <c r="BC41" s="3"/>
      <c r="BD41" s="3"/>
      <c r="BE41" s="3"/>
      <c r="BF41" s="3"/>
      <c r="BR41" s="852" t="s">
        <v>432</v>
      </c>
      <c r="BS41" s="853"/>
      <c r="BT41" s="853"/>
      <c r="BU41" s="854"/>
      <c r="BV41" s="539"/>
      <c r="BW41" s="543"/>
      <c r="BX41" s="1091"/>
      <c r="BY41" s="1093">
        <v>1</v>
      </c>
      <c r="BZ41" s="1093"/>
      <c r="CA41" s="1091"/>
      <c r="CB41" s="1093"/>
      <c r="CC41" s="157"/>
      <c r="CD41" s="541">
        <f t="shared" ref="CD41" si="33">SUM(BV41:CC42)</f>
        <v>1</v>
      </c>
      <c r="CE41" s="474">
        <f t="shared" ref="CE41" si="34">BV41*44+BW41*44+BX41*34+BY41*34+BZ41*34+CA41*44+CB41*44+CC41*44</f>
        <v>34</v>
      </c>
      <c r="CF41" s="468" t="s">
        <v>349</v>
      </c>
      <c r="CG41" s="469"/>
      <c r="CH41" s="470"/>
      <c r="CI41" s="474"/>
      <c r="CJ41" s="998">
        <v>34</v>
      </c>
      <c r="CK41" s="1096" t="s">
        <v>286</v>
      </c>
      <c r="CL41" s="1097"/>
      <c r="CM41" s="464">
        <v>45079</v>
      </c>
    </row>
    <row r="42" spans="34:107" ht="15.95" customHeight="1" thickBot="1">
      <c r="AH42" s="10"/>
      <c r="AI42" s="10"/>
      <c r="AL42" s="608" t="s">
        <v>308</v>
      </c>
      <c r="AM42" s="609"/>
      <c r="AN42" s="609"/>
      <c r="AO42" s="610"/>
      <c r="AX42" s="673" t="s">
        <v>309</v>
      </c>
      <c r="AY42" s="674"/>
      <c r="AZ42" s="674"/>
      <c r="BA42" s="675"/>
      <c r="BB42" s="3"/>
      <c r="BC42" s="3"/>
      <c r="BD42" s="3"/>
      <c r="BE42" s="3"/>
      <c r="BF42" s="3"/>
      <c r="BR42" s="855"/>
      <c r="BS42" s="856"/>
      <c r="BT42" s="856"/>
      <c r="BU42" s="857"/>
      <c r="BV42" s="831"/>
      <c r="BW42" s="832"/>
      <c r="BX42" s="1092"/>
      <c r="BY42" s="1094"/>
      <c r="BZ42" s="1094"/>
      <c r="CA42" s="1092"/>
      <c r="CB42" s="1094"/>
      <c r="CC42" s="155"/>
      <c r="CD42" s="833"/>
      <c r="CE42" s="475"/>
      <c r="CF42" s="471"/>
      <c r="CG42" s="472"/>
      <c r="CH42" s="473"/>
      <c r="CI42" s="475"/>
      <c r="CJ42" s="999"/>
      <c r="CK42" s="1098"/>
      <c r="CL42" s="1099"/>
      <c r="CM42" s="465"/>
      <c r="CQ42" s="20"/>
      <c r="CR42" s="20"/>
      <c r="CS42" s="20"/>
      <c r="CT42" s="20"/>
      <c r="CU42" s="20"/>
      <c r="CV42" s="20"/>
      <c r="CW42" s="20"/>
      <c r="CX42" s="20"/>
      <c r="CY42" s="20"/>
      <c r="CZ42" s="20"/>
    </row>
    <row r="43" spans="34:107" ht="15.95" customHeight="1" thickBot="1">
      <c r="AH43" s="5"/>
      <c r="AI43" s="5"/>
      <c r="AL43" s="611"/>
      <c r="AM43" s="612"/>
      <c r="AN43" s="612"/>
      <c r="AO43" s="613"/>
      <c r="AX43" s="676"/>
      <c r="AY43" s="677"/>
      <c r="AZ43" s="677"/>
      <c r="BA43" s="678"/>
      <c r="BB43" s="3"/>
      <c r="BC43" s="3"/>
      <c r="BD43" s="3"/>
      <c r="BE43" s="3"/>
      <c r="BF43" s="3"/>
      <c r="BR43" s="852" t="s">
        <v>33</v>
      </c>
      <c r="BS43" s="853"/>
      <c r="BT43" s="853"/>
      <c r="BU43" s="854"/>
      <c r="BV43" s="539"/>
      <c r="BW43" s="540"/>
      <c r="BX43" s="1091"/>
      <c r="BY43" s="1093"/>
      <c r="BZ43" s="1093">
        <v>1</v>
      </c>
      <c r="CA43" s="1091"/>
      <c r="CB43" s="1093"/>
      <c r="CC43" s="157"/>
      <c r="CD43" s="541">
        <f t="shared" ref="CD43" si="35">SUM(BV43:CC44)</f>
        <v>1</v>
      </c>
      <c r="CE43" s="474">
        <f t="shared" ref="CE43" si="36">BV43*44+BW43*44+BX43*34+BY43*34+BZ43*34+CA43*44+CB43*44+CC43*44</f>
        <v>34</v>
      </c>
      <c r="CF43" s="468" t="s">
        <v>349</v>
      </c>
      <c r="CG43" s="469"/>
      <c r="CH43" s="470"/>
      <c r="CI43" s="474"/>
      <c r="CJ43" s="474">
        <v>34</v>
      </c>
      <c r="CK43" s="1096" t="s">
        <v>286</v>
      </c>
      <c r="CL43" s="1097"/>
      <c r="CM43" s="464">
        <v>45091</v>
      </c>
      <c r="CR43" s="8"/>
      <c r="CW43" s="21"/>
      <c r="CX43" s="21"/>
      <c r="DB43" s="22"/>
      <c r="DC43" s="22"/>
    </row>
    <row r="44" spans="34:107" ht="15.95" customHeight="1" thickBot="1">
      <c r="AH44" s="5"/>
      <c r="AI44" s="5"/>
      <c r="AL44" s="611"/>
      <c r="AM44" s="612"/>
      <c r="AN44" s="612"/>
      <c r="AO44" s="613"/>
      <c r="AP44" s="484" t="s">
        <v>313</v>
      </c>
      <c r="AQ44" s="671" t="s">
        <v>141</v>
      </c>
      <c r="AR44" s="484" t="s">
        <v>119</v>
      </c>
      <c r="AS44" s="484" t="s">
        <v>277</v>
      </c>
      <c r="AX44" s="676"/>
      <c r="AY44" s="677"/>
      <c r="AZ44" s="677"/>
      <c r="BA44" s="678"/>
      <c r="BB44" s="484" t="s">
        <v>16</v>
      </c>
      <c r="BC44" s="484" t="s">
        <v>13</v>
      </c>
      <c r="BD44" s="484" t="s">
        <v>275</v>
      </c>
      <c r="BE44" s="484" t="s">
        <v>314</v>
      </c>
      <c r="BF44" s="484" t="s">
        <v>277</v>
      </c>
      <c r="BR44" s="855"/>
      <c r="BS44" s="856"/>
      <c r="BT44" s="856"/>
      <c r="BU44" s="857"/>
      <c r="BV44" s="831"/>
      <c r="BW44" s="832"/>
      <c r="BX44" s="1092"/>
      <c r="BY44" s="1094"/>
      <c r="BZ44" s="1094"/>
      <c r="CA44" s="1092"/>
      <c r="CB44" s="1094"/>
      <c r="CC44" s="155"/>
      <c r="CD44" s="833"/>
      <c r="CE44" s="475"/>
      <c r="CF44" s="471"/>
      <c r="CG44" s="472"/>
      <c r="CH44" s="473"/>
      <c r="CI44" s="475"/>
      <c r="CJ44" s="475"/>
      <c r="CK44" s="1098"/>
      <c r="CL44" s="1099"/>
      <c r="CM44" s="465"/>
      <c r="CY44" s="21"/>
      <c r="CZ44" s="21"/>
      <c r="DB44" s="22"/>
      <c r="DC44" s="22"/>
    </row>
    <row r="45" spans="34:107" ht="15.95" customHeight="1" thickBot="1">
      <c r="AH45" s="17"/>
      <c r="AI45" s="18"/>
      <c r="AL45" s="614"/>
      <c r="AM45" s="615"/>
      <c r="AN45" s="615"/>
      <c r="AO45" s="616"/>
      <c r="AP45" s="485"/>
      <c r="AQ45" s="672"/>
      <c r="AR45" s="485"/>
      <c r="AS45" s="485"/>
      <c r="AX45" s="679"/>
      <c r="AY45" s="680"/>
      <c r="AZ45" s="680"/>
      <c r="BA45" s="681"/>
      <c r="BB45" s="485"/>
      <c r="BC45" s="485"/>
      <c r="BD45" s="485"/>
      <c r="BE45" s="485"/>
      <c r="BF45" s="485"/>
      <c r="BR45" s="852" t="s">
        <v>54</v>
      </c>
      <c r="BS45" s="853"/>
      <c r="BT45" s="853"/>
      <c r="BU45" s="854"/>
      <c r="BV45" s="539"/>
      <c r="BW45" s="1171"/>
      <c r="BX45" s="1091"/>
      <c r="BY45" s="1093"/>
      <c r="BZ45" s="1120"/>
      <c r="CA45" s="1103">
        <v>1</v>
      </c>
      <c r="CB45" s="1093"/>
      <c r="CC45" s="154"/>
      <c r="CD45" s="541">
        <f t="shared" ref="CD45" si="37">SUM(BV45:CC46)</f>
        <v>1</v>
      </c>
      <c r="CE45" s="474">
        <f t="shared" ref="CE45" si="38">BV45*44+BW45*44+BX45*34+BY45*34+BZ45*34+CA45*44+CB45*44+CC45*44</f>
        <v>44</v>
      </c>
      <c r="CF45" s="468" t="s">
        <v>440</v>
      </c>
      <c r="CG45" s="469"/>
      <c r="CH45" s="470"/>
      <c r="CI45" s="474"/>
      <c r="CJ45" s="474">
        <v>44</v>
      </c>
      <c r="CK45" s="1096" t="s">
        <v>286</v>
      </c>
      <c r="CL45" s="1097"/>
      <c r="CM45" s="464">
        <v>45091</v>
      </c>
    </row>
    <row r="46" spans="34:107" ht="15.95" customHeight="1" thickBot="1">
      <c r="AH46" s="17"/>
      <c r="AI46" s="18"/>
      <c r="AL46" s="1100"/>
      <c r="AM46" s="547" t="s">
        <v>376</v>
      </c>
      <c r="AN46" s="548"/>
      <c r="AO46" s="548"/>
      <c r="AP46" s="650">
        <f>BA6/AU6</f>
        <v>27.367647058823529</v>
      </c>
      <c r="AQ46" s="650">
        <f>AS30</f>
        <v>7.26</v>
      </c>
      <c r="AR46" s="650">
        <v>0</v>
      </c>
      <c r="AS46" s="650">
        <f>SUM(AP46:AR47)</f>
        <v>34.627647058823527</v>
      </c>
      <c r="AX46" s="1100"/>
      <c r="AY46" s="547" t="s">
        <v>376</v>
      </c>
      <c r="AZ46" s="548"/>
      <c r="BA46" s="548"/>
      <c r="BB46" s="643">
        <v>0</v>
      </c>
      <c r="BC46" s="643">
        <v>1</v>
      </c>
      <c r="BD46" s="643">
        <f>BB46+BC46</f>
        <v>1</v>
      </c>
      <c r="BE46" s="891">
        <f>AS46</f>
        <v>34.627647058823527</v>
      </c>
      <c r="BF46" s="891">
        <f>BE46*BD46</f>
        <v>34.627647058823527</v>
      </c>
      <c r="BR46" s="893"/>
      <c r="BS46" s="894"/>
      <c r="BT46" s="894"/>
      <c r="BU46" s="895"/>
      <c r="BV46" s="831"/>
      <c r="BW46" s="1172"/>
      <c r="BX46" s="1092"/>
      <c r="BY46" s="1094"/>
      <c r="BZ46" s="1121"/>
      <c r="CA46" s="1092"/>
      <c r="CB46" s="1094"/>
      <c r="CC46" s="155"/>
      <c r="CD46" s="833"/>
      <c r="CE46" s="475"/>
      <c r="CF46" s="471"/>
      <c r="CG46" s="472"/>
      <c r="CH46" s="473"/>
      <c r="CI46" s="475"/>
      <c r="CJ46" s="475"/>
      <c r="CK46" s="1098"/>
      <c r="CL46" s="1099"/>
      <c r="CM46" s="465"/>
      <c r="CQ46" s="20"/>
      <c r="CR46" s="20"/>
      <c r="CS46" s="20"/>
      <c r="CT46" s="20"/>
      <c r="CU46" s="20"/>
      <c r="CV46" s="20"/>
      <c r="CW46" s="20"/>
      <c r="CX46" s="20"/>
      <c r="CY46" s="20"/>
      <c r="CZ46" s="20"/>
    </row>
    <row r="47" spans="34:107" ht="15.95" customHeight="1" thickBot="1">
      <c r="AH47" s="17"/>
      <c r="AI47" s="18"/>
      <c r="AL47" s="1101"/>
      <c r="AM47" s="550"/>
      <c r="AN47" s="551"/>
      <c r="AO47" s="551"/>
      <c r="AP47" s="651"/>
      <c r="AQ47" s="651"/>
      <c r="AR47" s="651"/>
      <c r="AS47" s="651"/>
      <c r="AX47" s="1101"/>
      <c r="AY47" s="550"/>
      <c r="AZ47" s="551"/>
      <c r="BA47" s="551"/>
      <c r="BB47" s="644"/>
      <c r="BC47" s="644"/>
      <c r="BD47" s="644"/>
      <c r="BE47" s="892"/>
      <c r="BF47" s="892"/>
      <c r="BR47" s="852" t="s">
        <v>50</v>
      </c>
      <c r="BS47" s="853"/>
      <c r="BT47" s="853"/>
      <c r="BU47" s="854"/>
      <c r="BV47" s="539"/>
      <c r="BW47" s="540"/>
      <c r="BX47" s="1103"/>
      <c r="BY47" s="543">
        <v>1</v>
      </c>
      <c r="BZ47" s="543"/>
      <c r="CA47" s="1103"/>
      <c r="CB47" s="543"/>
      <c r="CC47" s="154"/>
      <c r="CD47" s="541">
        <f t="shared" ref="CD47" si="39">SUM(BV47:CC48)</f>
        <v>1</v>
      </c>
      <c r="CE47" s="474">
        <f t="shared" ref="CE47" si="40">BV47*44+BW47*44+BX47*34+BY47*34+BZ47*34+CA47*44+CB47*44+CC47*44</f>
        <v>34</v>
      </c>
      <c r="CF47" s="468" t="s">
        <v>349</v>
      </c>
      <c r="CG47" s="469"/>
      <c r="CH47" s="470"/>
      <c r="CI47" s="474"/>
      <c r="CJ47" s="474">
        <v>34</v>
      </c>
      <c r="CK47" s="1096" t="s">
        <v>286</v>
      </c>
      <c r="CL47" s="1097"/>
      <c r="CM47" s="464">
        <v>45098</v>
      </c>
      <c r="CR47" s="8"/>
      <c r="CW47" s="21"/>
      <c r="CX47" s="21"/>
      <c r="DB47" s="22"/>
      <c r="DC47" s="22"/>
    </row>
    <row r="48" spans="34:107" ht="15.95" customHeight="1" thickBot="1">
      <c r="AH48" s="17"/>
      <c r="AI48" s="18"/>
      <c r="AL48" s="1047"/>
      <c r="AM48" s="547" t="s">
        <v>377</v>
      </c>
      <c r="AN48" s="548"/>
      <c r="AO48" s="548"/>
      <c r="AP48" s="519">
        <f>BA13/AU13</f>
        <v>24.422692307692309</v>
      </c>
      <c r="AQ48" s="519">
        <f>AS32</f>
        <v>3.63</v>
      </c>
      <c r="AR48" s="519">
        <v>0</v>
      </c>
      <c r="AS48" s="650">
        <f>SUM(AP48:AR49)</f>
        <v>28.052692307692308</v>
      </c>
      <c r="AX48" s="1047"/>
      <c r="AY48" s="547" t="s">
        <v>377</v>
      </c>
      <c r="AZ48" s="548"/>
      <c r="BA48" s="548"/>
      <c r="BB48" s="649">
        <v>1</v>
      </c>
      <c r="BC48" s="649">
        <v>1</v>
      </c>
      <c r="BD48" s="643">
        <f>BB48+BC48</f>
        <v>2</v>
      </c>
      <c r="BE48" s="891">
        <f>AS48</f>
        <v>28.052692307692308</v>
      </c>
      <c r="BF48" s="891">
        <f>BE48*BD48</f>
        <v>56.105384615384615</v>
      </c>
      <c r="BR48" s="855"/>
      <c r="BS48" s="856"/>
      <c r="BT48" s="856"/>
      <c r="BU48" s="857"/>
      <c r="BV48" s="831"/>
      <c r="BW48" s="832"/>
      <c r="BX48" s="1103"/>
      <c r="BY48" s="543"/>
      <c r="BZ48" s="543"/>
      <c r="CA48" s="1103"/>
      <c r="CB48" s="543"/>
      <c r="CC48" s="154"/>
      <c r="CD48" s="833"/>
      <c r="CE48" s="475"/>
      <c r="CF48" s="471"/>
      <c r="CG48" s="472"/>
      <c r="CH48" s="473"/>
      <c r="CI48" s="475"/>
      <c r="CJ48" s="475"/>
      <c r="CK48" s="1098"/>
      <c r="CL48" s="1099"/>
      <c r="CM48" s="465"/>
      <c r="CY48" s="21"/>
      <c r="CZ48" s="21"/>
      <c r="DB48" s="22"/>
      <c r="DC48" s="22"/>
    </row>
    <row r="49" spans="3:107" ht="15.95" customHeight="1" thickBot="1">
      <c r="AH49" s="17"/>
      <c r="AI49" s="18"/>
      <c r="AL49" s="1048"/>
      <c r="AM49" s="550"/>
      <c r="AN49" s="551"/>
      <c r="AO49" s="551"/>
      <c r="AP49" s="640"/>
      <c r="AQ49" s="640"/>
      <c r="AR49" s="640"/>
      <c r="AS49" s="651"/>
      <c r="AX49" s="1048"/>
      <c r="AY49" s="550"/>
      <c r="AZ49" s="551"/>
      <c r="BA49" s="551"/>
      <c r="BB49" s="520"/>
      <c r="BC49" s="520"/>
      <c r="BD49" s="644"/>
      <c r="BE49" s="892"/>
      <c r="BF49" s="892"/>
      <c r="BR49" s="852" t="s">
        <v>57</v>
      </c>
      <c r="BS49" s="853"/>
      <c r="BT49" s="853"/>
      <c r="BU49" s="853"/>
      <c r="BV49" s="1043"/>
      <c r="BW49" s="540"/>
      <c r="BX49" s="1043"/>
      <c r="BY49" s="540"/>
      <c r="BZ49" s="540"/>
      <c r="CA49" s="1043">
        <v>1</v>
      </c>
      <c r="CB49" s="540"/>
      <c r="CC49" s="153"/>
      <c r="CD49" s="541">
        <f t="shared" ref="CD49" si="41">SUM(BV49:CC50)</f>
        <v>1</v>
      </c>
      <c r="CE49" s="474">
        <f t="shared" ref="CE49" si="42">BV49*44+BW49*44+BX49*34+BY49*34+BZ49*34+CA49*44+CB49*44+CC49*44</f>
        <v>44</v>
      </c>
      <c r="CF49" s="468" t="s">
        <v>440</v>
      </c>
      <c r="CG49" s="469"/>
      <c r="CH49" s="470"/>
      <c r="CI49" s="474"/>
      <c r="CJ49" s="474">
        <v>44</v>
      </c>
      <c r="CK49" s="1096" t="s">
        <v>286</v>
      </c>
      <c r="CL49" s="1097"/>
      <c r="CM49" s="464">
        <v>45101</v>
      </c>
    </row>
    <row r="50" spans="3:107" ht="15.95" customHeight="1" thickBot="1">
      <c r="AH50" s="17"/>
      <c r="AI50" s="18"/>
      <c r="AL50" s="545"/>
      <c r="AM50" s="547" t="s">
        <v>279</v>
      </c>
      <c r="AN50" s="548"/>
      <c r="AO50" s="549"/>
      <c r="AP50" s="519">
        <f>BA6/AU6</f>
        <v>27.367647058823529</v>
      </c>
      <c r="AQ50" s="519">
        <f>AS34</f>
        <v>7.26</v>
      </c>
      <c r="AR50" s="519">
        <v>0</v>
      </c>
      <c r="AS50" s="650">
        <f>SUM(AP50:AR51)</f>
        <v>34.627647058823527</v>
      </c>
      <c r="AX50" s="545"/>
      <c r="AY50" s="547" t="s">
        <v>279</v>
      </c>
      <c r="AZ50" s="548"/>
      <c r="BA50" s="549"/>
      <c r="BB50" s="649">
        <v>1</v>
      </c>
      <c r="BC50" s="649">
        <v>0</v>
      </c>
      <c r="BD50" s="643">
        <f>BB50+BC50</f>
        <v>1</v>
      </c>
      <c r="BE50" s="891">
        <f>AS50</f>
        <v>34.627647058823527</v>
      </c>
      <c r="BF50" s="891">
        <f>BE50*BD50</f>
        <v>34.627647058823527</v>
      </c>
      <c r="BR50" s="893"/>
      <c r="BS50" s="894"/>
      <c r="BT50" s="894"/>
      <c r="BU50" s="894"/>
      <c r="BV50" s="1044"/>
      <c r="BW50" s="832"/>
      <c r="BX50" s="1044"/>
      <c r="BY50" s="832"/>
      <c r="BZ50" s="832"/>
      <c r="CA50" s="1044"/>
      <c r="CB50" s="832"/>
      <c r="CC50" s="156"/>
      <c r="CD50" s="833"/>
      <c r="CE50" s="475"/>
      <c r="CF50" s="471"/>
      <c r="CG50" s="472"/>
      <c r="CH50" s="473"/>
      <c r="CI50" s="475"/>
      <c r="CJ50" s="475"/>
      <c r="CK50" s="1098"/>
      <c r="CL50" s="1099"/>
      <c r="CM50" s="465"/>
      <c r="CQ50" s="20"/>
      <c r="CR50" s="20"/>
      <c r="CS50" s="20"/>
      <c r="CT50" s="20"/>
      <c r="CU50" s="20"/>
      <c r="CV50" s="20"/>
      <c r="CW50" s="20"/>
      <c r="CX50" s="20"/>
      <c r="CY50" s="20"/>
      <c r="CZ50" s="20"/>
    </row>
    <row r="51" spans="3:107" ht="15.95" customHeight="1" thickBot="1">
      <c r="AH51" s="17"/>
      <c r="AI51" s="18"/>
      <c r="AL51" s="546"/>
      <c r="AM51" s="550"/>
      <c r="AN51" s="551"/>
      <c r="AO51" s="552"/>
      <c r="AP51" s="640"/>
      <c r="AQ51" s="640"/>
      <c r="AR51" s="640"/>
      <c r="AS51" s="651"/>
      <c r="AX51" s="546"/>
      <c r="AY51" s="550"/>
      <c r="AZ51" s="551"/>
      <c r="BA51" s="552"/>
      <c r="BB51" s="520"/>
      <c r="BC51" s="520"/>
      <c r="BD51" s="644"/>
      <c r="BE51" s="892"/>
      <c r="BF51" s="892"/>
      <c r="BR51" s="852" t="s">
        <v>53</v>
      </c>
      <c r="BS51" s="853"/>
      <c r="BT51" s="853"/>
      <c r="BU51" s="854"/>
      <c r="BV51" s="539"/>
      <c r="BW51" s="540"/>
      <c r="BX51" s="539"/>
      <c r="BY51" s="540">
        <v>1</v>
      </c>
      <c r="BZ51" s="540"/>
      <c r="CA51" s="1043"/>
      <c r="CB51" s="540"/>
      <c r="CC51" s="153"/>
      <c r="CD51" s="541">
        <f t="shared" ref="CD51" si="43">SUM(BV51:CC52)</f>
        <v>1</v>
      </c>
      <c r="CE51" s="474">
        <f t="shared" ref="CE51" si="44">BV51*44+BW51*44+BX51*34+BY51*34+BZ51*34+CA51*44+CB51*44+CC51*44</f>
        <v>34</v>
      </c>
      <c r="CF51" s="468" t="s">
        <v>429</v>
      </c>
      <c r="CG51" s="469"/>
      <c r="CH51" s="470"/>
      <c r="CI51" s="474"/>
      <c r="CJ51" s="998">
        <v>30</v>
      </c>
      <c r="CK51" s="1096" t="s">
        <v>286</v>
      </c>
      <c r="CL51" s="1097"/>
      <c r="CM51" s="996">
        <v>45105</v>
      </c>
      <c r="CR51" s="8"/>
      <c r="CW51" s="21"/>
      <c r="CX51" s="21"/>
      <c r="DB51" s="22"/>
      <c r="DC51" s="22"/>
    </row>
    <row r="52" spans="3:107" ht="15.95" customHeight="1" thickBot="1">
      <c r="AH52" s="17"/>
      <c r="AI52" s="18"/>
      <c r="AL52" s="880"/>
      <c r="AM52" s="547"/>
      <c r="AN52" s="548"/>
      <c r="AO52" s="549"/>
      <c r="AP52" s="519"/>
      <c r="AQ52" s="519">
        <f>AS36</f>
        <v>0</v>
      </c>
      <c r="AR52" s="519"/>
      <c r="AS52" s="650">
        <f>SUM(AP52:AR53)</f>
        <v>0</v>
      </c>
      <c r="AX52" s="880"/>
      <c r="AY52" s="547"/>
      <c r="AZ52" s="548"/>
      <c r="BA52" s="549"/>
      <c r="BB52" s="649"/>
      <c r="BC52" s="649"/>
      <c r="BD52" s="643">
        <f>BB52+BC52</f>
        <v>0</v>
      </c>
      <c r="BE52" s="891">
        <f>AS52</f>
        <v>0</v>
      </c>
      <c r="BF52" s="891">
        <f>BE52*BD52</f>
        <v>0</v>
      </c>
      <c r="BR52" s="893"/>
      <c r="BS52" s="894"/>
      <c r="BT52" s="894"/>
      <c r="BU52" s="895"/>
      <c r="BV52" s="831"/>
      <c r="BW52" s="832"/>
      <c r="BX52" s="831"/>
      <c r="BY52" s="832"/>
      <c r="BZ52" s="832"/>
      <c r="CA52" s="1044"/>
      <c r="CB52" s="832"/>
      <c r="CC52" s="156"/>
      <c r="CD52" s="833"/>
      <c r="CE52" s="475"/>
      <c r="CF52" s="471"/>
      <c r="CG52" s="472"/>
      <c r="CH52" s="473"/>
      <c r="CI52" s="475"/>
      <c r="CJ52" s="999"/>
      <c r="CK52" s="1098"/>
      <c r="CL52" s="1099"/>
      <c r="CM52" s="997"/>
      <c r="CY52" s="21"/>
      <c r="CZ52" s="21"/>
      <c r="DB52" s="22"/>
      <c r="DC52" s="22"/>
    </row>
    <row r="53" spans="3:107" ht="15.95" customHeight="1" thickBot="1">
      <c r="AH53" s="17"/>
      <c r="AI53" s="18"/>
      <c r="AL53" s="881"/>
      <c r="AM53" s="550"/>
      <c r="AN53" s="551"/>
      <c r="AO53" s="552"/>
      <c r="AP53" s="669"/>
      <c r="AQ53" s="669"/>
      <c r="AR53" s="669"/>
      <c r="AS53" s="665"/>
      <c r="AX53" s="881"/>
      <c r="AY53" s="550"/>
      <c r="AZ53" s="551"/>
      <c r="BA53" s="552"/>
      <c r="BB53" s="657"/>
      <c r="BC53" s="657"/>
      <c r="BD53" s="644"/>
      <c r="BE53" s="908"/>
      <c r="BF53" s="908"/>
      <c r="BR53" s="852" t="s">
        <v>85</v>
      </c>
      <c r="BS53" s="853"/>
      <c r="BT53" s="853"/>
      <c r="BU53" s="854"/>
      <c r="BV53" s="539"/>
      <c r="BW53" s="1171"/>
      <c r="BX53" s="1091"/>
      <c r="BY53" s="1093"/>
      <c r="BZ53" s="1093">
        <v>1</v>
      </c>
      <c r="CA53" s="539"/>
      <c r="CB53" s="540"/>
      <c r="CC53" s="541"/>
      <c r="CD53" s="541">
        <f t="shared" ref="CD53" si="45">SUM(BV53:CC54)</f>
        <v>1</v>
      </c>
      <c r="CE53" s="474">
        <f t="shared" ref="CE53" si="46">BV53*44+BW53*44+BX53*34+BY53*34+BZ53*34+CA53*44+CB53*44+CC53*44</f>
        <v>34</v>
      </c>
      <c r="CF53" s="468" t="s">
        <v>428</v>
      </c>
      <c r="CG53" s="469"/>
      <c r="CH53" s="470"/>
      <c r="CI53" s="474"/>
      <c r="CJ53" s="474">
        <v>33</v>
      </c>
      <c r="CK53" s="1096" t="s">
        <v>286</v>
      </c>
      <c r="CL53" s="1097"/>
      <c r="CM53" s="464">
        <v>45133</v>
      </c>
    </row>
    <row r="54" spans="3:107" ht="15.95" customHeight="1" thickBot="1">
      <c r="AH54" s="17"/>
      <c r="AI54" s="18"/>
      <c r="BB54" s="3"/>
      <c r="BC54" s="3"/>
      <c r="BD54" s="643">
        <f>SUM(BD46:BD53)</f>
        <v>4</v>
      </c>
      <c r="BE54" s="3"/>
      <c r="BF54" s="891">
        <f>SUM(BF46:BF53)</f>
        <v>125.36067873303168</v>
      </c>
      <c r="BR54" s="893"/>
      <c r="BS54" s="894"/>
      <c r="BT54" s="894"/>
      <c r="BU54" s="895"/>
      <c r="BV54" s="831"/>
      <c r="BW54" s="1172"/>
      <c r="BX54" s="1092"/>
      <c r="BY54" s="1094"/>
      <c r="BZ54" s="1094"/>
      <c r="CA54" s="831"/>
      <c r="CB54" s="832"/>
      <c r="CC54" s="833"/>
      <c r="CD54" s="833"/>
      <c r="CE54" s="475"/>
      <c r="CF54" s="471"/>
      <c r="CG54" s="472"/>
      <c r="CH54" s="473"/>
      <c r="CI54" s="475"/>
      <c r="CJ54" s="475"/>
      <c r="CK54" s="1098"/>
      <c r="CL54" s="1099"/>
      <c r="CM54" s="465"/>
      <c r="CQ54" s="20"/>
      <c r="CR54" s="20"/>
      <c r="CS54" s="20"/>
      <c r="CT54" s="20"/>
      <c r="CU54" s="20"/>
      <c r="CV54" s="20"/>
      <c r="CW54" s="20"/>
      <c r="CX54" s="20"/>
      <c r="CY54" s="20"/>
      <c r="CZ54" s="20"/>
    </row>
    <row r="55" spans="3:107" ht="15.95" customHeight="1" thickBot="1">
      <c r="AH55" s="17"/>
      <c r="AI55" s="18"/>
      <c r="BB55" s="3"/>
      <c r="BC55" s="3"/>
      <c r="BD55" s="664"/>
      <c r="BE55" s="3"/>
      <c r="BF55" s="908"/>
      <c r="BR55" s="852" t="s">
        <v>44</v>
      </c>
      <c r="BS55" s="853"/>
      <c r="BT55" s="853"/>
      <c r="BU55" s="854"/>
      <c r="BV55" s="542"/>
      <c r="BW55" s="543"/>
      <c r="BX55" s="1103">
        <v>1</v>
      </c>
      <c r="BY55" s="543"/>
      <c r="BZ55" s="543"/>
      <c r="CA55" s="1103"/>
      <c r="CB55" s="543"/>
      <c r="CC55" s="154"/>
      <c r="CD55" s="541">
        <f t="shared" ref="CD55" si="47">SUM(BV55:CC56)</f>
        <v>1</v>
      </c>
      <c r="CE55" s="474">
        <f t="shared" ref="CE55" si="48">BV55*44+BW55*44+BX55*34+BY55*34+BZ55*34+CA55*44+CB55*44+CC55*44</f>
        <v>34</v>
      </c>
      <c r="CF55" s="468" t="s">
        <v>428</v>
      </c>
      <c r="CG55" s="469"/>
      <c r="CH55" s="470"/>
      <c r="CI55" s="474"/>
      <c r="CJ55" s="474">
        <v>33</v>
      </c>
      <c r="CK55" s="1096" t="s">
        <v>286</v>
      </c>
      <c r="CL55" s="1097"/>
      <c r="CM55" s="464">
        <v>45133</v>
      </c>
      <c r="CR55" s="8"/>
      <c r="CW55" s="21"/>
      <c r="CX55" s="21"/>
      <c r="DB55" s="22"/>
      <c r="DC55" s="22"/>
    </row>
    <row r="56" spans="3:107" ht="15.95" customHeight="1" thickBot="1">
      <c r="AH56" s="17"/>
      <c r="AI56" s="18"/>
      <c r="BB56" s="3"/>
      <c r="BC56" s="3"/>
      <c r="BD56" s="3"/>
      <c r="BE56" s="3"/>
      <c r="BF56" s="3"/>
      <c r="BR56" s="855"/>
      <c r="BS56" s="856"/>
      <c r="BT56" s="856"/>
      <c r="BU56" s="857"/>
      <c r="BV56" s="831"/>
      <c r="BW56" s="832"/>
      <c r="BX56" s="1103"/>
      <c r="BY56" s="543"/>
      <c r="BZ56" s="543"/>
      <c r="CA56" s="1103"/>
      <c r="CB56" s="543"/>
      <c r="CC56" s="154"/>
      <c r="CD56" s="833"/>
      <c r="CE56" s="475"/>
      <c r="CF56" s="471"/>
      <c r="CG56" s="472"/>
      <c r="CH56" s="473"/>
      <c r="CI56" s="475"/>
      <c r="CJ56" s="475"/>
      <c r="CK56" s="1098"/>
      <c r="CL56" s="1099"/>
      <c r="CM56" s="465"/>
      <c r="CY56" s="21"/>
      <c r="CZ56" s="21"/>
      <c r="DB56" s="22"/>
      <c r="DC56" s="22"/>
    </row>
    <row r="57" spans="3:107" ht="15.95" customHeight="1" thickBot="1">
      <c r="D57" s="10"/>
      <c r="E57" s="10"/>
      <c r="F57" s="10"/>
      <c r="G57" s="17"/>
      <c r="H57" s="18"/>
      <c r="I57" s="5"/>
      <c r="J57" s="5"/>
      <c r="K57" s="5"/>
      <c r="L57" s="17"/>
      <c r="M57" s="18"/>
      <c r="O57" s="10"/>
      <c r="P57" s="10"/>
      <c r="Q57" s="10"/>
      <c r="R57" s="17"/>
      <c r="S57" s="18"/>
      <c r="T57" s="5"/>
      <c r="U57" s="5"/>
      <c r="V57" s="5"/>
      <c r="W57" s="17"/>
      <c r="X57" s="18"/>
      <c r="Z57" s="10"/>
      <c r="AA57" s="10"/>
      <c r="AB57" s="10"/>
      <c r="AC57" s="17"/>
      <c r="AD57" s="18"/>
      <c r="AE57" s="5"/>
      <c r="AF57" s="5"/>
      <c r="AG57" s="5"/>
      <c r="AH57" s="17"/>
      <c r="AI57" s="18"/>
      <c r="BB57" s="3"/>
      <c r="BC57" s="3"/>
      <c r="BD57" s="3"/>
      <c r="BE57" s="3"/>
      <c r="BF57" s="3"/>
      <c r="BR57" s="852" t="s">
        <v>42</v>
      </c>
      <c r="BS57" s="853"/>
      <c r="BT57" s="853"/>
      <c r="BU57" s="854"/>
      <c r="BV57" s="539"/>
      <c r="BW57" s="540"/>
      <c r="BX57" s="539">
        <v>1</v>
      </c>
      <c r="BY57" s="540"/>
      <c r="BZ57" s="540"/>
      <c r="CA57" s="1043">
        <v>1</v>
      </c>
      <c r="CB57" s="540"/>
      <c r="CC57" s="153"/>
      <c r="CD57" s="541">
        <f t="shared" ref="CD57" si="49">SUM(BV57:CC58)</f>
        <v>2</v>
      </c>
      <c r="CE57" s="474">
        <f t="shared" ref="CE57" si="50">BV57*44+BW57*44+BX57*34+BY57*34+BZ57*34+CA57*44+CB57*44+CC57*44</f>
        <v>78</v>
      </c>
      <c r="CF57" s="468" t="s">
        <v>351</v>
      </c>
      <c r="CG57" s="469"/>
      <c r="CH57" s="470"/>
      <c r="CI57" s="474"/>
      <c r="CJ57" s="474">
        <v>78</v>
      </c>
      <c r="CK57" s="1096" t="s">
        <v>286</v>
      </c>
      <c r="CL57" s="1097"/>
      <c r="CM57" s="464">
        <v>45240</v>
      </c>
    </row>
    <row r="58" spans="3:107" ht="15.95" customHeight="1" thickBot="1">
      <c r="AL58" s="705" t="s">
        <v>328</v>
      </c>
      <c r="AM58" s="706"/>
      <c r="AN58" s="706"/>
      <c r="AO58" s="707"/>
      <c r="AX58" s="492"/>
      <c r="AY58" s="493"/>
      <c r="AZ58" s="493"/>
      <c r="BA58" s="494"/>
      <c r="BB58" s="3"/>
      <c r="BC58" s="3"/>
      <c r="BD58" s="3"/>
      <c r="BE58" s="3"/>
      <c r="BF58" s="3"/>
      <c r="BN58" t="s">
        <v>451</v>
      </c>
      <c r="BR58" s="855"/>
      <c r="BS58" s="856"/>
      <c r="BT58" s="856"/>
      <c r="BU58" s="857"/>
      <c r="BV58" s="831"/>
      <c r="BW58" s="832"/>
      <c r="BX58" s="831"/>
      <c r="BY58" s="832"/>
      <c r="BZ58" s="832"/>
      <c r="CA58" s="1044"/>
      <c r="CB58" s="832"/>
      <c r="CC58" s="156"/>
      <c r="CD58" s="833"/>
      <c r="CE58" s="475"/>
      <c r="CF58" s="471"/>
      <c r="CG58" s="472"/>
      <c r="CH58" s="473"/>
      <c r="CI58" s="475"/>
      <c r="CJ58" s="475"/>
      <c r="CK58" s="1098"/>
      <c r="CL58" s="1099"/>
      <c r="CM58" s="465"/>
      <c r="CQ58" s="20"/>
      <c r="CR58" s="20"/>
      <c r="CS58" s="20"/>
      <c r="CT58" s="20"/>
      <c r="CU58" s="20"/>
      <c r="CV58" s="20"/>
      <c r="CW58" s="20"/>
      <c r="CX58" s="20"/>
      <c r="CY58" s="20"/>
      <c r="CZ58" s="20"/>
    </row>
    <row r="59" spans="3:107" ht="15.95" customHeight="1" thickBot="1">
      <c r="AL59" s="708"/>
      <c r="AM59" s="709"/>
      <c r="AN59" s="709"/>
      <c r="AO59" s="710"/>
      <c r="AX59" s="495"/>
      <c r="AY59" s="496"/>
      <c r="AZ59" s="496"/>
      <c r="BA59" s="497"/>
      <c r="BB59" s="3"/>
      <c r="BC59" s="3"/>
      <c r="BD59" s="3"/>
      <c r="BE59" s="3"/>
      <c r="BF59" s="3"/>
      <c r="BR59" s="852" t="s">
        <v>34</v>
      </c>
      <c r="BS59" s="853"/>
      <c r="BT59" s="853"/>
      <c r="BU59" s="854"/>
      <c r="BV59" s="539"/>
      <c r="BW59" s="540"/>
      <c r="BX59" s="539"/>
      <c r="BY59" s="540">
        <v>1</v>
      </c>
      <c r="BZ59" s="540"/>
      <c r="CA59" s="1043"/>
      <c r="CB59" s="540"/>
      <c r="CC59" s="153"/>
      <c r="CD59" s="541">
        <f t="shared" ref="CD59" si="51">SUM(BV59:CC60)</f>
        <v>1</v>
      </c>
      <c r="CE59" s="474">
        <f t="shared" ref="CE59" si="52">BV59*44+BW59*44+BX59*34+BY59*34+BZ59*34+CA59*44+CB59*44+CC59*44</f>
        <v>34</v>
      </c>
      <c r="CF59" s="468" t="s">
        <v>428</v>
      </c>
      <c r="CG59" s="469"/>
      <c r="CH59" s="470"/>
      <c r="CI59" s="474"/>
      <c r="CJ59" s="474">
        <v>33</v>
      </c>
      <c r="CK59" s="468" t="s">
        <v>286</v>
      </c>
      <c r="CL59" s="470"/>
      <c r="CM59" s="464">
        <v>45244</v>
      </c>
      <c r="CR59" s="8"/>
      <c r="CW59" s="21"/>
      <c r="CX59" s="21"/>
      <c r="DB59" s="22"/>
      <c r="DC59" s="22"/>
    </row>
    <row r="60" spans="3:107" ht="15.95" customHeight="1" thickBot="1">
      <c r="C60" s="573"/>
      <c r="D60" s="574"/>
      <c r="E60" s="574"/>
      <c r="F60" s="574"/>
      <c r="G60" s="523" t="s">
        <v>452</v>
      </c>
      <c r="H60" s="524"/>
      <c r="I60" s="524"/>
      <c r="J60" s="524"/>
      <c r="K60" s="525"/>
      <c r="L60" s="10"/>
      <c r="M60" s="10"/>
      <c r="R60" s="523" t="s">
        <v>453</v>
      </c>
      <c r="S60" s="524"/>
      <c r="T60" s="524"/>
      <c r="U60" s="524"/>
      <c r="V60" s="525"/>
      <c r="W60" s="10"/>
      <c r="X60" s="10"/>
      <c r="AC60" s="523" t="s">
        <v>454</v>
      </c>
      <c r="AD60" s="524"/>
      <c r="AE60" s="524"/>
      <c r="AF60" s="524"/>
      <c r="AG60" s="525"/>
      <c r="AH60" s="17"/>
      <c r="AI60" s="18"/>
      <c r="AL60" s="708"/>
      <c r="AM60" s="709"/>
      <c r="AN60" s="709"/>
      <c r="AO60" s="710"/>
      <c r="AP60" s="484" t="s">
        <v>329</v>
      </c>
      <c r="AQ60" s="484" t="s">
        <v>330</v>
      </c>
      <c r="AR60" s="484" t="s">
        <v>390</v>
      </c>
      <c r="AS60" s="484" t="s">
        <v>332</v>
      </c>
      <c r="AX60" s="495"/>
      <c r="AY60" s="496"/>
      <c r="AZ60" s="496"/>
      <c r="BA60" s="497"/>
      <c r="BB60" s="484" t="s">
        <v>293</v>
      </c>
      <c r="BC60" s="484" t="s">
        <v>16</v>
      </c>
      <c r="BD60" s="484" t="s">
        <v>13</v>
      </c>
      <c r="BE60" s="484" t="s">
        <v>118</v>
      </c>
      <c r="BF60" s="484" t="s">
        <v>275</v>
      </c>
      <c r="BG60" s="484" t="s">
        <v>277</v>
      </c>
      <c r="BI60" s="13"/>
      <c r="BJ60" s="13"/>
      <c r="BK60" s="13"/>
      <c r="BL60" s="13"/>
      <c r="BM60" s="13"/>
      <c r="BN60" s="14"/>
      <c r="BO60" s="1"/>
      <c r="BR60" s="855"/>
      <c r="BS60" s="856"/>
      <c r="BT60" s="856"/>
      <c r="BU60" s="857"/>
      <c r="BV60" s="831"/>
      <c r="BW60" s="832"/>
      <c r="BX60" s="831"/>
      <c r="BY60" s="832"/>
      <c r="BZ60" s="832"/>
      <c r="CA60" s="1044"/>
      <c r="CB60" s="832"/>
      <c r="CC60" s="156"/>
      <c r="CD60" s="833"/>
      <c r="CE60" s="475"/>
      <c r="CF60" s="471"/>
      <c r="CG60" s="472"/>
      <c r="CH60" s="473"/>
      <c r="CI60" s="475"/>
      <c r="CJ60" s="475"/>
      <c r="CK60" s="471"/>
      <c r="CL60" s="473"/>
      <c r="CM60" s="465"/>
      <c r="CY60" s="21"/>
      <c r="CZ60" s="21"/>
      <c r="DB60" s="22"/>
      <c r="DC60" s="22"/>
    </row>
    <row r="61" spans="3:107" ht="15.95" customHeight="1" thickBot="1">
      <c r="C61" s="576"/>
      <c r="D61" s="577"/>
      <c r="E61" s="577"/>
      <c r="F61" s="577"/>
      <c r="G61" s="526"/>
      <c r="H61" s="527"/>
      <c r="I61" s="527"/>
      <c r="J61" s="527"/>
      <c r="K61" s="528"/>
      <c r="L61" s="10"/>
      <c r="M61" s="10"/>
      <c r="R61" s="526"/>
      <c r="S61" s="527"/>
      <c r="T61" s="527"/>
      <c r="U61" s="527"/>
      <c r="V61" s="528"/>
      <c r="W61" s="10"/>
      <c r="X61" s="10"/>
      <c r="AC61" s="1068"/>
      <c r="AD61" s="1069"/>
      <c r="AE61" s="1069"/>
      <c r="AF61" s="1069"/>
      <c r="AG61" s="1070"/>
      <c r="AH61" s="17"/>
      <c r="AI61" s="18"/>
      <c r="AL61" s="711"/>
      <c r="AM61" s="712"/>
      <c r="AN61" s="712"/>
      <c r="AO61" s="713"/>
      <c r="AP61" s="485"/>
      <c r="AQ61" s="485"/>
      <c r="AR61" s="485"/>
      <c r="AS61" s="485"/>
      <c r="AX61" s="498"/>
      <c r="AY61" s="499"/>
      <c r="AZ61" s="499"/>
      <c r="BA61" s="500"/>
      <c r="BB61" s="485"/>
      <c r="BC61" s="485"/>
      <c r="BD61" s="485"/>
      <c r="BE61" s="485"/>
      <c r="BF61" s="485"/>
      <c r="BG61" s="485"/>
      <c r="BI61" s="13"/>
      <c r="BJ61" s="13"/>
      <c r="BK61" s="13"/>
      <c r="BL61" s="13"/>
      <c r="BM61" s="13"/>
      <c r="BN61" s="1"/>
      <c r="BO61" s="41"/>
      <c r="BR61" s="852" t="s">
        <v>455</v>
      </c>
      <c r="BS61" s="853"/>
      <c r="BT61" s="853"/>
      <c r="BU61" s="854"/>
      <c r="BV61" s="539"/>
      <c r="BW61" s="540">
        <v>1</v>
      </c>
      <c r="BX61" s="539"/>
      <c r="BY61" s="540"/>
      <c r="BZ61" s="540"/>
      <c r="CA61" s="1043"/>
      <c r="CB61" s="540"/>
      <c r="CC61" s="158"/>
      <c r="CD61" s="541">
        <f t="shared" ref="CD61" si="53">SUM(BV61:CC62)</f>
        <v>1</v>
      </c>
      <c r="CE61" s="474">
        <f t="shared" ref="CE61" si="54">BV61*44+BW61*44+BX61*34+BY61*34+BZ61*34+CA61*44+CB61*44+CC61*44</f>
        <v>44</v>
      </c>
      <c r="CF61" s="468" t="s">
        <v>440</v>
      </c>
      <c r="CG61" s="469"/>
      <c r="CH61" s="470"/>
      <c r="CI61" s="474"/>
      <c r="CJ61" s="474">
        <v>44</v>
      </c>
      <c r="CK61" s="468" t="s">
        <v>286</v>
      </c>
      <c r="CL61" s="470"/>
      <c r="CM61" s="464">
        <v>45260</v>
      </c>
    </row>
    <row r="62" spans="3:107" ht="15.95" customHeight="1" thickBot="1">
      <c r="C62" s="576"/>
      <c r="D62" s="577"/>
      <c r="E62" s="577"/>
      <c r="F62" s="578"/>
      <c r="G62" s="1064" t="s">
        <v>274</v>
      </c>
      <c r="H62" s="484" t="s">
        <v>16</v>
      </c>
      <c r="I62" s="1067" t="s">
        <v>13</v>
      </c>
      <c r="J62" s="1067" t="s">
        <v>275</v>
      </c>
      <c r="K62" s="484" t="s">
        <v>277</v>
      </c>
      <c r="L62" s="5"/>
      <c r="R62" s="1067" t="s">
        <v>274</v>
      </c>
      <c r="S62" s="1067" t="s">
        <v>16</v>
      </c>
      <c r="T62" s="1067" t="s">
        <v>13</v>
      </c>
      <c r="U62" s="1067" t="s">
        <v>118</v>
      </c>
      <c r="V62" s="1067" t="s">
        <v>275</v>
      </c>
      <c r="W62" s="1067" t="s">
        <v>277</v>
      </c>
      <c r="X62" s="5"/>
      <c r="AC62" s="484" t="s">
        <v>274</v>
      </c>
      <c r="AD62" s="484" t="s">
        <v>16</v>
      </c>
      <c r="AE62" s="484" t="s">
        <v>13</v>
      </c>
      <c r="AF62" s="484" t="s">
        <v>275</v>
      </c>
      <c r="AG62" s="484" t="s">
        <v>277</v>
      </c>
      <c r="AH62" s="17"/>
      <c r="AI62" s="18"/>
      <c r="AL62" s="1100"/>
      <c r="AM62" s="547" t="s">
        <v>376</v>
      </c>
      <c r="AN62" s="548"/>
      <c r="AO62" s="548"/>
      <c r="AP62" s="641">
        <v>44</v>
      </c>
      <c r="AQ62" s="650">
        <f>AS46</f>
        <v>34.627647058823527</v>
      </c>
      <c r="AR62" s="650">
        <f>AP62-AQ62</f>
        <v>9.372352941176473</v>
      </c>
      <c r="AS62" s="752">
        <f>(AP62-AQ62)/AQ62</f>
        <v>0.27066098153464596</v>
      </c>
      <c r="AX62" s="1100"/>
      <c r="AY62" s="547" t="s">
        <v>376</v>
      </c>
      <c r="AZ62" s="548"/>
      <c r="BA62" s="548"/>
      <c r="BB62" s="641">
        <f>AP62</f>
        <v>44</v>
      </c>
      <c r="BC62" s="643">
        <f>BC30-BB46</f>
        <v>1</v>
      </c>
      <c r="BD62" s="643">
        <f>BD30-BC46</f>
        <v>4</v>
      </c>
      <c r="BE62" s="643">
        <f>BE30</f>
        <v>0</v>
      </c>
      <c r="BF62" s="643">
        <f>BC62+BD62+BE62</f>
        <v>5</v>
      </c>
      <c r="BG62" s="650">
        <f>BB62*BF62</f>
        <v>220</v>
      </c>
      <c r="BN62" s="1"/>
      <c r="BO62" s="41"/>
      <c r="BR62" s="855"/>
      <c r="BS62" s="856"/>
      <c r="BT62" s="856"/>
      <c r="BU62" s="857"/>
      <c r="BV62" s="831"/>
      <c r="BW62" s="832"/>
      <c r="BX62" s="831"/>
      <c r="BY62" s="832"/>
      <c r="BZ62" s="832"/>
      <c r="CA62" s="1044"/>
      <c r="CB62" s="832"/>
      <c r="CC62" s="159"/>
      <c r="CD62" s="833"/>
      <c r="CE62" s="475"/>
      <c r="CF62" s="471"/>
      <c r="CG62" s="472"/>
      <c r="CH62" s="473"/>
      <c r="CI62" s="475"/>
      <c r="CJ62" s="475"/>
      <c r="CK62" s="471"/>
      <c r="CL62" s="473"/>
      <c r="CM62" s="465"/>
      <c r="CQ62" s="20"/>
      <c r="CR62" s="20"/>
      <c r="CS62" s="20"/>
      <c r="CT62" s="20"/>
      <c r="CU62" s="20"/>
      <c r="CV62" s="20"/>
      <c r="CW62" s="20"/>
      <c r="CX62" s="20"/>
      <c r="CY62" s="20"/>
      <c r="CZ62" s="20"/>
    </row>
    <row r="63" spans="3:107" ht="15.95" customHeight="1" thickBot="1">
      <c r="C63" s="579"/>
      <c r="D63" s="580"/>
      <c r="E63" s="580"/>
      <c r="F63" s="581"/>
      <c r="G63" s="487"/>
      <c r="H63" s="485"/>
      <c r="I63" s="485"/>
      <c r="J63" s="485"/>
      <c r="K63" s="485"/>
      <c r="L63" s="5"/>
      <c r="R63" s="485"/>
      <c r="S63" s="485"/>
      <c r="T63" s="485"/>
      <c r="U63" s="485"/>
      <c r="V63" s="485"/>
      <c r="W63" s="485"/>
      <c r="X63" s="5"/>
      <c r="AC63" s="485"/>
      <c r="AD63" s="485"/>
      <c r="AE63" s="485"/>
      <c r="AF63" s="485"/>
      <c r="AG63" s="485"/>
      <c r="AH63" s="17"/>
      <c r="AI63" s="18"/>
      <c r="AL63" s="1101"/>
      <c r="AM63" s="550"/>
      <c r="AN63" s="551"/>
      <c r="AO63" s="551"/>
      <c r="AP63" s="642"/>
      <c r="AQ63" s="651"/>
      <c r="AR63" s="651"/>
      <c r="AS63" s="753"/>
      <c r="AX63" s="1101"/>
      <c r="AY63" s="550"/>
      <c r="AZ63" s="551"/>
      <c r="BA63" s="551"/>
      <c r="BB63" s="642"/>
      <c r="BC63" s="644"/>
      <c r="BD63" s="644"/>
      <c r="BE63" s="644"/>
      <c r="BF63" s="644"/>
      <c r="BG63" s="651"/>
      <c r="BI63" s="23"/>
      <c r="BJ63" s="23"/>
      <c r="BK63" s="23"/>
      <c r="BL63" s="23"/>
      <c r="BM63" s="23"/>
      <c r="BN63" s="14"/>
      <c r="BO63" s="41"/>
      <c r="BR63" s="852" t="s">
        <v>366</v>
      </c>
      <c r="BS63" s="853"/>
      <c r="BT63" s="853"/>
      <c r="BU63" s="854"/>
      <c r="BV63" s="542"/>
      <c r="BW63" s="543"/>
      <c r="BX63" s="1103"/>
      <c r="BY63" s="543"/>
      <c r="BZ63" s="543">
        <v>1</v>
      </c>
      <c r="CA63" s="1103"/>
      <c r="CB63" s="543"/>
      <c r="CC63" s="1034">
        <v>1</v>
      </c>
      <c r="CD63" s="541">
        <f>SUM(BV63:CC64)</f>
        <v>2</v>
      </c>
      <c r="CE63" s="474">
        <f>BV63*44+BW63*44+BX63*34+BY63*34+BZ63*34+CA63*44+CB63*44+CC63*44</f>
        <v>78</v>
      </c>
      <c r="CF63" s="468" t="s">
        <v>351</v>
      </c>
      <c r="CG63" s="469"/>
      <c r="CH63" s="470"/>
      <c r="CI63" s="474"/>
      <c r="CJ63" s="474">
        <v>78</v>
      </c>
      <c r="CK63" s="468" t="s">
        <v>286</v>
      </c>
      <c r="CL63" s="470"/>
      <c r="CM63" s="464">
        <v>45349</v>
      </c>
      <c r="CR63" s="8"/>
      <c r="CW63" s="21"/>
      <c r="CX63" s="21"/>
      <c r="DB63" s="22"/>
      <c r="DC63" s="22"/>
    </row>
    <row r="64" spans="3:107" ht="15.95" customHeight="1" thickBot="1">
      <c r="C64" s="545"/>
      <c r="D64" s="547" t="s">
        <v>279</v>
      </c>
      <c r="E64" s="548"/>
      <c r="F64" s="549"/>
      <c r="G64" s="555"/>
      <c r="H64" s="649"/>
      <c r="I64" s="557"/>
      <c r="J64" s="557">
        <f>H64+I64</f>
        <v>0</v>
      </c>
      <c r="K64" s="519">
        <f>G64*J64</f>
        <v>0</v>
      </c>
      <c r="L64" s="18"/>
      <c r="N64" s="545"/>
      <c r="O64" s="547" t="s">
        <v>279</v>
      </c>
      <c r="P64" s="548"/>
      <c r="Q64" s="548"/>
      <c r="R64" s="555"/>
      <c r="S64" s="649"/>
      <c r="T64" s="557"/>
      <c r="U64" s="557"/>
      <c r="V64" s="557">
        <f>S64+T64+U64</f>
        <v>0</v>
      </c>
      <c r="W64" s="519">
        <f>R64*V64</f>
        <v>0</v>
      </c>
      <c r="X64" s="16"/>
      <c r="Y64" s="545"/>
      <c r="Z64" s="547" t="s">
        <v>279</v>
      </c>
      <c r="AA64" s="548"/>
      <c r="AB64" s="548"/>
      <c r="AC64" s="555">
        <v>25.9</v>
      </c>
      <c r="AD64" s="649"/>
      <c r="AE64" s="557"/>
      <c r="AF64" s="557">
        <f>AD64+AE64</f>
        <v>0</v>
      </c>
      <c r="AG64" s="519">
        <f>AC64*AF64</f>
        <v>0</v>
      </c>
      <c r="AH64" s="17"/>
      <c r="AI64" s="18"/>
      <c r="AL64" s="1047"/>
      <c r="AM64" s="547" t="s">
        <v>377</v>
      </c>
      <c r="AN64" s="548"/>
      <c r="AO64" s="548"/>
      <c r="AP64" s="755">
        <v>33</v>
      </c>
      <c r="AQ64" s="519">
        <f>AS48</f>
        <v>28.052692307692308</v>
      </c>
      <c r="AR64" s="650">
        <f>AP64-AQ64</f>
        <v>4.9473076923076924</v>
      </c>
      <c r="AS64" s="752">
        <f>(AP64-AQ64)/AQ64</f>
        <v>0.1763576785444973</v>
      </c>
      <c r="AX64" s="1047"/>
      <c r="AY64" s="547" t="s">
        <v>377</v>
      </c>
      <c r="AZ64" s="548"/>
      <c r="BA64" s="548"/>
      <c r="BB64" s="641">
        <f>AP64</f>
        <v>33</v>
      </c>
      <c r="BC64" s="643">
        <f>BC32-BB48</f>
        <v>4</v>
      </c>
      <c r="BD64" s="643">
        <f>BD32-BC48</f>
        <v>16</v>
      </c>
      <c r="BE64" s="643">
        <f>BE32</f>
        <v>4</v>
      </c>
      <c r="BF64" s="643">
        <f t="shared" ref="BF64" si="55">BC64+BD64+BE64</f>
        <v>24</v>
      </c>
      <c r="BG64" s="650">
        <f>BB64*BF64</f>
        <v>792</v>
      </c>
      <c r="BI64" s="23"/>
      <c r="BJ64" s="23"/>
      <c r="BK64" s="23"/>
      <c r="BL64" s="23"/>
      <c r="BM64" s="23"/>
      <c r="BN64" s="1"/>
      <c r="BR64" s="855"/>
      <c r="BS64" s="856"/>
      <c r="BT64" s="856"/>
      <c r="BU64" s="857"/>
      <c r="BV64" s="542"/>
      <c r="BW64" s="543"/>
      <c r="BX64" s="1103"/>
      <c r="BY64" s="543"/>
      <c r="BZ64" s="543"/>
      <c r="CA64" s="1103"/>
      <c r="CB64" s="543"/>
      <c r="CC64" s="1034"/>
      <c r="CD64" s="833"/>
      <c r="CE64" s="475"/>
      <c r="CF64" s="471"/>
      <c r="CG64" s="472"/>
      <c r="CH64" s="473"/>
      <c r="CI64" s="475"/>
      <c r="CJ64" s="475"/>
      <c r="CK64" s="471"/>
      <c r="CL64" s="473"/>
      <c r="CM64" s="465"/>
      <c r="CY64" s="21"/>
      <c r="CZ64" s="21"/>
      <c r="DB64" s="22"/>
      <c r="DC64" s="22"/>
    </row>
    <row r="65" spans="3:107" ht="15.95" customHeight="1" thickBot="1">
      <c r="C65" s="546"/>
      <c r="D65" s="550"/>
      <c r="E65" s="551"/>
      <c r="F65" s="552"/>
      <c r="G65" s="556"/>
      <c r="H65" s="520"/>
      <c r="I65" s="558"/>
      <c r="J65" s="558"/>
      <c r="K65" s="640"/>
      <c r="L65" s="5"/>
      <c r="N65" s="546"/>
      <c r="O65" s="550"/>
      <c r="P65" s="551"/>
      <c r="Q65" s="551"/>
      <c r="R65" s="556"/>
      <c r="S65" s="520"/>
      <c r="T65" s="558"/>
      <c r="U65" s="558"/>
      <c r="V65" s="558"/>
      <c r="W65" s="640"/>
      <c r="X65" s="16"/>
      <c r="Y65" s="546"/>
      <c r="Z65" s="1071"/>
      <c r="AA65" s="1072"/>
      <c r="AB65" s="1072"/>
      <c r="AC65" s="556"/>
      <c r="AD65" s="520"/>
      <c r="AE65" s="558"/>
      <c r="AF65" s="558"/>
      <c r="AG65" s="640"/>
      <c r="AH65" s="17"/>
      <c r="AI65" s="18"/>
      <c r="AL65" s="1048"/>
      <c r="AM65" s="550"/>
      <c r="AN65" s="551"/>
      <c r="AO65" s="551"/>
      <c r="AP65" s="756"/>
      <c r="AQ65" s="640"/>
      <c r="AR65" s="651"/>
      <c r="AS65" s="753"/>
      <c r="AX65" s="1048"/>
      <c r="AY65" s="550"/>
      <c r="AZ65" s="551"/>
      <c r="BA65" s="551"/>
      <c r="BB65" s="642"/>
      <c r="BC65" s="644"/>
      <c r="BD65" s="644"/>
      <c r="BE65" s="644"/>
      <c r="BF65" s="644"/>
      <c r="BG65" s="651"/>
      <c r="BI65" s="23"/>
      <c r="BJ65" s="23"/>
      <c r="BK65" s="23"/>
      <c r="BL65" s="23"/>
      <c r="BM65" s="23"/>
      <c r="BN65" s="14"/>
      <c r="BO65" s="41"/>
      <c r="BR65" s="852" t="s">
        <v>40</v>
      </c>
      <c r="BS65" s="853"/>
      <c r="BT65" s="853"/>
      <c r="BU65" s="854"/>
      <c r="BV65" s="539"/>
      <c r="BW65" s="540"/>
      <c r="BX65" s="539"/>
      <c r="BY65" s="540">
        <v>1</v>
      </c>
      <c r="BZ65" s="540"/>
      <c r="CA65" s="1043"/>
      <c r="CB65" s="540"/>
      <c r="CC65" s="153"/>
      <c r="CD65" s="541">
        <f>SUM(BV65:CC66)</f>
        <v>1</v>
      </c>
      <c r="CE65" s="474">
        <v>24</v>
      </c>
      <c r="CF65" s="468" t="s">
        <v>456</v>
      </c>
      <c r="CG65" s="469"/>
      <c r="CH65" s="470"/>
      <c r="CI65" s="474"/>
      <c r="CJ65" s="998">
        <v>24</v>
      </c>
      <c r="CK65" s="992" t="s">
        <v>286</v>
      </c>
      <c r="CL65" s="993"/>
      <c r="CM65" s="996">
        <v>45385</v>
      </c>
    </row>
    <row r="66" spans="3:107" ht="15.95" customHeight="1" thickBot="1">
      <c r="C66" s="639"/>
      <c r="D66" s="547" t="s">
        <v>376</v>
      </c>
      <c r="E66" s="548"/>
      <c r="F66" s="549"/>
      <c r="G66" s="555"/>
      <c r="H66" s="649"/>
      <c r="I66" s="557"/>
      <c r="J66" s="557">
        <f>H66+I66</f>
        <v>0</v>
      </c>
      <c r="K66" s="519">
        <f>G66*J66</f>
        <v>0</v>
      </c>
      <c r="L66" s="18"/>
      <c r="N66" s="639"/>
      <c r="O66" s="547" t="s">
        <v>376</v>
      </c>
      <c r="P66" s="548"/>
      <c r="Q66" s="548"/>
      <c r="R66" s="555"/>
      <c r="S66" s="649"/>
      <c r="T66" s="557"/>
      <c r="U66" s="557"/>
      <c r="V66" s="557">
        <f t="shared" ref="V66" si="56">S66+T66+U66</f>
        <v>0</v>
      </c>
      <c r="W66" s="519">
        <f>R66*V66</f>
        <v>0</v>
      </c>
      <c r="X66" s="18"/>
      <c r="Y66" s="1100"/>
      <c r="Z66" s="547" t="s">
        <v>376</v>
      </c>
      <c r="AA66" s="548"/>
      <c r="AB66" s="548"/>
      <c r="AC66" s="1122">
        <v>25.9</v>
      </c>
      <c r="AD66" s="1049"/>
      <c r="AE66" s="557"/>
      <c r="AF66" s="557">
        <f>AD66+AE66</f>
        <v>0</v>
      </c>
      <c r="AG66" s="519">
        <f>AC66*AF66</f>
        <v>0</v>
      </c>
      <c r="AH66" s="17"/>
      <c r="AI66" s="18"/>
      <c r="AL66" s="545"/>
      <c r="AM66" s="547" t="s">
        <v>279</v>
      </c>
      <c r="AN66" s="548"/>
      <c r="AO66" s="549"/>
      <c r="AP66" s="755">
        <v>44</v>
      </c>
      <c r="AQ66" s="519">
        <f>AS50</f>
        <v>34.627647058823527</v>
      </c>
      <c r="AR66" s="650">
        <f>AP66-AQ66</f>
        <v>9.372352941176473</v>
      </c>
      <c r="AS66" s="752">
        <f>(AP66-AQ66)/AQ66</f>
        <v>0.27066098153464596</v>
      </c>
      <c r="AX66" s="545"/>
      <c r="AY66" s="547" t="s">
        <v>279</v>
      </c>
      <c r="AZ66" s="548"/>
      <c r="BA66" s="549"/>
      <c r="BB66" s="641">
        <f>AP66</f>
        <v>44</v>
      </c>
      <c r="BC66" s="643">
        <f>BC34-BB50</f>
        <v>8</v>
      </c>
      <c r="BD66" s="643">
        <f>BD34-BC50</f>
        <v>1</v>
      </c>
      <c r="BE66" s="643">
        <f>BE34</f>
        <v>1</v>
      </c>
      <c r="BF66" s="643">
        <f t="shared" ref="BF66" si="57">BC66+BD66+BE66</f>
        <v>10</v>
      </c>
      <c r="BG66" s="650">
        <f>BB66*BF66</f>
        <v>440</v>
      </c>
      <c r="BI66" s="23"/>
      <c r="BJ66" s="23"/>
      <c r="BK66" s="23"/>
      <c r="BL66" s="23"/>
      <c r="BM66" s="23"/>
      <c r="BN66" s="1"/>
      <c r="BO66" s="41"/>
      <c r="BR66" s="893"/>
      <c r="BS66" s="894"/>
      <c r="BT66" s="894"/>
      <c r="BU66" s="895"/>
      <c r="BV66" s="831"/>
      <c r="BW66" s="832"/>
      <c r="BX66" s="831"/>
      <c r="BY66" s="832"/>
      <c r="BZ66" s="832"/>
      <c r="CA66" s="1044"/>
      <c r="CB66" s="832"/>
      <c r="CC66" s="156"/>
      <c r="CD66" s="833"/>
      <c r="CE66" s="475"/>
      <c r="CF66" s="471"/>
      <c r="CG66" s="472"/>
      <c r="CH66" s="473"/>
      <c r="CI66" s="475"/>
      <c r="CJ66" s="999"/>
      <c r="CK66" s="994"/>
      <c r="CL66" s="995"/>
      <c r="CM66" s="997"/>
      <c r="CQ66" s="20"/>
      <c r="CR66" s="20"/>
      <c r="CS66" s="20"/>
      <c r="CT66" s="20"/>
      <c r="CU66" s="20"/>
      <c r="CV66" s="20"/>
      <c r="CW66" s="20"/>
      <c r="CX66" s="20"/>
      <c r="CY66" s="20"/>
      <c r="CZ66" s="20"/>
    </row>
    <row r="67" spans="3:107" ht="15.95" customHeight="1" thickBot="1">
      <c r="C67" s="639"/>
      <c r="D67" s="550"/>
      <c r="E67" s="551"/>
      <c r="F67" s="552"/>
      <c r="G67" s="556"/>
      <c r="H67" s="520"/>
      <c r="I67" s="558"/>
      <c r="J67" s="558"/>
      <c r="K67" s="640"/>
      <c r="L67" s="5"/>
      <c r="N67" s="639"/>
      <c r="O67" s="550"/>
      <c r="P67" s="551"/>
      <c r="Q67" s="551"/>
      <c r="R67" s="556"/>
      <c r="S67" s="520"/>
      <c r="T67" s="558"/>
      <c r="U67" s="558"/>
      <c r="V67" s="558"/>
      <c r="W67" s="640"/>
      <c r="X67" s="18"/>
      <c r="Y67" s="1101"/>
      <c r="Z67" s="550"/>
      <c r="AA67" s="551"/>
      <c r="AB67" s="551"/>
      <c r="AC67" s="1123"/>
      <c r="AD67" s="1050"/>
      <c r="AE67" s="668"/>
      <c r="AF67" s="668"/>
      <c r="AG67" s="669"/>
      <c r="AH67" s="17"/>
      <c r="AI67" s="18"/>
      <c r="AL67" s="546"/>
      <c r="AM67" s="550"/>
      <c r="AN67" s="551"/>
      <c r="AO67" s="552"/>
      <c r="AP67" s="756"/>
      <c r="AQ67" s="640"/>
      <c r="AR67" s="651"/>
      <c r="AS67" s="753"/>
      <c r="AX67" s="546"/>
      <c r="AY67" s="550"/>
      <c r="AZ67" s="551"/>
      <c r="BA67" s="552"/>
      <c r="BB67" s="642"/>
      <c r="BC67" s="644"/>
      <c r="BD67" s="644"/>
      <c r="BE67" s="644"/>
      <c r="BF67" s="644"/>
      <c r="BG67" s="651"/>
      <c r="BI67" s="23"/>
      <c r="BJ67" s="23"/>
      <c r="BK67" s="23"/>
      <c r="BL67" s="23"/>
      <c r="BM67" s="23"/>
      <c r="BN67" s="14"/>
      <c r="BO67" s="1"/>
      <c r="BR67" s="1104" t="s">
        <v>457</v>
      </c>
      <c r="BS67" s="1105"/>
      <c r="BT67" s="1105"/>
      <c r="BU67" s="1106"/>
      <c r="BV67" s="1030"/>
      <c r="BW67" s="1032"/>
      <c r="BX67" s="1110">
        <v>1</v>
      </c>
      <c r="BY67" s="1032"/>
      <c r="BZ67" s="1032"/>
      <c r="CA67" s="1110">
        <v>1</v>
      </c>
      <c r="CB67" s="1032"/>
      <c r="CC67" s="167"/>
      <c r="CD67" s="1140"/>
      <c r="CE67" s="1142">
        <f>BV67*44+BW67*44+BX67*0+BY67*34+BZ67*34+CA67*44+CB67*44+CC67*44</f>
        <v>44</v>
      </c>
      <c r="CF67" s="1144"/>
      <c r="CG67" s="1145"/>
      <c r="CH67" s="1146"/>
      <c r="CI67" s="1142"/>
      <c r="CJ67" s="1142"/>
      <c r="CK67" s="1144"/>
      <c r="CL67" s="1146"/>
      <c r="CM67" s="1041"/>
      <c r="CR67" s="8"/>
      <c r="CW67" s="21"/>
      <c r="CX67" s="21"/>
      <c r="DB67" s="22"/>
      <c r="DC67" s="22"/>
    </row>
    <row r="68" spans="3:107" ht="15.95" customHeight="1" thickBot="1">
      <c r="C68" s="1047"/>
      <c r="D68" s="547" t="s">
        <v>439</v>
      </c>
      <c r="E68" s="548"/>
      <c r="F68" s="548"/>
      <c r="G68" s="555"/>
      <c r="H68" s="649"/>
      <c r="I68" s="557"/>
      <c r="J68" s="557">
        <f>H68+I68</f>
        <v>0</v>
      </c>
      <c r="K68" s="519">
        <f>G68*J68</f>
        <v>0</v>
      </c>
      <c r="L68" s="18"/>
      <c r="N68" s="653"/>
      <c r="O68" s="547" t="s">
        <v>302</v>
      </c>
      <c r="P68" s="548"/>
      <c r="Q68" s="548"/>
      <c r="R68" s="555"/>
      <c r="S68" s="649"/>
      <c r="T68" s="557"/>
      <c r="U68" s="557"/>
      <c r="V68" s="557">
        <f t="shared" ref="V68" si="58">S68+T68+U68</f>
        <v>0</v>
      </c>
      <c r="W68" s="519">
        <f>R68*V68</f>
        <v>0</v>
      </c>
      <c r="X68" s="18"/>
      <c r="Z68" s="10"/>
      <c r="AA68" s="10"/>
      <c r="AB68" s="10"/>
      <c r="AC68" s="5"/>
      <c r="AD68" s="1051">
        <f>SUM(AD64:AD67)</f>
        <v>0</v>
      </c>
      <c r="AE68" s="1051">
        <f t="shared" ref="AE68" si="59">SUM(AE64:AE67)</f>
        <v>0</v>
      </c>
      <c r="AF68" s="1051">
        <f t="shared" ref="AF68" si="60">SUM(AF64:AF67)</f>
        <v>0</v>
      </c>
      <c r="AG68" s="960">
        <f t="shared" ref="AG68" si="61">SUM(AG64:AG67)</f>
        <v>0</v>
      </c>
      <c r="AH68" s="17"/>
      <c r="AI68" s="18"/>
      <c r="AL68" s="880"/>
      <c r="AM68" s="547"/>
      <c r="AN68" s="548"/>
      <c r="AO68" s="549"/>
      <c r="AP68" s="755"/>
      <c r="AQ68" s="519"/>
      <c r="AR68" s="650"/>
      <c r="AS68" s="752"/>
      <c r="AX68" s="880"/>
      <c r="AY68" s="547"/>
      <c r="AZ68" s="548"/>
      <c r="BA68" s="549"/>
      <c r="BB68" s="641">
        <f>AP68</f>
        <v>0</v>
      </c>
      <c r="BC68" s="643">
        <f>BC36-BB52</f>
        <v>0</v>
      </c>
      <c r="BD68" s="643">
        <f>BD36-BC52</f>
        <v>0</v>
      </c>
      <c r="BE68" s="643">
        <f>BE36-BD52</f>
        <v>0</v>
      </c>
      <c r="BF68" s="643">
        <f t="shared" ref="BF68" si="62">BC68+BD68+BE68</f>
        <v>0</v>
      </c>
      <c r="BG68" s="650">
        <f>BB68*BF68</f>
        <v>0</v>
      </c>
      <c r="BI68" s="23"/>
      <c r="BJ68" s="23"/>
      <c r="BK68" s="23"/>
      <c r="BL68" s="23"/>
      <c r="BM68" s="23"/>
      <c r="BN68" s="1"/>
      <c r="BO68" s="1"/>
      <c r="BR68" s="1107"/>
      <c r="BS68" s="1108"/>
      <c r="BT68" s="1108"/>
      <c r="BU68" s="1109"/>
      <c r="BV68" s="1031"/>
      <c r="BW68" s="1033"/>
      <c r="BX68" s="1111"/>
      <c r="BY68" s="1033"/>
      <c r="BZ68" s="1033"/>
      <c r="CA68" s="1111"/>
      <c r="CB68" s="1033"/>
      <c r="CC68" s="168"/>
      <c r="CD68" s="1151"/>
      <c r="CE68" s="1152"/>
      <c r="CF68" s="1153"/>
      <c r="CG68" s="1161"/>
      <c r="CH68" s="1154"/>
      <c r="CI68" s="1152"/>
      <c r="CJ68" s="1152"/>
      <c r="CK68" s="1153"/>
      <c r="CL68" s="1154"/>
      <c r="CM68" s="1042"/>
    </row>
    <row r="69" spans="3:107" ht="15.95" customHeight="1" thickBot="1">
      <c r="C69" s="1048"/>
      <c r="D69" s="550"/>
      <c r="E69" s="551"/>
      <c r="F69" s="551"/>
      <c r="G69" s="556"/>
      <c r="H69" s="520"/>
      <c r="I69" s="558"/>
      <c r="J69" s="558"/>
      <c r="K69" s="640"/>
      <c r="L69" s="5"/>
      <c r="N69" s="653"/>
      <c r="O69" s="550"/>
      <c r="P69" s="551"/>
      <c r="Q69" s="551"/>
      <c r="R69" s="556"/>
      <c r="S69" s="520"/>
      <c r="T69" s="558"/>
      <c r="U69" s="558"/>
      <c r="V69" s="558"/>
      <c r="W69" s="640"/>
      <c r="X69" s="18"/>
      <c r="Z69" s="10"/>
      <c r="AA69" s="10"/>
      <c r="AB69" s="10"/>
      <c r="AC69" s="5"/>
      <c r="AD69" s="697"/>
      <c r="AE69" s="697"/>
      <c r="AF69" s="697"/>
      <c r="AG69" s="663"/>
      <c r="AH69" s="17"/>
      <c r="AI69" s="18"/>
      <c r="AL69" s="881"/>
      <c r="AM69" s="550"/>
      <c r="AN69" s="551"/>
      <c r="AO69" s="552"/>
      <c r="AP69" s="757"/>
      <c r="AQ69" s="669"/>
      <c r="AR69" s="665"/>
      <c r="AS69" s="758"/>
      <c r="AX69" s="881"/>
      <c r="AY69" s="550"/>
      <c r="AZ69" s="551"/>
      <c r="BA69" s="552"/>
      <c r="BB69" s="656"/>
      <c r="BC69" s="664"/>
      <c r="BD69" s="664"/>
      <c r="BE69" s="664"/>
      <c r="BF69" s="644"/>
      <c r="BG69" s="651"/>
      <c r="BI69" s="23"/>
      <c r="BJ69" s="23"/>
      <c r="BK69" s="23"/>
      <c r="BL69" s="23"/>
      <c r="BM69" s="23"/>
      <c r="BN69" s="14"/>
      <c r="BO69" s="1"/>
      <c r="BR69" s="1104" t="s">
        <v>338</v>
      </c>
      <c r="BS69" s="1105"/>
      <c r="BT69" s="1105"/>
      <c r="BU69" s="1106"/>
      <c r="BV69" s="1030"/>
      <c r="BW69" s="1032"/>
      <c r="BX69" s="1150"/>
      <c r="BY69" s="1095">
        <v>1</v>
      </c>
      <c r="BZ69" s="1095"/>
      <c r="CA69" s="1150"/>
      <c r="CB69" s="1095"/>
      <c r="CC69" s="166"/>
      <c r="CD69" s="1140"/>
      <c r="CE69" s="1142">
        <f t="shared" ref="CE69" si="63">BV69*44+BW69*44+BX69*34+BY69*34+BZ69*34+CA69*44+CB69*44+CC69*44</f>
        <v>34</v>
      </c>
      <c r="CF69" s="1144"/>
      <c r="CG69" s="1145"/>
      <c r="CH69" s="1146"/>
      <c r="CI69" s="1142"/>
      <c r="CJ69" s="1142"/>
      <c r="CK69" s="1147"/>
      <c r="CL69" s="1149"/>
      <c r="CM69" s="1041"/>
    </row>
    <row r="70" spans="3:107" ht="15.95" customHeight="1" thickBot="1">
      <c r="C70" s="1065"/>
      <c r="D70" s="547" t="s">
        <v>305</v>
      </c>
      <c r="E70" s="548"/>
      <c r="F70" s="549"/>
      <c r="G70" s="555"/>
      <c r="H70" s="649"/>
      <c r="I70" s="557"/>
      <c r="J70" s="557">
        <f>H70+I70</f>
        <v>0</v>
      </c>
      <c r="K70" s="519">
        <f>G70*J70</f>
        <v>0</v>
      </c>
      <c r="L70" s="18"/>
      <c r="N70" s="658"/>
      <c r="O70" s="547" t="s">
        <v>305</v>
      </c>
      <c r="P70" s="548"/>
      <c r="Q70" s="548"/>
      <c r="R70" s="555"/>
      <c r="S70" s="649"/>
      <c r="T70" s="557"/>
      <c r="U70" s="557"/>
      <c r="V70" s="557">
        <f t="shared" ref="V70" si="64">S70+T70+U70</f>
        <v>0</v>
      </c>
      <c r="W70" s="519">
        <f>R70*V70</f>
        <v>0</v>
      </c>
      <c r="X70" s="18"/>
      <c r="Z70" s="10"/>
      <c r="AA70" s="10"/>
      <c r="AB70" s="10"/>
      <c r="AC70" s="17"/>
      <c r="AD70" s="18"/>
      <c r="AE70" s="5"/>
      <c r="AF70" s="5"/>
      <c r="AG70" s="5"/>
      <c r="AH70" s="17"/>
      <c r="AI70" s="18"/>
      <c r="BB70" s="3"/>
      <c r="BC70" s="3"/>
      <c r="BD70" s="3"/>
      <c r="BF70" s="643">
        <f>SUM(BF62:BF69)</f>
        <v>39</v>
      </c>
      <c r="BG70" s="650">
        <f>SUM(BG62:BG69)</f>
        <v>1452</v>
      </c>
      <c r="BI70" s="23"/>
      <c r="BJ70" s="23"/>
      <c r="BK70" s="23"/>
      <c r="BL70" s="23"/>
      <c r="BM70" s="23"/>
      <c r="BN70" s="1"/>
      <c r="BO70" s="1"/>
      <c r="BR70" s="1107"/>
      <c r="BS70" s="1108"/>
      <c r="BT70" s="1108"/>
      <c r="BU70" s="1109"/>
      <c r="BV70" s="1112"/>
      <c r="BW70" s="1095"/>
      <c r="BX70" s="1150"/>
      <c r="BY70" s="1095"/>
      <c r="BZ70" s="1095"/>
      <c r="CA70" s="1150"/>
      <c r="CB70" s="1095"/>
      <c r="CC70" s="166"/>
      <c r="CD70" s="1141"/>
      <c r="CE70" s="1143"/>
      <c r="CF70" s="1147"/>
      <c r="CG70" s="1148"/>
      <c r="CH70" s="1149"/>
      <c r="CI70" s="1143"/>
      <c r="CJ70" s="1143"/>
      <c r="CK70" s="1147"/>
      <c r="CL70" s="1149"/>
      <c r="CM70" s="1042"/>
    </row>
    <row r="71" spans="3:107" ht="15.95" customHeight="1" thickBot="1">
      <c r="C71" s="1065"/>
      <c r="D71" s="550"/>
      <c r="E71" s="551"/>
      <c r="F71" s="552"/>
      <c r="G71" s="556"/>
      <c r="H71" s="520"/>
      <c r="I71" s="558"/>
      <c r="J71" s="558"/>
      <c r="K71" s="640"/>
      <c r="L71" s="5"/>
      <c r="N71" s="658"/>
      <c r="O71" s="550"/>
      <c r="P71" s="551"/>
      <c r="Q71" s="551"/>
      <c r="R71" s="556"/>
      <c r="S71" s="520"/>
      <c r="T71" s="558"/>
      <c r="U71" s="558"/>
      <c r="V71" s="558"/>
      <c r="W71" s="640"/>
      <c r="X71" s="18"/>
      <c r="Z71" s="10"/>
      <c r="AA71" s="10"/>
      <c r="AB71" s="10"/>
      <c r="AC71" s="17"/>
      <c r="AD71" s="18"/>
      <c r="AE71" s="17"/>
      <c r="AF71" s="5"/>
      <c r="AG71" s="5"/>
      <c r="AH71" s="17"/>
      <c r="AI71" s="18"/>
      <c r="BB71" s="3"/>
      <c r="BC71" s="3"/>
      <c r="BD71" s="3"/>
      <c r="BF71" s="664"/>
      <c r="BG71" s="665"/>
      <c r="BI71" s="23"/>
      <c r="BJ71" s="23"/>
      <c r="BK71" s="23"/>
      <c r="BL71" s="23"/>
      <c r="BM71" s="23"/>
      <c r="BN71" s="14"/>
      <c r="BO71" s="1"/>
      <c r="BR71" s="1104" t="s">
        <v>458</v>
      </c>
      <c r="BS71" s="1105"/>
      <c r="BT71" s="1105"/>
      <c r="BU71" s="1106"/>
      <c r="BV71" s="1030"/>
      <c r="BW71" s="1032">
        <v>1</v>
      </c>
      <c r="BX71" s="1113"/>
      <c r="BY71" s="1045">
        <v>1</v>
      </c>
      <c r="BZ71" s="1045"/>
      <c r="CA71" s="1113"/>
      <c r="CB71" s="1045"/>
      <c r="CC71" s="169"/>
      <c r="CD71" s="1140"/>
      <c r="CE71" s="1142">
        <f>BV71*44+BW71*44+BX71*34+BY71*34+BZ71*34+CA71*44+CB71*44+CC71*44</f>
        <v>78</v>
      </c>
      <c r="CF71" s="1144"/>
      <c r="CG71" s="1145"/>
      <c r="CH71" s="1146"/>
      <c r="CI71" s="1142"/>
      <c r="CJ71" s="1142"/>
      <c r="CK71" s="1144"/>
      <c r="CL71" s="1146"/>
      <c r="CM71" s="1041"/>
    </row>
    <row r="72" spans="3:107" ht="15.95" customHeight="1" thickBot="1">
      <c r="C72" s="1066"/>
      <c r="D72" s="547" t="s">
        <v>441</v>
      </c>
      <c r="E72" s="548"/>
      <c r="F72" s="549"/>
      <c r="G72" s="555"/>
      <c r="H72" s="649"/>
      <c r="I72" s="557"/>
      <c r="J72" s="557">
        <f>H72+I72</f>
        <v>0</v>
      </c>
      <c r="K72" s="519">
        <f>G72*J72</f>
        <v>0</v>
      </c>
      <c r="L72" s="18"/>
      <c r="N72" s="659"/>
      <c r="O72" s="547" t="s">
        <v>306</v>
      </c>
      <c r="P72" s="548"/>
      <c r="Q72" s="548"/>
      <c r="R72" s="555"/>
      <c r="S72" s="649"/>
      <c r="T72" s="557"/>
      <c r="U72" s="557"/>
      <c r="V72" s="557">
        <f t="shared" ref="V72" si="65">S72+T72+U72</f>
        <v>0</v>
      </c>
      <c r="W72" s="519">
        <f>R72*V72</f>
        <v>0</v>
      </c>
      <c r="X72" s="18"/>
      <c r="Z72" s="10"/>
      <c r="AA72" s="10"/>
      <c r="AB72" s="10"/>
      <c r="AC72" s="5"/>
      <c r="AD72" s="5"/>
      <c r="AE72" s="46"/>
      <c r="AF72" s="18"/>
      <c r="AH72" s="17"/>
      <c r="AI72" s="18"/>
      <c r="BD72" s="3"/>
      <c r="BE72" s="3"/>
      <c r="BF72" s="3"/>
      <c r="BI72" s="23"/>
      <c r="BJ72" s="23"/>
      <c r="BK72" s="23"/>
      <c r="BL72" s="23"/>
      <c r="BM72" s="23"/>
      <c r="BN72" s="1"/>
      <c r="BO72" s="1"/>
      <c r="BR72" s="1107"/>
      <c r="BS72" s="1108"/>
      <c r="BT72" s="1108"/>
      <c r="BU72" s="1109"/>
      <c r="BV72" s="1031"/>
      <c r="BW72" s="1033"/>
      <c r="BX72" s="1114"/>
      <c r="BY72" s="1046"/>
      <c r="BZ72" s="1046"/>
      <c r="CA72" s="1114"/>
      <c r="CB72" s="1046"/>
      <c r="CC72" s="170"/>
      <c r="CD72" s="1151"/>
      <c r="CE72" s="1152"/>
      <c r="CF72" s="1153"/>
      <c r="CG72" s="1161"/>
      <c r="CH72" s="1154"/>
      <c r="CI72" s="1152"/>
      <c r="CJ72" s="1152"/>
      <c r="CK72" s="1153"/>
      <c r="CL72" s="1154"/>
      <c r="CM72" s="1042"/>
    </row>
    <row r="73" spans="3:107" ht="15.95" customHeight="1" thickBot="1">
      <c r="C73" s="1066"/>
      <c r="D73" s="550"/>
      <c r="E73" s="551"/>
      <c r="F73" s="552"/>
      <c r="G73" s="556"/>
      <c r="H73" s="520"/>
      <c r="I73" s="558"/>
      <c r="J73" s="558"/>
      <c r="K73" s="640"/>
      <c r="L73" s="5"/>
      <c r="N73" s="659"/>
      <c r="O73" s="550"/>
      <c r="P73" s="551"/>
      <c r="Q73" s="551"/>
      <c r="R73" s="556"/>
      <c r="S73" s="520"/>
      <c r="T73" s="558"/>
      <c r="U73" s="558"/>
      <c r="V73" s="558"/>
      <c r="W73" s="640"/>
      <c r="X73" s="18"/>
      <c r="Z73" s="10"/>
      <c r="AA73" s="10"/>
      <c r="AB73" s="10"/>
      <c r="AC73" s="5"/>
      <c r="AD73" s="5"/>
      <c r="AE73" s="26"/>
      <c r="AF73" s="18"/>
      <c r="AH73" s="17"/>
      <c r="AI73" s="18"/>
      <c r="BI73" s="23"/>
      <c r="BJ73" s="23"/>
      <c r="BK73" s="23"/>
      <c r="BL73" s="23"/>
      <c r="BM73" s="23"/>
      <c r="BN73" s="14"/>
      <c r="BO73" s="14"/>
      <c r="BR73" s="1058"/>
      <c r="BS73" s="1059"/>
      <c r="BT73" s="1059"/>
      <c r="BU73" s="1060"/>
      <c r="BV73" s="1118"/>
      <c r="BW73" s="1116"/>
      <c r="BX73" s="1124"/>
      <c r="BY73" s="1035"/>
      <c r="BZ73" s="1035"/>
      <c r="CA73" s="1124"/>
      <c r="CB73" s="1035"/>
      <c r="CC73" s="57"/>
      <c r="CD73" s="1037">
        <f>SUM(BV73:CC74)</f>
        <v>0</v>
      </c>
      <c r="CE73" s="1039">
        <f>BV73*44+BW73*44+BX73*34+BY73*34+BZ73*34+CA73*44+CB73*44+CC73*44</f>
        <v>0</v>
      </c>
      <c r="CF73" s="1052"/>
      <c r="CG73" s="1053"/>
      <c r="CH73" s="1054"/>
      <c r="CI73" s="1039"/>
      <c r="CJ73" s="1039"/>
      <c r="CK73" s="1155"/>
      <c r="CL73" s="1156"/>
      <c r="CM73" s="1159"/>
    </row>
    <row r="74" spans="3:107" ht="15.95" customHeight="1" thickBot="1">
      <c r="C74" s="684"/>
      <c r="D74" s="547" t="s">
        <v>443</v>
      </c>
      <c r="E74" s="548"/>
      <c r="F74" s="549"/>
      <c r="G74" s="555"/>
      <c r="H74" s="649"/>
      <c r="I74" s="557"/>
      <c r="J74" s="557">
        <f>H74+I74</f>
        <v>0</v>
      </c>
      <c r="K74" s="519">
        <f>G74*J74</f>
        <v>0</v>
      </c>
      <c r="L74" s="18"/>
      <c r="N74" s="683"/>
      <c r="O74" s="547" t="s">
        <v>444</v>
      </c>
      <c r="P74" s="548"/>
      <c r="Q74" s="548"/>
      <c r="R74" s="555"/>
      <c r="S74" s="649"/>
      <c r="T74" s="557"/>
      <c r="U74" s="557"/>
      <c r="V74" s="557">
        <f t="shared" ref="V74" si="66">S74+T74+U74</f>
        <v>0</v>
      </c>
      <c r="W74" s="519">
        <f>R74*V74</f>
        <v>0</v>
      </c>
      <c r="X74" s="18"/>
      <c r="Z74" s="10"/>
      <c r="AA74" s="10"/>
      <c r="AB74" s="10"/>
      <c r="AC74" s="5"/>
      <c r="AD74" s="5"/>
      <c r="AE74" s="26"/>
      <c r="AF74" s="18"/>
      <c r="AH74" s="17"/>
      <c r="AI74" s="18"/>
      <c r="AL74" s="52"/>
      <c r="AM74" s="52"/>
      <c r="AN74" s="52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I74" s="23"/>
      <c r="BJ74" s="23"/>
      <c r="BK74" s="59"/>
      <c r="BL74" s="23"/>
      <c r="BM74" s="23"/>
      <c r="BN74" s="14"/>
      <c r="BO74" s="14"/>
      <c r="BR74" s="1061"/>
      <c r="BS74" s="1062"/>
      <c r="BT74" s="1062"/>
      <c r="BU74" s="1063"/>
      <c r="BV74" s="1119"/>
      <c r="BW74" s="1117"/>
      <c r="BX74" s="1125"/>
      <c r="BY74" s="1036"/>
      <c r="BZ74" s="1036"/>
      <c r="CA74" s="1125"/>
      <c r="CB74" s="1036"/>
      <c r="CC74" s="58"/>
      <c r="CD74" s="1038"/>
      <c r="CE74" s="1040"/>
      <c r="CF74" s="1055"/>
      <c r="CG74" s="1056"/>
      <c r="CH74" s="1057"/>
      <c r="CI74" s="1040"/>
      <c r="CJ74" s="1040"/>
      <c r="CK74" s="1157"/>
      <c r="CL74" s="1158"/>
      <c r="CM74" s="1160"/>
      <c r="CQ74" s="20"/>
      <c r="CR74" s="20"/>
      <c r="CS74" s="20"/>
      <c r="CT74" s="20"/>
      <c r="CU74" s="20"/>
      <c r="CV74" s="20"/>
      <c r="CW74" s="20"/>
      <c r="CX74" s="20"/>
      <c r="CY74" s="20"/>
      <c r="CZ74" s="20"/>
    </row>
    <row r="75" spans="3:107" ht="15.95" customHeight="1" thickBot="1">
      <c r="C75" s="685"/>
      <c r="D75" s="550"/>
      <c r="E75" s="551"/>
      <c r="F75" s="552"/>
      <c r="G75" s="956"/>
      <c r="H75" s="520"/>
      <c r="I75" s="558"/>
      <c r="J75" s="558"/>
      <c r="K75" s="640"/>
      <c r="L75" s="5"/>
      <c r="N75" s="683"/>
      <c r="O75" s="550"/>
      <c r="P75" s="551"/>
      <c r="Q75" s="551"/>
      <c r="R75" s="556"/>
      <c r="S75" s="520"/>
      <c r="T75" s="558"/>
      <c r="U75" s="558"/>
      <c r="V75" s="558"/>
      <c r="W75" s="640"/>
      <c r="X75" s="18"/>
      <c r="Z75" s="10"/>
      <c r="AA75" s="10"/>
      <c r="AB75" s="10"/>
      <c r="AC75" s="5"/>
      <c r="AD75" s="5"/>
      <c r="AE75" s="26"/>
      <c r="AF75" s="18"/>
      <c r="AH75" s="17"/>
      <c r="AI75" s="18"/>
      <c r="AL75" s="52"/>
      <c r="AM75" s="52"/>
      <c r="AN75" s="52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I75" s="13"/>
      <c r="BJ75" s="13"/>
      <c r="BK75" s="13"/>
      <c r="BL75" s="13"/>
      <c r="BM75" s="13"/>
      <c r="BN75" s="14"/>
      <c r="BO75" s="1"/>
      <c r="BR75" s="1128"/>
      <c r="BS75" s="1129"/>
      <c r="BT75" s="1129"/>
      <c r="BU75" s="1130"/>
      <c r="BV75" s="936"/>
      <c r="BW75" s="934"/>
      <c r="BX75" s="936"/>
      <c r="BY75" s="934"/>
      <c r="BZ75" s="934"/>
      <c r="CA75" s="1126"/>
      <c r="CB75" s="934"/>
      <c r="CC75" s="60"/>
      <c r="CD75" s="1162">
        <f>SUM(BV75:CC76)</f>
        <v>0</v>
      </c>
      <c r="CE75" s="736">
        <f>BV75*44+BW75*44+BX75*34+BY75*34+BZ75*34+CA75*44+CB75*44+CC75*44</f>
        <v>0</v>
      </c>
      <c r="CF75" s="722"/>
      <c r="CG75" s="734"/>
      <c r="CH75" s="723"/>
      <c r="CI75" s="720"/>
      <c r="CJ75" s="720"/>
      <c r="CK75" s="722"/>
      <c r="CL75" s="723"/>
      <c r="CM75" s="930"/>
      <c r="CR75" s="8"/>
      <c r="CW75" s="21"/>
      <c r="CX75" s="21"/>
      <c r="DB75" s="22"/>
      <c r="DC75" s="22"/>
    </row>
    <row r="76" spans="3:107" ht="15.95" customHeight="1" thickBot="1">
      <c r="D76" s="10"/>
      <c r="E76" s="10"/>
      <c r="F76" s="10"/>
      <c r="G76" s="15"/>
      <c r="H76" s="885">
        <f>SUM(H64:H75)</f>
        <v>0</v>
      </c>
      <c r="I76" s="660">
        <f t="shared" ref="I76" si="67">SUM(I64:I75)</f>
        <v>0</v>
      </c>
      <c r="J76" s="660">
        <f t="shared" ref="J76" si="68">SUM(J64:J75)</f>
        <v>0</v>
      </c>
      <c r="K76" s="662">
        <f>SUM(K64:K75)</f>
        <v>0</v>
      </c>
      <c r="L76" s="29"/>
      <c r="N76" s="638"/>
      <c r="O76" s="547" t="s">
        <v>294</v>
      </c>
      <c r="P76" s="548"/>
      <c r="Q76" s="548"/>
      <c r="R76" s="555"/>
      <c r="S76" s="649"/>
      <c r="T76" s="557"/>
      <c r="U76" s="557"/>
      <c r="V76" s="557">
        <f t="shared" ref="V76" si="69">S76+T76+U76</f>
        <v>0</v>
      </c>
      <c r="W76" s="519">
        <f>R76*V76</f>
        <v>0</v>
      </c>
      <c r="X76" s="18"/>
      <c r="Z76" s="10"/>
      <c r="AA76" s="10"/>
      <c r="AB76" s="10"/>
      <c r="AC76" s="5"/>
      <c r="AD76" s="5"/>
      <c r="AE76" s="17"/>
      <c r="AF76" s="18"/>
      <c r="AH76" s="17"/>
      <c r="AI76" s="18"/>
      <c r="AL76" s="52"/>
      <c r="AM76" s="52"/>
      <c r="AN76" s="52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I76" s="13"/>
      <c r="BJ76" s="13"/>
      <c r="BK76" s="13"/>
      <c r="BL76" s="13"/>
      <c r="BM76" s="13"/>
      <c r="BN76" s="1"/>
      <c r="BO76" s="1"/>
      <c r="BR76" s="1131"/>
      <c r="BS76" s="1132"/>
      <c r="BT76" s="1132"/>
      <c r="BU76" s="1133"/>
      <c r="BV76" s="937"/>
      <c r="BW76" s="935"/>
      <c r="BX76" s="937"/>
      <c r="BY76" s="935"/>
      <c r="BZ76" s="935"/>
      <c r="CA76" s="1127"/>
      <c r="CB76" s="935"/>
      <c r="CC76" s="61"/>
      <c r="CD76" s="1163"/>
      <c r="CE76" s="737"/>
      <c r="CF76" s="724"/>
      <c r="CG76" s="735"/>
      <c r="CH76" s="725"/>
      <c r="CI76" s="721"/>
      <c r="CJ76" s="721"/>
      <c r="CK76" s="724"/>
      <c r="CL76" s="725"/>
      <c r="CM76" s="931"/>
      <c r="CY76" s="21"/>
      <c r="CZ76" s="21"/>
      <c r="DB76" s="22"/>
      <c r="DC76" s="22"/>
    </row>
    <row r="77" spans="3:107" ht="15.95" customHeight="1" thickBot="1">
      <c r="D77" s="10"/>
      <c r="E77" s="10"/>
      <c r="F77" s="10"/>
      <c r="G77" s="15"/>
      <c r="H77" s="697"/>
      <c r="I77" s="661"/>
      <c r="J77" s="661"/>
      <c r="K77" s="663"/>
      <c r="L77" s="27"/>
      <c r="N77" s="638"/>
      <c r="O77" s="550"/>
      <c r="P77" s="551"/>
      <c r="Q77" s="551"/>
      <c r="R77" s="556"/>
      <c r="S77" s="520"/>
      <c r="T77" s="558"/>
      <c r="U77" s="558"/>
      <c r="V77" s="558"/>
      <c r="W77" s="640"/>
      <c r="X77" s="18"/>
      <c r="Z77" s="10"/>
      <c r="AA77" s="10"/>
      <c r="AB77" s="10"/>
      <c r="AC77" s="5"/>
      <c r="AD77" s="5"/>
      <c r="AE77" s="26"/>
      <c r="AF77" s="18"/>
      <c r="AG77" s="6"/>
      <c r="AH77" s="28"/>
      <c r="AI77" s="29"/>
      <c r="AL77" s="37"/>
      <c r="AM77" s="37"/>
      <c r="AN77" s="37"/>
      <c r="AO77" s="53"/>
      <c r="AP77" s="53"/>
      <c r="AQ77" s="53"/>
      <c r="AR77" s="37"/>
      <c r="AS77" s="37"/>
      <c r="AT77" s="37"/>
      <c r="AU77" s="36"/>
      <c r="AV77" s="36"/>
      <c r="AW77" s="36"/>
      <c r="AX77" s="36"/>
      <c r="AY77" s="36"/>
      <c r="AZ77" s="36"/>
      <c r="BA77" s="37"/>
      <c r="BB77" s="37"/>
      <c r="BC77" s="37"/>
      <c r="BN77" s="1"/>
      <c r="BO77" s="1"/>
      <c r="BR77" s="1134" t="s">
        <v>459</v>
      </c>
      <c r="BS77" s="1135"/>
      <c r="BT77" s="1135"/>
      <c r="BU77" s="1136"/>
      <c r="BV77" s="936"/>
      <c r="BW77" s="934">
        <v>1</v>
      </c>
      <c r="BX77" s="936"/>
      <c r="BY77" s="934">
        <v>1</v>
      </c>
      <c r="BZ77" s="934"/>
      <c r="CA77" s="1126">
        <v>1</v>
      </c>
      <c r="CB77" s="934"/>
      <c r="CC77" s="60"/>
      <c r="CD77" s="1162"/>
      <c r="CE77" s="736">
        <v>0</v>
      </c>
      <c r="CF77" s="722"/>
      <c r="CG77" s="734"/>
      <c r="CH77" s="723"/>
      <c r="CI77" s="720"/>
      <c r="CJ77" s="720"/>
      <c r="CK77" s="722"/>
      <c r="CL77" s="723"/>
      <c r="CM77" s="930"/>
    </row>
    <row r="78" spans="3:107" ht="15.95" customHeight="1" thickBot="1">
      <c r="D78" s="10"/>
      <c r="E78" s="10"/>
      <c r="F78" s="10"/>
      <c r="G78" s="15"/>
      <c r="H78" s="16"/>
      <c r="I78" s="5"/>
      <c r="J78" s="5"/>
      <c r="K78" s="5"/>
      <c r="L78" s="17"/>
      <c r="M78" s="18"/>
      <c r="N78" s="1047"/>
      <c r="O78" s="547" t="s">
        <v>377</v>
      </c>
      <c r="P78" s="548"/>
      <c r="Q78" s="548"/>
      <c r="R78" s="555">
        <v>24</v>
      </c>
      <c r="S78" s="649">
        <v>5</v>
      </c>
      <c r="T78" s="557">
        <v>17</v>
      </c>
      <c r="U78" s="557">
        <v>4</v>
      </c>
      <c r="V78" s="557">
        <f>S78+T78+U78</f>
        <v>26</v>
      </c>
      <c r="W78" s="519">
        <f>R78*V78</f>
        <v>624</v>
      </c>
      <c r="X78" s="18"/>
      <c r="Z78" s="10"/>
      <c r="AA78" s="10"/>
      <c r="AB78" s="10"/>
      <c r="AC78" s="5"/>
      <c r="AD78" s="5"/>
      <c r="AE78" s="26"/>
      <c r="AF78" s="18"/>
      <c r="AG78" s="6"/>
      <c r="AH78" s="28"/>
      <c r="AI78" s="29"/>
      <c r="AL78" s="37"/>
      <c r="AM78" s="37"/>
      <c r="AN78" s="37"/>
      <c r="AO78" s="53"/>
      <c r="AP78" s="53"/>
      <c r="AQ78" s="53"/>
      <c r="AR78" s="37"/>
      <c r="AS78" s="37"/>
      <c r="AT78" s="37"/>
      <c r="AU78" s="36"/>
      <c r="AV78" s="36"/>
      <c r="AW78" s="36"/>
      <c r="AX78" s="36"/>
      <c r="AY78" s="36"/>
      <c r="AZ78" s="36"/>
      <c r="BA78" s="37"/>
      <c r="BB78" s="37"/>
      <c r="BC78" s="37"/>
      <c r="BI78" s="13"/>
      <c r="BJ78" s="13"/>
      <c r="BK78" s="13"/>
      <c r="BL78" s="13"/>
      <c r="BM78" s="13"/>
      <c r="BN78" s="14"/>
      <c r="BO78" s="1"/>
      <c r="BR78" s="1137"/>
      <c r="BS78" s="1138"/>
      <c r="BT78" s="1138"/>
      <c r="BU78" s="1139"/>
      <c r="BV78" s="937"/>
      <c r="BW78" s="935"/>
      <c r="BX78" s="937"/>
      <c r="BY78" s="935"/>
      <c r="BZ78" s="935"/>
      <c r="CA78" s="1127"/>
      <c r="CB78" s="935"/>
      <c r="CC78" s="61"/>
      <c r="CD78" s="1163"/>
      <c r="CE78" s="737"/>
      <c r="CF78" s="724"/>
      <c r="CG78" s="735"/>
      <c r="CH78" s="725"/>
      <c r="CI78" s="721"/>
      <c r="CJ78" s="721"/>
      <c r="CK78" s="724"/>
      <c r="CL78" s="725"/>
      <c r="CM78" s="931"/>
      <c r="CQ78" s="20"/>
      <c r="CR78" s="20"/>
      <c r="CS78" s="20"/>
      <c r="CT78" s="20"/>
      <c r="CU78" s="20"/>
      <c r="CV78" s="20"/>
      <c r="CW78" s="20"/>
      <c r="CX78" s="20"/>
      <c r="CY78" s="20"/>
      <c r="CZ78" s="20"/>
    </row>
    <row r="79" spans="3:107" ht="15.95" customHeight="1" thickBot="1">
      <c r="D79" s="10"/>
      <c r="E79" s="10"/>
      <c r="K79" s="5"/>
      <c r="L79" s="17"/>
      <c r="M79" s="5"/>
      <c r="N79" s="1048"/>
      <c r="O79" s="550"/>
      <c r="P79" s="551"/>
      <c r="Q79" s="551"/>
      <c r="R79" s="556"/>
      <c r="S79" s="520"/>
      <c r="T79" s="558"/>
      <c r="U79" s="558"/>
      <c r="V79" s="558"/>
      <c r="W79" s="640"/>
      <c r="X79" s="18"/>
      <c r="Z79" s="10"/>
      <c r="AA79" s="10"/>
      <c r="AB79" s="10"/>
      <c r="AC79" s="5"/>
      <c r="AD79" s="5"/>
      <c r="AE79" s="26"/>
      <c r="AF79" s="18"/>
      <c r="AL79" s="37"/>
      <c r="AM79" s="37"/>
      <c r="AN79" s="37"/>
      <c r="AO79" s="53"/>
      <c r="AP79" s="53"/>
      <c r="AQ79" s="53"/>
      <c r="AR79" s="37"/>
      <c r="AS79" s="37"/>
      <c r="AT79" s="37"/>
      <c r="AU79" s="36"/>
      <c r="AV79" s="36"/>
      <c r="AW79" s="36"/>
      <c r="AX79" s="36"/>
      <c r="AY79" s="36"/>
      <c r="AZ79" s="36"/>
      <c r="BA79" s="37"/>
      <c r="BB79" s="37"/>
      <c r="BC79" s="37"/>
      <c r="BI79" s="13"/>
      <c r="BJ79" s="13"/>
      <c r="BK79" s="13"/>
      <c r="BL79" s="13"/>
      <c r="BM79" s="13"/>
      <c r="BN79" s="1"/>
      <c r="BO79" s="1"/>
      <c r="CR79" s="8"/>
      <c r="CW79" s="21"/>
      <c r="CX79" s="21"/>
      <c r="DB79" s="22"/>
      <c r="DC79" s="22"/>
    </row>
    <row r="80" spans="3:107" ht="15.95" customHeight="1">
      <c r="D80" s="10"/>
      <c r="E80" s="10"/>
      <c r="K80" s="5"/>
      <c r="L80" s="17"/>
      <c r="M80" s="18"/>
      <c r="N80" s="1028"/>
      <c r="O80" s="547" t="s">
        <v>447</v>
      </c>
      <c r="P80" s="548"/>
      <c r="Q80" s="548"/>
      <c r="R80" s="687"/>
      <c r="S80" s="649"/>
      <c r="T80" s="557"/>
      <c r="U80" s="557"/>
      <c r="V80" s="557">
        <f t="shared" ref="V80" si="70">S80+T80+U80</f>
        <v>0</v>
      </c>
      <c r="W80" s="519">
        <f>R80*V80</f>
        <v>0</v>
      </c>
      <c r="X80" s="18"/>
      <c r="Z80" s="10"/>
      <c r="AA80" s="10"/>
      <c r="AB80" s="10"/>
      <c r="AC80" s="5"/>
      <c r="AD80" s="5"/>
      <c r="AE80" s="26"/>
      <c r="AF80" s="18"/>
      <c r="BT80" s="523" t="s">
        <v>136</v>
      </c>
      <c r="BU80" s="525"/>
      <c r="BV80" s="649">
        <f>SUM(BV9:BV78)</f>
        <v>1</v>
      </c>
      <c r="BW80" s="649">
        <f t="shared" ref="BW80:CC80" si="71">SUM(BW9:BW78)</f>
        <v>5</v>
      </c>
      <c r="BX80" s="649">
        <f t="shared" si="71"/>
        <v>5</v>
      </c>
      <c r="BY80" s="649">
        <f t="shared" si="71"/>
        <v>16</v>
      </c>
      <c r="BZ80" s="649">
        <f t="shared" si="71"/>
        <v>4</v>
      </c>
      <c r="CA80" s="649">
        <f t="shared" si="71"/>
        <v>9</v>
      </c>
      <c r="CB80" s="649">
        <f t="shared" si="71"/>
        <v>1</v>
      </c>
      <c r="CC80" s="649">
        <f t="shared" si="71"/>
        <v>1</v>
      </c>
      <c r="CD80" s="763">
        <f>SUM(CD9:CD78)</f>
        <v>34</v>
      </c>
      <c r="CE80" s="762">
        <f>SUM(CE9:CE78)</f>
        <v>1432</v>
      </c>
      <c r="CF80" s="3"/>
      <c r="CG80" s="3"/>
      <c r="CH80" s="3"/>
      <c r="CI80" s="762">
        <f>SUM(CI9:CI78)</f>
        <v>0</v>
      </c>
      <c r="CJ80" s="762">
        <f>SUM(CJ9:CJ78)</f>
        <v>1267</v>
      </c>
      <c r="CK80" s="762">
        <f>SUM(CK9:CK78)</f>
        <v>0</v>
      </c>
      <c r="CL80" s="3"/>
      <c r="CM80" s="3"/>
      <c r="CY80" s="21"/>
      <c r="CZ80" s="21"/>
      <c r="DB80" s="22"/>
      <c r="DC80" s="22"/>
    </row>
    <row r="81" spans="4:107" ht="15.95" customHeight="1" thickBot="1">
      <c r="D81" s="10"/>
      <c r="E81" s="10"/>
      <c r="K81" s="5"/>
      <c r="L81" s="17"/>
      <c r="M81" s="5"/>
      <c r="N81" s="1029"/>
      <c r="O81" s="550"/>
      <c r="P81" s="551"/>
      <c r="Q81" s="551"/>
      <c r="R81" s="688"/>
      <c r="S81" s="520"/>
      <c r="T81" s="558"/>
      <c r="U81" s="558"/>
      <c r="V81" s="558"/>
      <c r="W81" s="640"/>
      <c r="X81" s="18"/>
      <c r="Z81" s="10"/>
      <c r="AA81" s="10"/>
      <c r="AB81" s="10"/>
      <c r="AC81" s="5"/>
      <c r="AD81" s="5"/>
      <c r="AE81" s="26"/>
      <c r="AF81" s="18"/>
      <c r="BT81" s="526"/>
      <c r="BU81" s="528"/>
      <c r="BV81" s="657"/>
      <c r="BW81" s="657"/>
      <c r="BX81" s="657"/>
      <c r="BY81" s="657"/>
      <c r="BZ81" s="657"/>
      <c r="CA81" s="657"/>
      <c r="CB81" s="657"/>
      <c r="CC81" s="657"/>
      <c r="CD81" s="761"/>
      <c r="CE81" s="761"/>
      <c r="CF81" s="3"/>
      <c r="CG81" s="3"/>
      <c r="CH81" s="3"/>
      <c r="CI81" s="761"/>
      <c r="CJ81" s="761"/>
      <c r="CK81" s="761"/>
      <c r="CL81" s="3"/>
      <c r="CM81" s="3"/>
    </row>
    <row r="82" spans="4:107" ht="15.95" customHeight="1">
      <c r="D82" s="10"/>
      <c r="E82" s="10"/>
      <c r="K82" s="5"/>
      <c r="L82" s="17"/>
      <c r="M82" s="18"/>
      <c r="O82" s="10"/>
      <c r="P82" s="10"/>
      <c r="Q82" s="10"/>
      <c r="R82" s="15"/>
      <c r="S82" s="885">
        <f>SUM(S64:S81)</f>
        <v>5</v>
      </c>
      <c r="T82" s="885">
        <f t="shared" ref="T82:U82" si="72">SUM(T64:T81)</f>
        <v>17</v>
      </c>
      <c r="U82" s="885">
        <f t="shared" si="72"/>
        <v>4</v>
      </c>
      <c r="V82" s="885">
        <f>SUM(V64:V81)</f>
        <v>26</v>
      </c>
      <c r="W82" s="662">
        <f>SUM(W64:W81)</f>
        <v>624</v>
      </c>
      <c r="X82" s="29"/>
      <c r="Z82" s="10"/>
      <c r="AA82" s="10"/>
      <c r="AB82" s="10"/>
      <c r="AC82" s="17"/>
      <c r="AD82" s="18"/>
      <c r="AE82" s="5"/>
      <c r="AF82" s="5"/>
      <c r="AG82" s="5"/>
      <c r="BT82" s="523" t="s">
        <v>137</v>
      </c>
      <c r="BU82" s="525"/>
      <c r="BV82" s="649">
        <f t="shared" ref="BV82:CC82" si="73">BV5-BV80</f>
        <v>0</v>
      </c>
      <c r="BW82" s="649">
        <f t="shared" si="73"/>
        <v>-1</v>
      </c>
      <c r="BX82" s="649">
        <f t="shared" si="73"/>
        <v>-1</v>
      </c>
      <c r="BY82" s="649">
        <f t="shared" si="73"/>
        <v>0</v>
      </c>
      <c r="BZ82" s="649">
        <f t="shared" si="73"/>
        <v>0</v>
      </c>
      <c r="CA82" s="649">
        <f t="shared" si="73"/>
        <v>-1</v>
      </c>
      <c r="CB82" s="649">
        <f t="shared" si="73"/>
        <v>0</v>
      </c>
      <c r="CC82" s="649">
        <f t="shared" si="73"/>
        <v>0</v>
      </c>
      <c r="CD82" s="763"/>
      <c r="CE82" s="5"/>
      <c r="CF82" s="3"/>
      <c r="CG82" s="3"/>
      <c r="CH82" s="3"/>
      <c r="CI82" s="3"/>
      <c r="CJ82" s="474">
        <f>CI80+CJ80+CK80</f>
        <v>1267</v>
      </c>
      <c r="CK82" s="3"/>
      <c r="CL82" s="3"/>
      <c r="CM82" s="3"/>
      <c r="CQ82" s="20"/>
      <c r="CR82" s="20"/>
      <c r="CS82" s="20"/>
      <c r="CT82" s="20"/>
      <c r="CU82" s="20"/>
      <c r="CV82" s="20"/>
      <c r="CW82" s="20"/>
      <c r="CX82" s="20"/>
      <c r="CY82" s="20"/>
      <c r="CZ82" s="20"/>
    </row>
    <row r="83" spans="4:107" ht="15.95" customHeight="1" thickBot="1">
      <c r="D83" s="10"/>
      <c r="E83" s="10"/>
      <c r="K83" s="5"/>
      <c r="L83" s="17"/>
      <c r="M83" s="5"/>
      <c r="O83" s="10"/>
      <c r="P83" s="10"/>
      <c r="Q83" s="10"/>
      <c r="R83" s="15"/>
      <c r="S83" s="697"/>
      <c r="T83" s="697"/>
      <c r="U83" s="697"/>
      <c r="V83" s="697"/>
      <c r="W83" s="663"/>
      <c r="X83" s="27"/>
      <c r="Z83" s="10"/>
      <c r="AA83" s="10"/>
      <c r="AB83" s="10"/>
      <c r="AC83" s="5"/>
      <c r="AG83" s="32"/>
      <c r="AL83" s="7"/>
      <c r="AM83" s="7"/>
      <c r="AN83" s="7"/>
      <c r="AO83" s="7"/>
      <c r="AX83" s="19"/>
      <c r="AY83" s="19"/>
      <c r="AZ83" s="19"/>
      <c r="BA83" s="19"/>
      <c r="BT83" s="526"/>
      <c r="BU83" s="528"/>
      <c r="BV83" s="657"/>
      <c r="BW83" s="657"/>
      <c r="BX83" s="657"/>
      <c r="BY83" s="657"/>
      <c r="BZ83" s="657"/>
      <c r="CA83" s="657"/>
      <c r="CB83" s="657"/>
      <c r="CC83" s="657"/>
      <c r="CD83" s="761"/>
      <c r="CE83" s="5"/>
      <c r="CF83" s="3"/>
      <c r="CG83" s="3"/>
      <c r="CH83" s="3"/>
      <c r="CI83" s="3"/>
      <c r="CJ83" s="764"/>
      <c r="CK83" s="3"/>
      <c r="CL83" s="3"/>
      <c r="CM83" s="3"/>
      <c r="CR83" s="8"/>
      <c r="CW83" s="21"/>
      <c r="CX83" s="21"/>
      <c r="DB83" s="22"/>
      <c r="DC83" s="22"/>
    </row>
    <row r="84" spans="4:107" ht="15.95" customHeight="1" thickBot="1">
      <c r="G84" s="5"/>
      <c r="H84" s="5"/>
      <c r="I84" s="5"/>
      <c r="J84" s="5"/>
      <c r="K84" s="5"/>
      <c r="AL84" s="7"/>
      <c r="AM84" s="7"/>
      <c r="AN84" s="7"/>
      <c r="AO84" s="7"/>
      <c r="AX84" s="19"/>
      <c r="AY84" s="19"/>
      <c r="AZ84" s="19"/>
      <c r="BA84" s="19"/>
      <c r="BT84" s="523" t="s">
        <v>460</v>
      </c>
      <c r="BU84" s="525"/>
      <c r="BV84" s="649"/>
      <c r="BW84" s="649"/>
      <c r="BX84" s="649"/>
      <c r="BY84" s="649"/>
      <c r="BZ84" s="649"/>
      <c r="CA84" s="649"/>
      <c r="CB84" s="649"/>
      <c r="CC84" s="649"/>
      <c r="CD84" s="763"/>
      <c r="CE84" s="3"/>
      <c r="CF84" s="3"/>
      <c r="CG84" s="3"/>
      <c r="CH84" s="3"/>
      <c r="CI84" s="3"/>
      <c r="CJ84" s="3"/>
      <c r="CK84" s="3"/>
      <c r="CL84" s="3"/>
      <c r="CM84" s="3"/>
      <c r="CY84" s="21"/>
      <c r="CZ84" s="21"/>
      <c r="DB84" s="22"/>
      <c r="DC84" s="22"/>
    </row>
    <row r="85" spans="4:107" ht="15.95" customHeight="1" thickBot="1">
      <c r="D85" s="47"/>
      <c r="E85" s="47"/>
      <c r="F85" s="47"/>
      <c r="G85" s="16"/>
      <c r="H85" s="5"/>
      <c r="I85" s="5"/>
      <c r="J85" s="5"/>
      <c r="K85" s="18"/>
      <c r="AL85" s="7"/>
      <c r="AM85" s="7"/>
      <c r="AN85" s="7"/>
      <c r="AO85" s="7"/>
      <c r="AP85" s="18"/>
      <c r="AQ85" s="5"/>
      <c r="AR85" s="5"/>
      <c r="AS85" s="39"/>
      <c r="AT85" s="5"/>
      <c r="AX85" s="19"/>
      <c r="AY85" s="19"/>
      <c r="AZ85" s="19"/>
      <c r="BA85" s="19"/>
      <c r="BB85" s="5"/>
      <c r="BC85" s="5"/>
      <c r="BF85" s="5"/>
      <c r="BT85" s="526"/>
      <c r="BU85" s="528"/>
      <c r="BV85" s="657"/>
      <c r="BW85" s="657"/>
      <c r="BX85" s="657"/>
      <c r="BY85" s="657"/>
      <c r="BZ85" s="657"/>
      <c r="CA85" s="657"/>
      <c r="CB85" s="657"/>
      <c r="CC85" s="657"/>
      <c r="CD85" s="761"/>
      <c r="CE85" s="3"/>
      <c r="CF85" s="3"/>
      <c r="CG85" s="533" t="s">
        <v>98</v>
      </c>
      <c r="CH85" s="534"/>
      <c r="CI85" s="534"/>
      <c r="CJ85" s="534"/>
      <c r="CK85" s="535"/>
      <c r="CL85" s="488">
        <f>CJ82</f>
        <v>1267</v>
      </c>
      <c r="CM85" s="489"/>
    </row>
    <row r="86" spans="4:107" ht="15.95" customHeight="1" thickBot="1">
      <c r="D86" s="47"/>
      <c r="E86" s="47"/>
      <c r="F86" s="47"/>
      <c r="G86" s="16"/>
      <c r="H86" s="5"/>
      <c r="I86" s="5"/>
      <c r="J86" s="5"/>
      <c r="K86" s="5"/>
      <c r="AL86" s="7"/>
      <c r="AM86" s="7"/>
      <c r="AN86" s="7"/>
      <c r="AO86" s="7"/>
      <c r="AP86" s="18"/>
      <c r="AQ86" s="5"/>
      <c r="AR86" s="5"/>
      <c r="AS86" s="39"/>
      <c r="AT86" s="5"/>
      <c r="AX86" s="19"/>
      <c r="AY86" s="19"/>
      <c r="AZ86" s="19"/>
      <c r="BA86" s="19"/>
      <c r="BB86" s="5"/>
      <c r="BC86" s="5"/>
      <c r="BF86" s="5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536"/>
      <c r="CH86" s="537"/>
      <c r="CI86" s="537"/>
      <c r="CJ86" s="537"/>
      <c r="CK86" s="538"/>
      <c r="CL86" s="490"/>
      <c r="CM86" s="491"/>
    </row>
    <row r="87" spans="4:107" ht="15.95" customHeight="1" thickBot="1">
      <c r="D87" s="10"/>
      <c r="E87" s="10"/>
      <c r="F87" s="10"/>
      <c r="G87" s="16"/>
      <c r="H87" s="27"/>
      <c r="I87" s="27"/>
      <c r="J87" s="27"/>
      <c r="K87" s="29"/>
      <c r="AM87" s="10"/>
      <c r="AN87" s="10"/>
      <c r="AO87" s="10"/>
      <c r="AP87" s="11"/>
      <c r="AQ87" s="12"/>
      <c r="AR87" s="5"/>
      <c r="AS87" s="18"/>
      <c r="AT87" s="18"/>
      <c r="AY87" s="10"/>
      <c r="AZ87" s="10"/>
      <c r="BA87" s="10"/>
      <c r="BB87" s="11"/>
      <c r="BC87" s="12"/>
      <c r="BF87" s="11"/>
      <c r="BW87" s="3"/>
      <c r="BX87" s="3"/>
      <c r="BY87" s="3"/>
      <c r="BZ87" s="3"/>
      <c r="CA87" s="3"/>
      <c r="CB87" s="3"/>
      <c r="CC87" s="3"/>
      <c r="CD87" s="3"/>
      <c r="CE87" s="3"/>
      <c r="CF87" s="3"/>
      <c r="CL87" s="1"/>
      <c r="CM87" s="1"/>
    </row>
    <row r="88" spans="4:107" ht="15.95" customHeight="1">
      <c r="D88" s="10"/>
      <c r="E88" s="10"/>
      <c r="F88" s="10"/>
      <c r="G88" s="16"/>
      <c r="H88" s="27"/>
      <c r="I88" s="27"/>
      <c r="J88" s="27"/>
      <c r="K88" s="27"/>
      <c r="AM88" s="10"/>
      <c r="AN88" s="10"/>
      <c r="AO88" s="10"/>
      <c r="AP88" s="11"/>
      <c r="AQ88" s="12"/>
      <c r="AR88" s="18"/>
      <c r="AS88" s="18"/>
      <c r="AT88" s="18"/>
      <c r="AY88" s="10"/>
      <c r="AZ88" s="10"/>
      <c r="BA88" s="10"/>
      <c r="BB88" s="11"/>
      <c r="BC88" s="12"/>
      <c r="BF88" s="11"/>
      <c r="BW88" s="3"/>
      <c r="BX88" s="3"/>
      <c r="BY88" s="3"/>
      <c r="BZ88" s="3"/>
      <c r="CA88" s="3"/>
      <c r="CB88" s="3"/>
      <c r="CC88" s="3"/>
      <c r="CD88" s="3"/>
      <c r="CE88" s="45"/>
      <c r="CF88" s="3"/>
      <c r="CG88" s="583" t="s">
        <v>278</v>
      </c>
      <c r="CH88" s="594"/>
      <c r="CI88" s="594"/>
      <c r="CJ88" s="594"/>
      <c r="CK88" s="584"/>
      <c r="CL88" s="427">
        <f>BN6</f>
        <v>1100.24</v>
      </c>
      <c r="CM88" s="428"/>
    </row>
    <row r="89" spans="4:107" ht="15.95" customHeight="1">
      <c r="AM89" s="10"/>
      <c r="AN89" s="10"/>
      <c r="AO89" s="10"/>
      <c r="AP89" s="18"/>
      <c r="AQ89" s="12"/>
      <c r="AR89" s="18"/>
      <c r="AS89" s="18"/>
      <c r="AT89" s="18"/>
      <c r="AY89" s="10"/>
      <c r="AZ89" s="10"/>
      <c r="BA89" s="10"/>
      <c r="BB89" s="11"/>
      <c r="BC89" s="5"/>
      <c r="BF89" s="11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529"/>
      <c r="CH89" s="530"/>
      <c r="CI89" s="530"/>
      <c r="CJ89" s="530"/>
      <c r="CK89" s="531"/>
      <c r="CL89" s="429"/>
      <c r="CM89" s="430"/>
    </row>
    <row r="90" spans="4:107" ht="15.95" customHeight="1">
      <c r="AM90" s="10"/>
      <c r="AN90" s="10"/>
      <c r="AO90" s="10"/>
      <c r="AP90" s="18"/>
      <c r="AQ90" s="12"/>
      <c r="AR90" s="18"/>
      <c r="AS90" s="18"/>
      <c r="AT90" s="18"/>
      <c r="AU90" s="2"/>
      <c r="AY90" s="10"/>
      <c r="AZ90" s="10"/>
      <c r="BA90" s="10"/>
      <c r="BB90" s="11"/>
      <c r="BC90" s="5"/>
      <c r="BF90" s="11"/>
      <c r="CE90" s="6"/>
      <c r="CG90" s="529" t="s">
        <v>141</v>
      </c>
      <c r="CH90" s="530"/>
      <c r="CI90" s="530"/>
      <c r="CJ90" s="530"/>
      <c r="CK90" s="531"/>
      <c r="CL90" s="532">
        <f>BN8</f>
        <v>217.8</v>
      </c>
      <c r="CM90" s="430"/>
    </row>
    <row r="91" spans="4:107" ht="15.95" customHeight="1">
      <c r="AM91" s="10"/>
      <c r="AN91" s="10"/>
      <c r="AO91" s="10"/>
      <c r="AP91" s="18"/>
      <c r="AQ91" s="12"/>
      <c r="AR91" s="18"/>
      <c r="AS91" s="18"/>
      <c r="AT91" s="18"/>
      <c r="AU91" s="2"/>
      <c r="AY91" s="10"/>
      <c r="AZ91" s="10"/>
      <c r="BA91" s="10"/>
      <c r="BB91" s="11"/>
      <c r="BC91" s="5"/>
      <c r="BD91" s="5"/>
      <c r="BE91" s="12"/>
      <c r="BF91" s="11"/>
      <c r="CG91" s="529"/>
      <c r="CH91" s="530"/>
      <c r="CI91" s="530"/>
      <c r="CJ91" s="530"/>
      <c r="CK91" s="531"/>
      <c r="CL91" s="429"/>
      <c r="CM91" s="430"/>
    </row>
    <row r="92" spans="4:107" ht="15.95" customHeight="1" thickBot="1">
      <c r="AM92" s="10"/>
      <c r="AN92" s="10"/>
      <c r="AO92" s="10"/>
      <c r="AP92" s="18"/>
      <c r="AQ92" s="12"/>
      <c r="AR92" s="18"/>
      <c r="AS92" s="18"/>
      <c r="AT92" s="18"/>
      <c r="AU92" s="2"/>
      <c r="AY92" s="10"/>
      <c r="AZ92" s="10"/>
      <c r="BA92" s="10"/>
      <c r="BB92" s="11"/>
      <c r="BC92" s="5"/>
      <c r="BD92" s="5"/>
      <c r="BE92" s="12"/>
      <c r="BF92" s="11"/>
      <c r="CG92" s="529"/>
      <c r="CH92" s="530"/>
      <c r="CI92" s="530"/>
      <c r="CJ92" s="530"/>
      <c r="CK92" s="531"/>
      <c r="CL92" s="532"/>
      <c r="CM92" s="430"/>
    </row>
    <row r="93" spans="4:107" ht="15.95" customHeight="1">
      <c r="AM93" s="10"/>
      <c r="AN93" s="10"/>
      <c r="AO93" s="10"/>
      <c r="AP93" s="18"/>
      <c r="AQ93" s="12"/>
      <c r="AR93" s="18"/>
      <c r="AS93" s="18"/>
      <c r="AT93" s="18"/>
      <c r="AU93" s="2"/>
      <c r="AY93" s="10"/>
      <c r="AZ93" s="10"/>
      <c r="BA93" s="10"/>
      <c r="BB93" s="11"/>
      <c r="BC93" s="5"/>
      <c r="BD93" s="5"/>
      <c r="BE93" s="12"/>
      <c r="BF93" s="11"/>
      <c r="BT93" s="523" t="s">
        <v>136</v>
      </c>
      <c r="BU93" s="525"/>
      <c r="BV93" s="763">
        <f>CD80</f>
        <v>34</v>
      </c>
      <c r="CG93" s="529"/>
      <c r="CH93" s="530"/>
      <c r="CI93" s="530"/>
      <c r="CJ93" s="530"/>
      <c r="CK93" s="531"/>
      <c r="CL93" s="429"/>
      <c r="CM93" s="430"/>
    </row>
    <row r="94" spans="4:107" ht="15.95" customHeight="1" thickBot="1">
      <c r="AM94" s="10"/>
      <c r="AN94" s="10"/>
      <c r="AO94" s="10"/>
      <c r="AP94" s="18"/>
      <c r="AQ94" s="12"/>
      <c r="AR94" s="18"/>
      <c r="AS94" s="18"/>
      <c r="AT94" s="18"/>
      <c r="AY94" s="10"/>
      <c r="AZ94" s="10"/>
      <c r="BA94" s="10"/>
      <c r="BB94" s="11"/>
      <c r="BC94" s="5"/>
      <c r="BD94" s="5"/>
      <c r="BE94" s="12"/>
      <c r="BF94" s="11"/>
      <c r="BT94" s="526"/>
      <c r="BU94" s="528"/>
      <c r="BV94" s="761"/>
      <c r="CG94" s="529"/>
      <c r="CH94" s="530"/>
      <c r="CI94" s="530"/>
      <c r="CJ94" s="530"/>
      <c r="CK94" s="531"/>
      <c r="CL94" s="532"/>
      <c r="CM94" s="430"/>
    </row>
    <row r="95" spans="4:107" ht="15.95" customHeight="1">
      <c r="AP95" s="3"/>
      <c r="AQ95" s="27"/>
      <c r="AR95" s="29"/>
      <c r="AS95" s="44"/>
      <c r="AT95" s="29"/>
      <c r="BB95" s="3"/>
      <c r="BC95" s="3"/>
      <c r="BD95" s="3"/>
      <c r="BE95" s="12"/>
      <c r="BF95" s="11"/>
      <c r="BT95" s="523" t="s">
        <v>137</v>
      </c>
      <c r="BU95" s="525"/>
      <c r="BV95" s="763">
        <f>CD82</f>
        <v>0</v>
      </c>
      <c r="CG95" s="529"/>
      <c r="CH95" s="530"/>
      <c r="CI95" s="530"/>
      <c r="CJ95" s="530"/>
      <c r="CK95" s="531"/>
      <c r="CL95" s="429"/>
      <c r="CM95" s="430"/>
    </row>
    <row r="96" spans="4:107" ht="15.95" customHeight="1" thickBot="1">
      <c r="AP96" s="3"/>
      <c r="AQ96" s="27"/>
      <c r="AR96" s="29"/>
      <c r="AS96" s="44"/>
      <c r="AT96" s="29"/>
      <c r="BB96" s="3"/>
      <c r="BC96" s="3"/>
      <c r="BD96" s="3"/>
      <c r="BE96" s="12"/>
      <c r="BF96" s="11"/>
      <c r="BT96" s="526"/>
      <c r="BU96" s="528"/>
      <c r="BV96" s="761"/>
      <c r="CG96" s="529"/>
      <c r="CH96" s="530"/>
      <c r="CI96" s="530"/>
      <c r="CJ96" s="530"/>
      <c r="CK96" s="531"/>
      <c r="CL96" s="532"/>
      <c r="CM96" s="430"/>
    </row>
    <row r="97" spans="38:91" ht="15.95" customHeight="1">
      <c r="BB97" s="3"/>
      <c r="BC97" s="3"/>
      <c r="BD97" s="3"/>
      <c r="BE97" s="3"/>
      <c r="BF97" s="3"/>
      <c r="CG97" s="529"/>
      <c r="CH97" s="530"/>
      <c r="CI97" s="530"/>
      <c r="CJ97" s="530"/>
      <c r="CK97" s="531"/>
      <c r="CL97" s="429"/>
      <c r="CM97" s="430"/>
    </row>
    <row r="98" spans="38:91" ht="15.95" customHeight="1">
      <c r="BB98" s="3"/>
      <c r="BC98" s="3"/>
      <c r="BD98" s="3"/>
      <c r="BE98" s="3"/>
      <c r="BF98" s="3"/>
      <c r="CG98" s="529"/>
      <c r="CH98" s="530"/>
      <c r="CI98" s="530"/>
      <c r="CJ98" s="530"/>
      <c r="CK98" s="531"/>
      <c r="CL98" s="532"/>
      <c r="CM98" s="600"/>
    </row>
    <row r="99" spans="38:91" ht="15.95" customHeight="1" thickBot="1">
      <c r="AL99" s="7"/>
      <c r="AM99" s="7"/>
      <c r="AN99" s="7"/>
      <c r="AO99" s="7"/>
      <c r="AX99" s="40"/>
      <c r="AY99" s="40"/>
      <c r="AZ99" s="40"/>
      <c r="BA99" s="40"/>
      <c r="BB99" s="3"/>
      <c r="BC99" s="3"/>
      <c r="BD99" s="3"/>
      <c r="BE99" s="3"/>
      <c r="BF99" s="3"/>
      <c r="BP99" s="50"/>
      <c r="BQ99" s="50"/>
      <c r="CG99" s="585"/>
      <c r="CH99" s="595"/>
      <c r="CI99" s="595"/>
      <c r="CJ99" s="595"/>
      <c r="CK99" s="586"/>
      <c r="CL99" s="601"/>
      <c r="CM99" s="602"/>
    </row>
    <row r="100" spans="38:91" ht="15.95" customHeight="1">
      <c r="AL100" s="7"/>
      <c r="AM100" s="7"/>
      <c r="AN100" s="7"/>
      <c r="AO100" s="7"/>
      <c r="AX100" s="40"/>
      <c r="AY100" s="40"/>
      <c r="AZ100" s="40"/>
      <c r="BA100" s="40"/>
      <c r="BB100" s="3"/>
      <c r="BC100" s="3"/>
      <c r="BD100" s="3"/>
      <c r="BE100" s="3"/>
      <c r="BF100" s="3"/>
      <c r="BP100" s="50"/>
      <c r="BQ100" s="50"/>
      <c r="CG100" s="617" t="s">
        <v>145</v>
      </c>
      <c r="CH100" s="618"/>
      <c r="CI100" s="618"/>
      <c r="CJ100" s="618"/>
      <c r="CK100" s="619"/>
      <c r="CL100" s="623">
        <f>SUM(CL88:CM99)</f>
        <v>1318.04</v>
      </c>
      <c r="CM100" s="624"/>
    </row>
    <row r="101" spans="38:91" ht="15.95" customHeight="1" thickBot="1">
      <c r="AL101" s="7"/>
      <c r="AM101" s="7"/>
      <c r="AN101" s="7"/>
      <c r="AO101" s="7"/>
      <c r="AP101" s="5"/>
      <c r="AQ101" s="41"/>
      <c r="AR101" s="5"/>
      <c r="AS101" s="5"/>
      <c r="AX101" s="40"/>
      <c r="AY101" s="40"/>
      <c r="AZ101" s="40"/>
      <c r="BA101" s="40"/>
      <c r="BB101" s="5"/>
      <c r="BC101" s="5"/>
      <c r="BD101" s="5"/>
      <c r="BE101" s="5"/>
      <c r="BF101" s="5"/>
      <c r="BP101" s="50"/>
      <c r="BQ101" s="50"/>
      <c r="CG101" s="620"/>
      <c r="CH101" s="621"/>
      <c r="CI101" s="621"/>
      <c r="CJ101" s="621"/>
      <c r="CK101" s="622"/>
      <c r="CL101" s="625"/>
      <c r="CM101" s="626"/>
    </row>
    <row r="102" spans="38:91" ht="15.95" customHeight="1" thickBot="1">
      <c r="AL102" s="7"/>
      <c r="AM102" s="7"/>
      <c r="AN102" s="7"/>
      <c r="AO102" s="7"/>
      <c r="AP102" s="5"/>
      <c r="AQ102" s="41"/>
      <c r="AR102" s="5"/>
      <c r="AS102" s="5"/>
      <c r="AX102" s="40"/>
      <c r="AY102" s="40"/>
      <c r="AZ102" s="40"/>
      <c r="BA102" s="40"/>
      <c r="BB102" s="5"/>
      <c r="BC102" s="5"/>
      <c r="BD102" s="5"/>
      <c r="BE102" s="5"/>
      <c r="BF102" s="5"/>
      <c r="BP102" s="50"/>
      <c r="BQ102" s="50"/>
      <c r="CL102" s="1"/>
      <c r="CM102" s="1"/>
    </row>
    <row r="103" spans="38:91" ht="15.95" customHeight="1">
      <c r="AM103" s="10"/>
      <c r="AN103" s="10"/>
      <c r="AO103" s="10"/>
      <c r="AP103" s="11"/>
      <c r="AQ103" s="11"/>
      <c r="AR103" s="11"/>
      <c r="AS103" s="11"/>
      <c r="AY103" s="10"/>
      <c r="AZ103" s="10"/>
      <c r="BA103" s="10"/>
      <c r="BB103" s="12"/>
      <c r="BC103" s="12"/>
      <c r="BD103" s="12"/>
      <c r="BE103" s="12"/>
      <c r="BF103" s="12"/>
      <c r="BP103" s="50"/>
      <c r="BQ103" s="50"/>
      <c r="CG103" s="628" t="s">
        <v>295</v>
      </c>
      <c r="CH103" s="629"/>
      <c r="CI103" s="629"/>
      <c r="CJ103" s="629"/>
      <c r="CK103" s="630"/>
      <c r="CL103" s="634">
        <f>CL85-CL100</f>
        <v>-51.039999999999964</v>
      </c>
      <c r="CM103" s="635"/>
    </row>
    <row r="104" spans="38:91" ht="15.95" customHeight="1" thickBot="1">
      <c r="AM104" s="10"/>
      <c r="AN104" s="10"/>
      <c r="AO104" s="10"/>
      <c r="AP104" s="11"/>
      <c r="AQ104" s="11"/>
      <c r="AR104" s="11"/>
      <c r="AS104" s="11"/>
      <c r="AY104" s="10"/>
      <c r="AZ104" s="10"/>
      <c r="BA104" s="10"/>
      <c r="BB104" s="12"/>
      <c r="BC104" s="12"/>
      <c r="BD104" s="12"/>
      <c r="BE104" s="12"/>
      <c r="BF104" s="12"/>
      <c r="BP104" s="50"/>
      <c r="BQ104" s="50"/>
      <c r="CG104" s="631"/>
      <c r="CH104" s="632"/>
      <c r="CI104" s="632"/>
      <c r="CJ104" s="632"/>
      <c r="CK104" s="633"/>
      <c r="CL104" s="636"/>
      <c r="CM104" s="637"/>
    </row>
    <row r="105" spans="38:91" ht="15.95" customHeight="1">
      <c r="AM105" s="10"/>
      <c r="AN105" s="10"/>
      <c r="AO105" s="10"/>
      <c r="AP105" s="18"/>
      <c r="AQ105" s="18"/>
      <c r="AR105" s="11"/>
      <c r="AS105" s="11"/>
      <c r="AY105" s="10"/>
      <c r="AZ105" s="10"/>
      <c r="BA105" s="10"/>
      <c r="BB105" s="5"/>
      <c r="BC105" s="5"/>
      <c r="BD105" s="12"/>
      <c r="BE105" s="11"/>
      <c r="BF105" s="12"/>
      <c r="BP105" s="50"/>
      <c r="BQ105" s="50"/>
    </row>
    <row r="106" spans="38:91" ht="15.95" customHeight="1">
      <c r="AM106" s="10"/>
      <c r="AN106" s="10"/>
      <c r="AO106" s="10"/>
      <c r="AP106" s="18"/>
      <c r="AQ106" s="18"/>
      <c r="AR106" s="11"/>
      <c r="AS106" s="11"/>
      <c r="AY106" s="10"/>
      <c r="AZ106" s="10"/>
      <c r="BA106" s="10"/>
      <c r="BB106" s="5"/>
      <c r="BC106" s="5"/>
      <c r="BD106" s="12"/>
      <c r="BE106" s="12"/>
      <c r="BF106" s="12"/>
      <c r="BP106" s="50"/>
      <c r="BQ106" s="50"/>
    </row>
    <row r="107" spans="38:91" ht="15.95" customHeight="1">
      <c r="AM107" s="10"/>
      <c r="AN107" s="10"/>
      <c r="AO107" s="10"/>
      <c r="AP107" s="18"/>
      <c r="AQ107" s="18"/>
      <c r="AR107" s="18"/>
      <c r="AS107" s="11"/>
      <c r="AY107" s="10"/>
      <c r="AZ107" s="10"/>
      <c r="BA107" s="10"/>
      <c r="BB107" s="5"/>
      <c r="BC107" s="5"/>
      <c r="BD107" s="12"/>
      <c r="BE107" s="11"/>
      <c r="BF107" s="12"/>
      <c r="BP107" s="50"/>
      <c r="BQ107" s="50"/>
    </row>
    <row r="108" spans="38:91" ht="15.95" customHeight="1">
      <c r="AM108" s="10"/>
      <c r="AN108" s="10"/>
      <c r="AO108" s="10"/>
      <c r="AP108" s="18"/>
      <c r="AQ108" s="18"/>
      <c r="AR108" s="18"/>
      <c r="AS108" s="11"/>
      <c r="AY108" s="10"/>
      <c r="AZ108" s="10"/>
      <c r="BA108" s="10"/>
      <c r="BB108" s="5"/>
      <c r="BC108" s="5"/>
      <c r="BD108" s="12"/>
      <c r="BE108" s="12"/>
      <c r="BF108" s="12"/>
      <c r="BP108" s="50"/>
      <c r="BQ108" s="50"/>
    </row>
    <row r="109" spans="38:91" ht="15.95" customHeight="1">
      <c r="AM109" s="10"/>
      <c r="AN109" s="10"/>
      <c r="AO109" s="10"/>
      <c r="AP109" s="18"/>
      <c r="AQ109" s="18"/>
      <c r="AR109" s="18"/>
      <c r="AS109" s="11"/>
      <c r="AY109" s="10"/>
      <c r="AZ109" s="10"/>
      <c r="BA109" s="10"/>
      <c r="BB109" s="5"/>
      <c r="BC109" s="5"/>
      <c r="BD109" s="12"/>
      <c r="BE109" s="11"/>
      <c r="BF109" s="12"/>
      <c r="BP109" s="50"/>
      <c r="BQ109" s="50"/>
    </row>
    <row r="110" spans="38:91" ht="15.95" customHeight="1">
      <c r="AM110" s="10"/>
      <c r="AN110" s="10"/>
      <c r="AO110" s="10"/>
      <c r="AP110" s="18"/>
      <c r="AQ110" s="18"/>
      <c r="AR110" s="18"/>
      <c r="AS110" s="11"/>
      <c r="AY110" s="10"/>
      <c r="AZ110" s="10"/>
      <c r="BA110" s="10"/>
      <c r="BB110" s="5"/>
      <c r="BC110" s="5"/>
      <c r="BD110" s="12"/>
      <c r="BE110" s="12"/>
      <c r="BF110" s="12"/>
      <c r="BP110" s="50"/>
      <c r="BQ110" s="50"/>
    </row>
    <row r="111" spans="38:91" ht="15.95" customHeight="1">
      <c r="BB111" s="3"/>
      <c r="BC111" s="3"/>
      <c r="BD111" s="12"/>
      <c r="BE111" s="3"/>
      <c r="BF111" s="11"/>
      <c r="BP111" s="50"/>
      <c r="BQ111" s="50"/>
    </row>
    <row r="112" spans="38:91" ht="15.95" customHeight="1">
      <c r="BB112" s="3"/>
      <c r="BC112" s="3"/>
      <c r="BD112" s="12"/>
      <c r="BE112" s="3"/>
      <c r="BF112" s="12"/>
      <c r="BP112" s="50"/>
      <c r="BQ112" s="50"/>
    </row>
    <row r="113" spans="38:69" ht="15.95" customHeight="1">
      <c r="BB113" s="3"/>
      <c r="BC113" s="3"/>
      <c r="BD113" s="3"/>
      <c r="BE113" s="3"/>
      <c r="BF113" s="3"/>
      <c r="BP113" s="50"/>
      <c r="BQ113" s="50"/>
    </row>
    <row r="114" spans="38:69" ht="15.95" customHeight="1">
      <c r="BB114" s="3"/>
      <c r="BC114" s="3"/>
      <c r="BD114" s="3"/>
      <c r="BE114" s="3"/>
      <c r="BF114" s="3"/>
      <c r="BP114" s="50"/>
      <c r="BQ114" s="50"/>
    </row>
    <row r="115" spans="38:69" ht="15.95" customHeight="1">
      <c r="AL115" s="42"/>
      <c r="AM115" s="42"/>
      <c r="AN115" s="42"/>
      <c r="AO115" s="42"/>
      <c r="AX115" s="19"/>
      <c r="AY115" s="19"/>
      <c r="AZ115" s="19"/>
      <c r="BA115" s="19"/>
      <c r="BB115" s="3"/>
      <c r="BC115" s="3"/>
      <c r="BD115" s="3"/>
      <c r="BE115" s="3"/>
      <c r="BF115" s="3"/>
      <c r="BP115" s="50"/>
      <c r="BQ115" s="50"/>
    </row>
    <row r="116" spans="38:69" ht="15.95" customHeight="1">
      <c r="AL116" s="42"/>
      <c r="AM116" s="42"/>
      <c r="AN116" s="42"/>
      <c r="AO116" s="42"/>
      <c r="AX116" s="19"/>
      <c r="AY116" s="19"/>
      <c r="AZ116" s="19"/>
      <c r="BA116" s="19"/>
      <c r="BB116" s="3"/>
      <c r="BC116" s="3"/>
      <c r="BD116" s="3"/>
      <c r="BE116" s="3"/>
      <c r="BF116" s="3"/>
      <c r="BP116" s="50"/>
      <c r="BQ116" s="50"/>
    </row>
    <row r="117" spans="38:69" ht="15.95" customHeight="1">
      <c r="AL117" s="42"/>
      <c r="AM117" s="42"/>
      <c r="AN117" s="42"/>
      <c r="AO117" s="42"/>
      <c r="AP117" s="5"/>
      <c r="AQ117" s="5"/>
      <c r="AR117" s="5"/>
      <c r="AS117" s="5"/>
      <c r="AX117" s="19"/>
      <c r="AY117" s="19"/>
      <c r="AZ117" s="19"/>
      <c r="BA117" s="19"/>
      <c r="BB117" s="5"/>
      <c r="BC117" s="5"/>
      <c r="BD117" s="5"/>
      <c r="BE117" s="5"/>
      <c r="BF117" s="5"/>
      <c r="BP117" s="50"/>
      <c r="BQ117" s="50"/>
    </row>
    <row r="118" spans="38:69" ht="15.95" customHeight="1">
      <c r="AL118" s="42"/>
      <c r="AM118" s="42"/>
      <c r="AN118" s="42"/>
      <c r="AO118" s="42"/>
      <c r="AP118" s="5"/>
      <c r="AQ118" s="5"/>
      <c r="AR118" s="5"/>
      <c r="AS118" s="5"/>
      <c r="AX118" s="19"/>
      <c r="AY118" s="19"/>
      <c r="AZ118" s="19"/>
      <c r="BA118" s="19"/>
      <c r="BB118" s="5"/>
      <c r="BC118" s="5"/>
      <c r="BD118" s="5"/>
      <c r="BE118" s="5"/>
      <c r="BF118" s="5"/>
      <c r="BP118" s="50"/>
      <c r="BQ118" s="50"/>
    </row>
    <row r="119" spans="38:69" ht="15.95" customHeight="1">
      <c r="AM119" s="10"/>
      <c r="AN119" s="10"/>
      <c r="AO119" s="10"/>
      <c r="AP119" s="11"/>
      <c r="AQ119" s="11"/>
      <c r="AR119" s="11"/>
      <c r="AS119" s="54"/>
      <c r="AY119" s="10"/>
      <c r="AZ119" s="10"/>
      <c r="BA119" s="10"/>
      <c r="BB119" s="11"/>
      <c r="BC119" s="12"/>
      <c r="BD119" s="12"/>
      <c r="BE119" s="12"/>
      <c r="BF119" s="11"/>
      <c r="BP119" s="50"/>
      <c r="BQ119" s="50"/>
    </row>
    <row r="120" spans="38:69" ht="15.95" customHeight="1">
      <c r="AM120" s="10"/>
      <c r="AN120" s="10"/>
      <c r="AO120" s="10"/>
      <c r="AP120" s="11"/>
      <c r="AQ120" s="11"/>
      <c r="AR120" s="11"/>
      <c r="AS120" s="54"/>
      <c r="AY120" s="10"/>
      <c r="AZ120" s="10"/>
      <c r="BA120" s="10"/>
      <c r="BB120" s="11"/>
      <c r="BC120" s="12"/>
      <c r="BD120" s="12"/>
      <c r="BE120" s="12"/>
      <c r="BF120" s="11"/>
      <c r="BP120" s="50"/>
      <c r="BQ120" s="50"/>
    </row>
    <row r="121" spans="38:69" ht="15.95" customHeight="1">
      <c r="AM121" s="10"/>
      <c r="AN121" s="10"/>
      <c r="AO121" s="10"/>
      <c r="AP121" s="18"/>
      <c r="AQ121" s="18"/>
      <c r="AR121" s="11"/>
      <c r="AS121" s="54"/>
      <c r="AY121" s="10"/>
      <c r="AZ121" s="10"/>
      <c r="BA121" s="10"/>
      <c r="BB121" s="11"/>
      <c r="BC121" s="12"/>
      <c r="BD121" s="12"/>
      <c r="BE121" s="12"/>
      <c r="BF121" s="11"/>
      <c r="BP121" s="50"/>
      <c r="BQ121" s="50"/>
    </row>
    <row r="122" spans="38:69" ht="15.95" customHeight="1">
      <c r="AM122" s="10"/>
      <c r="AN122" s="10"/>
      <c r="AO122" s="10"/>
      <c r="AP122" s="18"/>
      <c r="AQ122" s="18"/>
      <c r="AR122" s="11"/>
      <c r="AS122" s="54"/>
      <c r="AY122" s="10"/>
      <c r="AZ122" s="10"/>
      <c r="BA122" s="10"/>
      <c r="BB122" s="11"/>
      <c r="BC122" s="12"/>
      <c r="BD122" s="12"/>
      <c r="BE122" s="12"/>
      <c r="BF122" s="11"/>
      <c r="BP122" s="50"/>
      <c r="BQ122" s="50"/>
    </row>
    <row r="123" spans="38:69" ht="15.95" customHeight="1">
      <c r="AM123" s="10"/>
      <c r="AN123" s="10"/>
      <c r="AO123" s="10"/>
      <c r="AP123" s="18"/>
      <c r="AQ123" s="18"/>
      <c r="AR123" s="11"/>
      <c r="AS123" s="54"/>
      <c r="AY123" s="10"/>
      <c r="AZ123" s="10"/>
      <c r="BA123" s="10"/>
      <c r="BB123" s="11"/>
      <c r="BC123" s="12"/>
      <c r="BD123" s="12"/>
      <c r="BE123" s="12"/>
      <c r="BF123" s="11"/>
      <c r="BP123" s="50"/>
      <c r="BQ123" s="50"/>
    </row>
    <row r="124" spans="38:69" ht="15.95" customHeight="1">
      <c r="AM124" s="10"/>
      <c r="AN124" s="10"/>
      <c r="AO124" s="10"/>
      <c r="AP124" s="18"/>
      <c r="AQ124" s="18"/>
      <c r="AR124" s="11"/>
      <c r="AS124" s="54"/>
      <c r="AY124" s="10"/>
      <c r="AZ124" s="10"/>
      <c r="BA124" s="10"/>
      <c r="BB124" s="11"/>
      <c r="BC124" s="12"/>
      <c r="BD124" s="12"/>
      <c r="BE124" s="12"/>
      <c r="BF124" s="11"/>
      <c r="BP124" s="50"/>
      <c r="BQ124" s="50"/>
    </row>
    <row r="125" spans="38:69" ht="15.95" customHeight="1">
      <c r="AM125" s="10"/>
      <c r="AN125" s="10"/>
      <c r="AO125" s="10"/>
      <c r="AP125" s="18"/>
      <c r="AQ125" s="18"/>
      <c r="AR125" s="11"/>
      <c r="AS125" s="54"/>
      <c r="AY125" s="10"/>
      <c r="AZ125" s="10"/>
      <c r="BA125" s="10"/>
      <c r="BB125" s="11"/>
      <c r="BC125" s="12"/>
      <c r="BD125" s="12"/>
      <c r="BE125" s="12"/>
      <c r="BF125" s="11"/>
      <c r="BP125" s="50"/>
      <c r="BQ125" s="50"/>
    </row>
    <row r="126" spans="38:69" ht="15.95" customHeight="1">
      <c r="AM126" s="10"/>
      <c r="AN126" s="10"/>
      <c r="AO126" s="10"/>
      <c r="AP126" s="18"/>
      <c r="AQ126" s="18"/>
      <c r="AR126" s="11"/>
      <c r="AS126" s="54"/>
      <c r="AY126" s="10"/>
      <c r="AZ126" s="10"/>
      <c r="BA126" s="10"/>
      <c r="BB126" s="11"/>
      <c r="BC126" s="12"/>
      <c r="BD126" s="12"/>
      <c r="BE126" s="12"/>
      <c r="BF126" s="11"/>
      <c r="BP126" s="50"/>
      <c r="BQ126" s="50"/>
    </row>
    <row r="127" spans="38:69" ht="15.95" customHeight="1">
      <c r="BB127" s="3"/>
      <c r="BC127" s="3"/>
      <c r="BD127" s="3"/>
      <c r="BE127" s="12"/>
      <c r="BF127" s="11"/>
      <c r="BP127" s="50"/>
      <c r="BQ127" s="50"/>
    </row>
    <row r="128" spans="38:69" ht="15.95" customHeight="1">
      <c r="BB128" s="3"/>
      <c r="BC128" s="3"/>
      <c r="BD128" s="3"/>
      <c r="BE128" s="12"/>
      <c r="BF128" s="11"/>
      <c r="BP128" s="50"/>
      <c r="BQ128" s="50"/>
    </row>
    <row r="129" spans="68:69" ht="15.95" customHeight="1">
      <c r="BP129" s="50"/>
      <c r="BQ129" s="50"/>
    </row>
    <row r="130" spans="68:69" ht="15.95" customHeight="1">
      <c r="BP130" s="50"/>
      <c r="BQ130" s="50"/>
    </row>
  </sheetData>
  <mergeCells count="1194">
    <mergeCell ref="CM51:CM52"/>
    <mergeCell ref="CJ11:CJ12"/>
    <mergeCell ref="CK11:CL12"/>
    <mergeCell ref="CM37:CM38"/>
    <mergeCell ref="BX31:BX32"/>
    <mergeCell ref="CK27:CL28"/>
    <mergeCell ref="CM27:CM28"/>
    <mergeCell ref="CE80:CE81"/>
    <mergeCell ref="CE45:CE46"/>
    <mergeCell ref="CF11:CH12"/>
    <mergeCell ref="CA77:CA78"/>
    <mergeCell ref="CB77:CB78"/>
    <mergeCell ref="CB13:CB14"/>
    <mergeCell ref="CD13:CD14"/>
    <mergeCell ref="CE13:CE14"/>
    <mergeCell ref="CI37:CI38"/>
    <mergeCell ref="CJ37:CJ38"/>
    <mergeCell ref="CK37:CL38"/>
    <mergeCell ref="CA53:CA54"/>
    <mergeCell ref="CB53:CB54"/>
    <mergeCell ref="CD53:CD54"/>
    <mergeCell ref="CE53:CE54"/>
    <mergeCell ref="CF53:CH54"/>
    <mergeCell ref="CI53:CI54"/>
    <mergeCell ref="CJ53:CJ54"/>
    <mergeCell ref="CM53:CM54"/>
    <mergeCell ref="CE11:CE12"/>
    <mergeCell ref="CA13:CA14"/>
    <mergeCell ref="CA11:CA12"/>
    <mergeCell ref="CB11:CB12"/>
    <mergeCell ref="CD11:CD12"/>
    <mergeCell ref="CD45:CD46"/>
    <mergeCell ref="BZ11:BZ12"/>
    <mergeCell ref="BX11:BX12"/>
    <mergeCell ref="BY11:BY12"/>
    <mergeCell ref="CA19:CA20"/>
    <mergeCell ref="BX19:BX20"/>
    <mergeCell ref="BY19:BY20"/>
    <mergeCell ref="BX15:BX16"/>
    <mergeCell ref="BY15:BY16"/>
    <mergeCell ref="CK15:CL16"/>
    <mergeCell ref="CK21:CL22"/>
    <mergeCell ref="BX21:BX22"/>
    <mergeCell ref="BY21:BY22"/>
    <mergeCell ref="BZ21:BZ22"/>
    <mergeCell ref="CB21:CB22"/>
    <mergeCell ref="CK17:CL18"/>
    <mergeCell ref="BX17:BX18"/>
    <mergeCell ref="CD25:CD26"/>
    <mergeCell ref="CF25:CH26"/>
    <mergeCell ref="CK25:CL26"/>
    <mergeCell ref="CJ21:CJ22"/>
    <mergeCell ref="CF15:CH16"/>
    <mergeCell ref="CA15:CA16"/>
    <mergeCell ref="CB15:CB16"/>
    <mergeCell ref="CD15:CD16"/>
    <mergeCell ref="CA21:CA22"/>
    <mergeCell ref="CD21:CD22"/>
    <mergeCell ref="CE21:CE22"/>
    <mergeCell ref="CF21:CH22"/>
    <mergeCell ref="CI21:CI22"/>
    <mergeCell ref="CB23:CB24"/>
    <mergeCell ref="CI25:CI26"/>
    <mergeCell ref="CJ25:CJ26"/>
    <mergeCell ref="U80:U81"/>
    <mergeCell ref="U82:U83"/>
    <mergeCell ref="AL10:AN12"/>
    <mergeCell ref="AO10:AQ12"/>
    <mergeCell ref="AR10:AT12"/>
    <mergeCell ref="AU10:AW12"/>
    <mergeCell ref="AX10:AZ12"/>
    <mergeCell ref="BA10:BC12"/>
    <mergeCell ref="AL13:AN15"/>
    <mergeCell ref="AO13:AQ15"/>
    <mergeCell ref="AR13:AT15"/>
    <mergeCell ref="AU13:AW15"/>
    <mergeCell ref="AX13:AZ15"/>
    <mergeCell ref="BA13:BC15"/>
    <mergeCell ref="AL17:AN19"/>
    <mergeCell ref="AO17:AQ19"/>
    <mergeCell ref="AR17:AT19"/>
    <mergeCell ref="AU17:AW19"/>
    <mergeCell ref="AP44:AP45"/>
    <mergeCell ref="AQ44:AQ45"/>
    <mergeCell ref="AM36:AO37"/>
    <mergeCell ref="AP36:AP37"/>
    <mergeCell ref="AQ36:AQ37"/>
    <mergeCell ref="AP28:AP29"/>
    <mergeCell ref="AH11:AH12"/>
    <mergeCell ref="AU20:AW22"/>
    <mergeCell ref="AX20:AZ22"/>
    <mergeCell ref="BA20:BC22"/>
    <mergeCell ref="V78:V79"/>
    <mergeCell ref="W78:W79"/>
    <mergeCell ref="AR66:AR67"/>
    <mergeCell ref="W74:W75"/>
    <mergeCell ref="BR13:BU14"/>
    <mergeCell ref="BV13:BV14"/>
    <mergeCell ref="BW13:BW14"/>
    <mergeCell ref="BX13:BX14"/>
    <mergeCell ref="BY13:BY14"/>
    <mergeCell ref="BZ13:BZ14"/>
    <mergeCell ref="BX59:BX60"/>
    <mergeCell ref="BY59:BY60"/>
    <mergeCell ref="U74:U75"/>
    <mergeCell ref="U76:U77"/>
    <mergeCell ref="BX43:BX44"/>
    <mergeCell ref="BY43:BY44"/>
    <mergeCell ref="BZ43:BZ44"/>
    <mergeCell ref="BZ59:BZ60"/>
    <mergeCell ref="BW53:BW54"/>
    <mergeCell ref="BX53:BX54"/>
    <mergeCell ref="BY53:BY54"/>
    <mergeCell ref="BZ53:BZ54"/>
    <mergeCell ref="BW45:BW46"/>
    <mergeCell ref="BV45:BV46"/>
    <mergeCell ref="BR45:BU46"/>
    <mergeCell ref="BR53:BU54"/>
    <mergeCell ref="BV53:BV54"/>
    <mergeCell ref="AX17:AZ19"/>
    <mergeCell ref="BA17:BC19"/>
    <mergeCell ref="AL20:AN22"/>
    <mergeCell ref="AO20:AQ22"/>
    <mergeCell ref="AR20:AT22"/>
    <mergeCell ref="AE66:AE67"/>
    <mergeCell ref="AF66:AF67"/>
    <mergeCell ref="BX45:BX46"/>
    <mergeCell ref="V74:V75"/>
    <mergeCell ref="CM77:CM78"/>
    <mergeCell ref="CD77:CD78"/>
    <mergeCell ref="BX3:BZ4"/>
    <mergeCell ref="AF5:AF6"/>
    <mergeCell ref="AF7:AF8"/>
    <mergeCell ref="AF9:AF10"/>
    <mergeCell ref="AF11:AF12"/>
    <mergeCell ref="U62:U63"/>
    <mergeCell ref="U64:U65"/>
    <mergeCell ref="U66:U67"/>
    <mergeCell ref="U68:U69"/>
    <mergeCell ref="U70:U71"/>
    <mergeCell ref="U72:U73"/>
    <mergeCell ref="BE28:BE29"/>
    <mergeCell ref="BE30:BE31"/>
    <mergeCell ref="BE32:BE33"/>
    <mergeCell ref="BE34:BE35"/>
    <mergeCell ref="BE36:BE37"/>
    <mergeCell ref="BE60:BE61"/>
    <mergeCell ref="BE62:BE63"/>
    <mergeCell ref="BE64:BE65"/>
    <mergeCell ref="BE66:BE67"/>
    <mergeCell ref="BE68:BE69"/>
    <mergeCell ref="BR37:BU38"/>
    <mergeCell ref="BV37:BV38"/>
    <mergeCell ref="BW37:BW38"/>
    <mergeCell ref="BR43:BU44"/>
    <mergeCell ref="BZ45:BZ46"/>
    <mergeCell ref="BY45:BY46"/>
    <mergeCell ref="BC66:BC67"/>
    <mergeCell ref="AL66:AL67"/>
    <mergeCell ref="AS66:AS67"/>
    <mergeCell ref="CM11:CM12"/>
    <mergeCell ref="CD59:CD60"/>
    <mergeCell ref="CE59:CE60"/>
    <mergeCell ref="CF59:CH60"/>
    <mergeCell ref="CI59:CI60"/>
    <mergeCell ref="CJ59:CJ60"/>
    <mergeCell ref="CK59:CL60"/>
    <mergeCell ref="CD75:CD76"/>
    <mergeCell ref="CF43:CH44"/>
    <mergeCell ref="CI11:CI12"/>
    <mergeCell ref="CM23:CM24"/>
    <mergeCell ref="CM57:CM58"/>
    <mergeCell ref="CI19:CI20"/>
    <mergeCell ref="CM15:CM16"/>
    <mergeCell ref="CM67:CM68"/>
    <mergeCell ref="CM17:CM18"/>
    <mergeCell ref="CF45:CH46"/>
    <mergeCell ref="CE75:CE76"/>
    <mergeCell ref="CF75:CH76"/>
    <mergeCell ref="CI75:CI76"/>
    <mergeCell ref="CI67:CI68"/>
    <mergeCell ref="CD71:CD72"/>
    <mergeCell ref="CE71:CE72"/>
    <mergeCell ref="CJ67:CJ68"/>
    <mergeCell ref="CK19:CL20"/>
    <mergeCell ref="CF71:CH72"/>
    <mergeCell ref="CI71:CI72"/>
    <mergeCell ref="CJ71:CJ72"/>
    <mergeCell ref="CK71:CL72"/>
    <mergeCell ref="CI15:CI16"/>
    <mergeCell ref="CM47:CM48"/>
    <mergeCell ref="CJ15:CJ16"/>
    <mergeCell ref="CG103:CK104"/>
    <mergeCell ref="CL103:CM104"/>
    <mergeCell ref="CG96:CK97"/>
    <mergeCell ref="CL96:CM97"/>
    <mergeCell ref="CG98:CK99"/>
    <mergeCell ref="CL98:CM99"/>
    <mergeCell ref="CG100:CK101"/>
    <mergeCell ref="CL100:CM101"/>
    <mergeCell ref="CG90:CK91"/>
    <mergeCell ref="CL90:CM91"/>
    <mergeCell ref="CG92:CK93"/>
    <mergeCell ref="CL92:CM93"/>
    <mergeCell ref="CG94:CK95"/>
    <mergeCell ref="CL94:CM95"/>
    <mergeCell ref="CG85:CK86"/>
    <mergeCell ref="CL85:CM86"/>
    <mergeCell ref="CI13:CI14"/>
    <mergeCell ref="CJ13:CJ14"/>
    <mergeCell ref="CK13:CL14"/>
    <mergeCell ref="CM13:CM14"/>
    <mergeCell ref="CM69:CM70"/>
    <mergeCell ref="CM59:CM60"/>
    <mergeCell ref="CF13:CH14"/>
    <mergeCell ref="CI80:CI81"/>
    <mergeCell ref="CJ80:CJ81"/>
    <mergeCell ref="CK80:CK81"/>
    <mergeCell ref="CJ75:CJ76"/>
    <mergeCell ref="CM41:CM42"/>
    <mergeCell ref="CM21:CM22"/>
    <mergeCell ref="CK73:CL74"/>
    <mergeCell ref="CM73:CM74"/>
    <mergeCell ref="CF67:CH68"/>
    <mergeCell ref="BT93:BU94"/>
    <mergeCell ref="BV93:BV94"/>
    <mergeCell ref="BT95:BU96"/>
    <mergeCell ref="BV95:BV96"/>
    <mergeCell ref="CG88:CK89"/>
    <mergeCell ref="CL88:CM89"/>
    <mergeCell ref="CC82:CC83"/>
    <mergeCell ref="CD82:CD83"/>
    <mergeCell ref="CJ82:CJ83"/>
    <mergeCell ref="BW82:BW83"/>
    <mergeCell ref="BX82:BX83"/>
    <mergeCell ref="BY82:BY83"/>
    <mergeCell ref="BZ82:BZ83"/>
    <mergeCell ref="CA82:CA83"/>
    <mergeCell ref="CB82:CB83"/>
    <mergeCell ref="BT82:BU83"/>
    <mergeCell ref="BV82:BV83"/>
    <mergeCell ref="BT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B80:CB81"/>
    <mergeCell ref="CC80:CC81"/>
    <mergeCell ref="BT80:BU81"/>
    <mergeCell ref="BV80:BV81"/>
    <mergeCell ref="BW80:BW81"/>
    <mergeCell ref="CD80:CD81"/>
    <mergeCell ref="BX37:BX38"/>
    <mergeCell ref="BY37:BY38"/>
    <mergeCell ref="BZ37:BZ38"/>
    <mergeCell ref="CA37:CA38"/>
    <mergeCell ref="CM55:CM56"/>
    <mergeCell ref="CD55:CD56"/>
    <mergeCell ref="CE55:CE56"/>
    <mergeCell ref="CF55:CH56"/>
    <mergeCell ref="CI55:CI56"/>
    <mergeCell ref="CJ55:CJ56"/>
    <mergeCell ref="CK55:CL56"/>
    <mergeCell ref="BX55:BX56"/>
    <mergeCell ref="BY55:BY56"/>
    <mergeCell ref="BZ55:BZ56"/>
    <mergeCell ref="CA55:CA56"/>
    <mergeCell ref="CB55:CB56"/>
    <mergeCell ref="CI43:CI44"/>
    <mergeCell ref="CJ43:CJ44"/>
    <mergeCell ref="CM43:CM44"/>
    <mergeCell ref="CA43:CA44"/>
    <mergeCell ref="CB43:CB44"/>
    <mergeCell ref="CD43:CD44"/>
    <mergeCell ref="CM45:CM46"/>
    <mergeCell ref="CK45:CL46"/>
    <mergeCell ref="CJ45:CJ46"/>
    <mergeCell ref="CI45:CI46"/>
    <mergeCell ref="CE77:CE78"/>
    <mergeCell ref="CF77:CH78"/>
    <mergeCell ref="CI77:CI78"/>
    <mergeCell ref="CJ77:CJ78"/>
    <mergeCell ref="CK77:CL78"/>
    <mergeCell ref="BX77:BX78"/>
    <mergeCell ref="BY77:BY78"/>
    <mergeCell ref="BZ77:BZ78"/>
    <mergeCell ref="CF39:CH40"/>
    <mergeCell ref="CI39:CI40"/>
    <mergeCell ref="CJ39:CJ40"/>
    <mergeCell ref="CK39:CL40"/>
    <mergeCell ref="BY39:BY40"/>
    <mergeCell ref="BZ39:BZ40"/>
    <mergeCell ref="CA39:CA40"/>
    <mergeCell ref="CB39:CB40"/>
    <mergeCell ref="CD39:CD40"/>
    <mergeCell ref="CB41:CB42"/>
    <mergeCell ref="CD41:CD42"/>
    <mergeCell ref="CD67:CD68"/>
    <mergeCell ref="CE67:CE68"/>
    <mergeCell ref="CA59:CA60"/>
    <mergeCell ref="CB59:CB60"/>
    <mergeCell ref="CK67:CL68"/>
    <mergeCell ref="BZ67:BZ68"/>
    <mergeCell ref="CA67:CA68"/>
    <mergeCell ref="CB67:CB68"/>
    <mergeCell ref="CK43:CL44"/>
    <mergeCell ref="CB51:CB52"/>
    <mergeCell ref="CB45:CB46"/>
    <mergeCell ref="CA45:CA46"/>
    <mergeCell ref="CE43:CE44"/>
    <mergeCell ref="S82:S83"/>
    <mergeCell ref="T82:T83"/>
    <mergeCell ref="V82:V83"/>
    <mergeCell ref="CD57:CD58"/>
    <mergeCell ref="CE57:CE58"/>
    <mergeCell ref="CF57:CH58"/>
    <mergeCell ref="CI57:CI58"/>
    <mergeCell ref="CJ57:CJ58"/>
    <mergeCell ref="CK57:CL58"/>
    <mergeCell ref="BX57:BX58"/>
    <mergeCell ref="BY57:BY58"/>
    <mergeCell ref="BZ57:BZ58"/>
    <mergeCell ref="CA57:CA58"/>
    <mergeCell ref="CB57:CB58"/>
    <mergeCell ref="W82:W83"/>
    <mergeCell ref="CD69:CD70"/>
    <mergeCell ref="CE69:CE70"/>
    <mergeCell ref="CF69:CH70"/>
    <mergeCell ref="CI69:CI70"/>
    <mergeCell ref="CJ69:CJ70"/>
    <mergeCell ref="CK69:CL70"/>
    <mergeCell ref="BX69:BX70"/>
    <mergeCell ref="BY69:BY70"/>
    <mergeCell ref="BZ69:BZ70"/>
    <mergeCell ref="CA69:CA70"/>
    <mergeCell ref="CB69:CB70"/>
    <mergeCell ref="BX80:BX81"/>
    <mergeCell ref="BY80:BY81"/>
    <mergeCell ref="BZ80:BZ81"/>
    <mergeCell ref="CA80:CA81"/>
    <mergeCell ref="S78:S79"/>
    <mergeCell ref="T78:T79"/>
    <mergeCell ref="CA75:CA76"/>
    <mergeCell ref="BR75:BU76"/>
    <mergeCell ref="AG66:AG67"/>
    <mergeCell ref="T76:T77"/>
    <mergeCell ref="V76:V77"/>
    <mergeCell ref="W76:W77"/>
    <mergeCell ref="AM66:AO67"/>
    <mergeCell ref="AP66:AP67"/>
    <mergeCell ref="AQ66:AQ67"/>
    <mergeCell ref="BV77:BV78"/>
    <mergeCell ref="AL62:AL63"/>
    <mergeCell ref="AM62:AO63"/>
    <mergeCell ref="AX62:AX63"/>
    <mergeCell ref="AG68:AG69"/>
    <mergeCell ref="BR77:BU78"/>
    <mergeCell ref="BX73:BX74"/>
    <mergeCell ref="BY73:BY74"/>
    <mergeCell ref="AY66:BA67"/>
    <mergeCell ref="BB66:BB67"/>
    <mergeCell ref="AS68:AS69"/>
    <mergeCell ref="AX68:AX69"/>
    <mergeCell ref="AY68:BA69"/>
    <mergeCell ref="BB68:BB69"/>
    <mergeCell ref="AS62:AS63"/>
    <mergeCell ref="BV61:BV62"/>
    <mergeCell ref="BW61:BW62"/>
    <mergeCell ref="BC64:BC65"/>
    <mergeCell ref="BD64:BD65"/>
    <mergeCell ref="BF62:BF63"/>
    <mergeCell ref="BG62:BG63"/>
    <mergeCell ref="CA71:CA72"/>
    <mergeCell ref="BV65:BV66"/>
    <mergeCell ref="AP62:AP63"/>
    <mergeCell ref="CB61:CB62"/>
    <mergeCell ref="BG70:BG71"/>
    <mergeCell ref="BF64:BF65"/>
    <mergeCell ref="BG64:BG65"/>
    <mergeCell ref="CM61:CM62"/>
    <mergeCell ref="AL64:AL65"/>
    <mergeCell ref="AM64:AO65"/>
    <mergeCell ref="AP64:AP65"/>
    <mergeCell ref="AQ64:AQ65"/>
    <mergeCell ref="AR64:AR65"/>
    <mergeCell ref="AS64:AS65"/>
    <mergeCell ref="AX64:AX65"/>
    <mergeCell ref="AY64:BA65"/>
    <mergeCell ref="BB64:BB65"/>
    <mergeCell ref="CD61:CD62"/>
    <mergeCell ref="CE61:CE62"/>
    <mergeCell ref="CF61:CH62"/>
    <mergeCell ref="CI61:CI62"/>
    <mergeCell ref="CJ61:CJ62"/>
    <mergeCell ref="CK61:CL62"/>
    <mergeCell ref="BX61:BX62"/>
    <mergeCell ref="BY61:BY62"/>
    <mergeCell ref="BZ61:BZ62"/>
    <mergeCell ref="AQ62:AQ63"/>
    <mergeCell ref="AR62:AR63"/>
    <mergeCell ref="CB71:CB72"/>
    <mergeCell ref="BR71:BU72"/>
    <mergeCell ref="BV71:BV72"/>
    <mergeCell ref="BW71:BW72"/>
    <mergeCell ref="BX63:BX64"/>
    <mergeCell ref="CA63:CA64"/>
    <mergeCell ref="CK53:CL54"/>
    <mergeCell ref="CD51:CD52"/>
    <mergeCell ref="CE51:CE52"/>
    <mergeCell ref="CF51:CH52"/>
    <mergeCell ref="CI51:CI52"/>
    <mergeCell ref="CJ51:CJ52"/>
    <mergeCell ref="CK51:CL52"/>
    <mergeCell ref="CC53:CC54"/>
    <mergeCell ref="CI31:CI32"/>
    <mergeCell ref="CJ31:CJ32"/>
    <mergeCell ref="CF49:CH50"/>
    <mergeCell ref="CE33:CE34"/>
    <mergeCell ref="CF33:CH34"/>
    <mergeCell ref="CI33:CI34"/>
    <mergeCell ref="BR51:BU52"/>
    <mergeCell ref="BV51:BV52"/>
    <mergeCell ref="BW51:BW52"/>
    <mergeCell ref="BX51:BX52"/>
    <mergeCell ref="BY51:BY52"/>
    <mergeCell ref="BZ51:BZ52"/>
    <mergeCell ref="CE37:CE38"/>
    <mergeCell ref="CF37:CH38"/>
    <mergeCell ref="CB37:CB38"/>
    <mergeCell ref="CB31:CB32"/>
    <mergeCell ref="CD47:CD48"/>
    <mergeCell ref="CK31:CL32"/>
    <mergeCell ref="CK41:CL42"/>
    <mergeCell ref="CK35:CL36"/>
    <mergeCell ref="BV25:BV26"/>
    <mergeCell ref="BW25:BW26"/>
    <mergeCell ref="BV31:BV32"/>
    <mergeCell ref="BR31:BU32"/>
    <mergeCell ref="BD30:BD31"/>
    <mergeCell ref="BF30:BF31"/>
    <mergeCell ref="BC50:BC51"/>
    <mergeCell ref="BR57:BU58"/>
    <mergeCell ref="BV57:BV58"/>
    <mergeCell ref="BR21:BU22"/>
    <mergeCell ref="BD54:BD55"/>
    <mergeCell ref="BF54:BF55"/>
    <mergeCell ref="BE50:BE51"/>
    <mergeCell ref="BF50:BF51"/>
    <mergeCell ref="BI21:BM22"/>
    <mergeCell ref="BZ31:BZ32"/>
    <mergeCell ref="CA31:CA32"/>
    <mergeCell ref="BX27:BX28"/>
    <mergeCell ref="BD50:BD51"/>
    <mergeCell ref="CA51:CA52"/>
    <mergeCell ref="BF48:BF49"/>
    <mergeCell ref="BX25:BX26"/>
    <mergeCell ref="BX35:BX36"/>
    <mergeCell ref="BY35:BY36"/>
    <mergeCell ref="BZ35:BZ36"/>
    <mergeCell ref="BC44:BC45"/>
    <mergeCell ref="S72:S73"/>
    <mergeCell ref="T72:T73"/>
    <mergeCell ref="V72:V73"/>
    <mergeCell ref="W72:W73"/>
    <mergeCell ref="N74:N75"/>
    <mergeCell ref="O74:Q75"/>
    <mergeCell ref="G74:G75"/>
    <mergeCell ref="H74:H75"/>
    <mergeCell ref="I74:I75"/>
    <mergeCell ref="J74:J75"/>
    <mergeCell ref="BY41:BY42"/>
    <mergeCell ref="BZ41:BZ42"/>
    <mergeCell ref="CA41:CA42"/>
    <mergeCell ref="BW23:BW24"/>
    <mergeCell ref="Y66:Y67"/>
    <mergeCell ref="Z66:AB67"/>
    <mergeCell ref="AC66:AC67"/>
    <mergeCell ref="R72:R73"/>
    <mergeCell ref="H62:H63"/>
    <mergeCell ref="BB60:BB61"/>
    <mergeCell ref="CA73:CA74"/>
    <mergeCell ref="BR41:BU42"/>
    <mergeCell ref="BV41:BV42"/>
    <mergeCell ref="BW41:BW42"/>
    <mergeCell ref="BX41:BX42"/>
    <mergeCell ref="BV43:BV44"/>
    <mergeCell ref="BW43:BW44"/>
    <mergeCell ref="BW57:BW58"/>
    <mergeCell ref="CA61:CA62"/>
    <mergeCell ref="BR61:BU62"/>
    <mergeCell ref="BX39:BX40"/>
    <mergeCell ref="BZ29:BZ30"/>
    <mergeCell ref="BW11:BW12"/>
    <mergeCell ref="BR55:BU56"/>
    <mergeCell ref="BV55:BV56"/>
    <mergeCell ref="BW55:BW56"/>
    <mergeCell ref="N72:N73"/>
    <mergeCell ref="O72:Q73"/>
    <mergeCell ref="BW73:BW74"/>
    <mergeCell ref="AR48:AR49"/>
    <mergeCell ref="AS48:AS49"/>
    <mergeCell ref="AX48:AX49"/>
    <mergeCell ref="AY48:BA49"/>
    <mergeCell ref="BB48:BB49"/>
    <mergeCell ref="BV73:BV74"/>
    <mergeCell ref="AC62:AC63"/>
    <mergeCell ref="AD62:AD63"/>
    <mergeCell ref="AE62:AE63"/>
    <mergeCell ref="AF62:AF63"/>
    <mergeCell ref="AG64:AG65"/>
    <mergeCell ref="N21:N22"/>
    <mergeCell ref="O21:Q22"/>
    <mergeCell ref="R21:R22"/>
    <mergeCell ref="S21:S22"/>
    <mergeCell ref="BV39:BV40"/>
    <mergeCell ref="BW39:BW40"/>
    <mergeCell ref="BV21:BV22"/>
    <mergeCell ref="BW21:BW22"/>
    <mergeCell ref="BC62:BC63"/>
    <mergeCell ref="BR23:BU24"/>
    <mergeCell ref="BV23:BV24"/>
    <mergeCell ref="BR35:BU36"/>
    <mergeCell ref="BV35:BV36"/>
    <mergeCell ref="BW35:BW36"/>
    <mergeCell ref="CM29:CM30"/>
    <mergeCell ref="CB25:CB26"/>
    <mergeCell ref="AX36:AX37"/>
    <mergeCell ref="BB36:BB37"/>
    <mergeCell ref="BC36:BC37"/>
    <mergeCell ref="BD36:BD37"/>
    <mergeCell ref="BY31:BY32"/>
    <mergeCell ref="BY25:BY26"/>
    <mergeCell ref="BZ25:BZ26"/>
    <mergeCell ref="CD23:CD24"/>
    <mergeCell ref="CE23:CE24"/>
    <mergeCell ref="CF23:CH24"/>
    <mergeCell ref="CI23:CI24"/>
    <mergeCell ref="CJ23:CJ24"/>
    <mergeCell ref="CK23:CL24"/>
    <mergeCell ref="AL52:AL53"/>
    <mergeCell ref="AM52:AO53"/>
    <mergeCell ref="AP52:AP53"/>
    <mergeCell ref="AQ52:AQ53"/>
    <mergeCell ref="AR52:AR53"/>
    <mergeCell ref="AS52:AS53"/>
    <mergeCell ref="AX52:AX53"/>
    <mergeCell ref="AY52:BA53"/>
    <mergeCell ref="BB52:BB53"/>
    <mergeCell ref="CD29:CD30"/>
    <mergeCell ref="CE29:CE30"/>
    <mergeCell ref="CF29:CH30"/>
    <mergeCell ref="CI29:CI30"/>
    <mergeCell ref="CJ29:CJ30"/>
    <mergeCell ref="CK29:CL30"/>
    <mergeCell ref="BX29:BX30"/>
    <mergeCell ref="BY29:BY30"/>
    <mergeCell ref="AS50:AS51"/>
    <mergeCell ref="AX50:AX51"/>
    <mergeCell ref="AY50:BA51"/>
    <mergeCell ref="BB50:BB51"/>
    <mergeCell ref="AS36:AS37"/>
    <mergeCell ref="AS32:AS33"/>
    <mergeCell ref="AP48:AP49"/>
    <mergeCell ref="AQ48:AQ49"/>
    <mergeCell ref="CD31:CD32"/>
    <mergeCell ref="CE39:CE40"/>
    <mergeCell ref="CB29:CB30"/>
    <mergeCell ref="AT36:AT37"/>
    <mergeCell ref="AP46:AP47"/>
    <mergeCell ref="AQ46:AQ47"/>
    <mergeCell ref="AR46:AR47"/>
    <mergeCell ref="BZ47:BZ48"/>
    <mergeCell ref="CA47:CA48"/>
    <mergeCell ref="AT34:AT35"/>
    <mergeCell ref="BB46:BB47"/>
    <mergeCell ref="AS46:AS47"/>
    <mergeCell ref="AX46:AX47"/>
    <mergeCell ref="AY36:BA37"/>
    <mergeCell ref="CA29:CA30"/>
    <mergeCell ref="BV29:BV30"/>
    <mergeCell ref="BW29:BW30"/>
    <mergeCell ref="BD44:BD45"/>
    <mergeCell ref="BR29:BU30"/>
    <mergeCell ref="BC46:BC47"/>
    <mergeCell ref="BD46:BD47"/>
    <mergeCell ref="BE46:BE47"/>
    <mergeCell ref="BF46:BF47"/>
    <mergeCell ref="BB44:BB45"/>
    <mergeCell ref="CB63:CB64"/>
    <mergeCell ref="BX67:BX68"/>
    <mergeCell ref="BY67:BY68"/>
    <mergeCell ref="BR59:BU60"/>
    <mergeCell ref="BV59:BV60"/>
    <mergeCell ref="BW59:BW60"/>
    <mergeCell ref="BR69:BU70"/>
    <mergeCell ref="BV69:BV70"/>
    <mergeCell ref="BX71:BX72"/>
    <mergeCell ref="CB47:CB48"/>
    <mergeCell ref="BC48:BC49"/>
    <mergeCell ref="BD48:BD49"/>
    <mergeCell ref="BE48:BE49"/>
    <mergeCell ref="BC52:BC53"/>
    <mergeCell ref="BC60:BC61"/>
    <mergeCell ref="BD60:BD61"/>
    <mergeCell ref="BF60:BF61"/>
    <mergeCell ref="BG60:BG61"/>
    <mergeCell ref="BW65:BW66"/>
    <mergeCell ref="AL50:AL51"/>
    <mergeCell ref="AL36:AL37"/>
    <mergeCell ref="CA27:CA28"/>
    <mergeCell ref="CB27:CB28"/>
    <mergeCell ref="CD27:CD28"/>
    <mergeCell ref="CE27:CE28"/>
    <mergeCell ref="BR67:BU68"/>
    <mergeCell ref="BW27:BW28"/>
    <mergeCell ref="BW31:BW32"/>
    <mergeCell ref="I62:I63"/>
    <mergeCell ref="J62:J63"/>
    <mergeCell ref="AG62:AG63"/>
    <mergeCell ref="BD52:BD53"/>
    <mergeCell ref="BE52:BE53"/>
    <mergeCell ref="BF52:BF53"/>
    <mergeCell ref="AM50:AO51"/>
    <mergeCell ref="AP50:AP51"/>
    <mergeCell ref="AQ50:AQ51"/>
    <mergeCell ref="AR50:AR51"/>
    <mergeCell ref="AP60:AP61"/>
    <mergeCell ref="AQ60:AQ61"/>
    <mergeCell ref="AR60:AR61"/>
    <mergeCell ref="AS60:AS61"/>
    <mergeCell ref="AS44:AS45"/>
    <mergeCell ref="AL58:AO61"/>
    <mergeCell ref="AX58:BA61"/>
    <mergeCell ref="AY62:BA63"/>
    <mergeCell ref="BB62:BB63"/>
    <mergeCell ref="AL34:AL35"/>
    <mergeCell ref="AM34:AO35"/>
    <mergeCell ref="AL46:AL47"/>
    <mergeCell ref="AM46:AO47"/>
    <mergeCell ref="AL48:AL49"/>
    <mergeCell ref="AM48:AO49"/>
    <mergeCell ref="CD37:CD38"/>
    <mergeCell ref="AM32:AO33"/>
    <mergeCell ref="AP32:AP33"/>
    <mergeCell ref="AQ32:AQ33"/>
    <mergeCell ref="BG30:BG31"/>
    <mergeCell ref="BF28:BF29"/>
    <mergeCell ref="BR25:BU26"/>
    <mergeCell ref="BI18:BM19"/>
    <mergeCell ref="AY32:BA33"/>
    <mergeCell ref="AY34:BA35"/>
    <mergeCell ref="AR30:AR31"/>
    <mergeCell ref="BN18:BO19"/>
    <mergeCell ref="BG28:BG29"/>
    <mergeCell ref="AY30:BA31"/>
    <mergeCell ref="BZ19:BZ20"/>
    <mergeCell ref="BC30:BC31"/>
    <mergeCell ref="AQ28:AQ29"/>
    <mergeCell ref="AR28:AR29"/>
    <mergeCell ref="AQ38:AQ39"/>
    <mergeCell ref="BG36:BG37"/>
    <mergeCell ref="AQ34:AQ35"/>
    <mergeCell ref="AR34:AR35"/>
    <mergeCell ref="AS34:AS35"/>
    <mergeCell ref="BY27:BY28"/>
    <mergeCell ref="BZ27:BZ28"/>
    <mergeCell ref="AL42:AO45"/>
    <mergeCell ref="AX42:BA45"/>
    <mergeCell ref="AP34:AP35"/>
    <mergeCell ref="AT32:AT33"/>
    <mergeCell ref="BR27:BU28"/>
    <mergeCell ref="CM49:CM50"/>
    <mergeCell ref="AR38:AR39"/>
    <mergeCell ref="AT38:AT39"/>
    <mergeCell ref="BF38:BF39"/>
    <mergeCell ref="BG38:BG39"/>
    <mergeCell ref="BZ49:BZ50"/>
    <mergeCell ref="CA49:CA50"/>
    <mergeCell ref="CB49:CB50"/>
    <mergeCell ref="CD49:CD50"/>
    <mergeCell ref="CE49:CE50"/>
    <mergeCell ref="BR49:BU50"/>
    <mergeCell ref="BV49:BV50"/>
    <mergeCell ref="BW49:BW50"/>
    <mergeCell ref="BX49:BX50"/>
    <mergeCell ref="BY49:BY50"/>
    <mergeCell ref="BF36:BF37"/>
    <mergeCell ref="CE47:CE48"/>
    <mergeCell ref="BR47:BU48"/>
    <mergeCell ref="BV47:BV48"/>
    <mergeCell ref="BW47:BW48"/>
    <mergeCell ref="BX47:BX48"/>
    <mergeCell ref="BY47:BY48"/>
    <mergeCell ref="BR39:BU40"/>
    <mergeCell ref="CE41:CE42"/>
    <mergeCell ref="CF41:CH42"/>
    <mergeCell ref="CI41:CI42"/>
    <mergeCell ref="CJ41:CJ42"/>
    <mergeCell ref="AY46:BA47"/>
    <mergeCell ref="CF47:CH48"/>
    <mergeCell ref="CI47:CI48"/>
    <mergeCell ref="CJ47:CJ48"/>
    <mergeCell ref="CK47:CL48"/>
    <mergeCell ref="CI17:CI18"/>
    <mergeCell ref="CJ17:CJ18"/>
    <mergeCell ref="CJ19:CJ20"/>
    <mergeCell ref="CE15:CE16"/>
    <mergeCell ref="BB32:BB33"/>
    <mergeCell ref="AX32:AX33"/>
    <mergeCell ref="AS30:AS31"/>
    <mergeCell ref="AT30:AT31"/>
    <mergeCell ref="AX30:AX31"/>
    <mergeCell ref="BR19:BU20"/>
    <mergeCell ref="BV19:BV20"/>
    <mergeCell ref="BW19:BW20"/>
    <mergeCell ref="CF27:CH28"/>
    <mergeCell ref="BV27:BV28"/>
    <mergeCell ref="CM19:CM20"/>
    <mergeCell ref="AR44:AR45"/>
    <mergeCell ref="AR36:AR37"/>
    <mergeCell ref="AR32:AR33"/>
    <mergeCell ref="CM39:CM40"/>
    <mergeCell ref="CM25:CM26"/>
    <mergeCell ref="CI27:CI28"/>
    <mergeCell ref="CJ27:CJ28"/>
    <mergeCell ref="CK33:CL34"/>
    <mergeCell ref="CM33:CM34"/>
    <mergeCell ref="CA25:CA26"/>
    <mergeCell ref="CE31:CE32"/>
    <mergeCell ref="CE25:CE26"/>
    <mergeCell ref="CM31:CM32"/>
    <mergeCell ref="BX23:BX24"/>
    <mergeCell ref="BY23:BY24"/>
    <mergeCell ref="BZ23:BZ24"/>
    <mergeCell ref="CA23:CA24"/>
    <mergeCell ref="I13:I14"/>
    <mergeCell ref="J13:J14"/>
    <mergeCell ref="K13:K14"/>
    <mergeCell ref="N13:N14"/>
    <mergeCell ref="O13:Q14"/>
    <mergeCell ref="U19:U20"/>
    <mergeCell ref="V19:V20"/>
    <mergeCell ref="W64:W65"/>
    <mergeCell ref="Y64:Y65"/>
    <mergeCell ref="Z64:AB65"/>
    <mergeCell ref="AC64:AC65"/>
    <mergeCell ref="BZ63:BZ64"/>
    <mergeCell ref="I17:I18"/>
    <mergeCell ref="J17:J18"/>
    <mergeCell ref="BN21:BO22"/>
    <mergeCell ref="BC34:BC35"/>
    <mergeCell ref="BD34:BD35"/>
    <mergeCell ref="BF34:BF35"/>
    <mergeCell ref="BZ17:BZ18"/>
    <mergeCell ref="I15:I16"/>
    <mergeCell ref="K17:K18"/>
    <mergeCell ref="N17:N18"/>
    <mergeCell ref="O17:Q18"/>
    <mergeCell ref="U15:U16"/>
    <mergeCell ref="V15:V16"/>
    <mergeCell ref="S15:S16"/>
    <mergeCell ref="T15:T16"/>
    <mergeCell ref="AX34:AX35"/>
    <mergeCell ref="BB30:BB31"/>
    <mergeCell ref="N15:N16"/>
    <mergeCell ref="O15:Q16"/>
    <mergeCell ref="R15:R16"/>
    <mergeCell ref="K15:K16"/>
    <mergeCell ref="CB35:CB36"/>
    <mergeCell ref="CD35:CD36"/>
    <mergeCell ref="CE35:CE36"/>
    <mergeCell ref="CF35:CH36"/>
    <mergeCell ref="CI35:CI36"/>
    <mergeCell ref="CJ35:CJ36"/>
    <mergeCell ref="S19:S20"/>
    <mergeCell ref="T19:T20"/>
    <mergeCell ref="CD17:CD18"/>
    <mergeCell ref="BV63:BV64"/>
    <mergeCell ref="BW63:BW64"/>
    <mergeCell ref="CJ63:CJ64"/>
    <mergeCell ref="K62:K63"/>
    <mergeCell ref="R62:R63"/>
    <mergeCell ref="V21:V22"/>
    <mergeCell ref="S25:S26"/>
    <mergeCell ref="T25:T26"/>
    <mergeCell ref="R19:R20"/>
    <mergeCell ref="U23:U24"/>
    <mergeCell ref="CI49:CI50"/>
    <mergeCell ref="CJ49:CJ50"/>
    <mergeCell ref="R17:R18"/>
    <mergeCell ref="BI16:BM17"/>
    <mergeCell ref="CA17:CA18"/>
    <mergeCell ref="CB17:CB18"/>
    <mergeCell ref="CA35:CA36"/>
    <mergeCell ref="CJ33:CJ34"/>
    <mergeCell ref="BD32:BD33"/>
    <mergeCell ref="BF32:BF33"/>
    <mergeCell ref="BG32:BG33"/>
    <mergeCell ref="BG34:BG35"/>
    <mergeCell ref="BN10:BO11"/>
    <mergeCell ref="AD11:AD12"/>
    <mergeCell ref="S17:S18"/>
    <mergeCell ref="J15:J16"/>
    <mergeCell ref="O19:Q20"/>
    <mergeCell ref="CM63:CM64"/>
    <mergeCell ref="CD65:CD66"/>
    <mergeCell ref="CB33:CB34"/>
    <mergeCell ref="CD33:CD34"/>
    <mergeCell ref="BI14:BM15"/>
    <mergeCell ref="BN14:BO15"/>
    <mergeCell ref="V23:V24"/>
    <mergeCell ref="S23:S24"/>
    <mergeCell ref="T23:T24"/>
    <mergeCell ref="BZ15:BZ16"/>
    <mergeCell ref="CF31:CH32"/>
    <mergeCell ref="BR15:BU16"/>
    <mergeCell ref="BV15:BV16"/>
    <mergeCell ref="BW15:BW16"/>
    <mergeCell ref="BE44:BE45"/>
    <mergeCell ref="BF44:BF45"/>
    <mergeCell ref="AL30:AL31"/>
    <mergeCell ref="AM30:AO31"/>
    <mergeCell ref="AP30:AP31"/>
    <mergeCell ref="AQ30:AQ31"/>
    <mergeCell ref="AL32:AL33"/>
    <mergeCell ref="AC60:AG61"/>
    <mergeCell ref="S62:S63"/>
    <mergeCell ref="T62:T63"/>
    <mergeCell ref="V62:V63"/>
    <mergeCell ref="W62:W63"/>
    <mergeCell ref="T17:T18"/>
    <mergeCell ref="BY17:BY18"/>
    <mergeCell ref="CM65:CM66"/>
    <mergeCell ref="AL26:AO29"/>
    <mergeCell ref="AX26:BA29"/>
    <mergeCell ref="BI12:BM13"/>
    <mergeCell ref="BN12:BO13"/>
    <mergeCell ref="R13:R14"/>
    <mergeCell ref="S13:S14"/>
    <mergeCell ref="T13:T14"/>
    <mergeCell ref="U13:U14"/>
    <mergeCell ref="V13:V14"/>
    <mergeCell ref="CM35:CM36"/>
    <mergeCell ref="AS28:AS29"/>
    <mergeCell ref="AT28:AT29"/>
    <mergeCell ref="BB28:BB29"/>
    <mergeCell ref="BC28:BC29"/>
    <mergeCell ref="BD28:BD29"/>
    <mergeCell ref="U17:U18"/>
    <mergeCell ref="V17:V18"/>
    <mergeCell ref="BN16:BO17"/>
    <mergeCell ref="CK49:CL50"/>
    <mergeCell ref="BR17:BU18"/>
    <mergeCell ref="BV17:BV18"/>
    <mergeCell ref="BW17:BW18"/>
    <mergeCell ref="BB34:BB35"/>
    <mergeCell ref="BC32:BC33"/>
    <mergeCell ref="CB19:CB20"/>
    <mergeCell ref="CD19:CD20"/>
    <mergeCell ref="CE19:CE20"/>
    <mergeCell ref="CF19:CH20"/>
    <mergeCell ref="CE17:CE18"/>
    <mergeCell ref="CF17:CH18"/>
    <mergeCell ref="BW9:BW10"/>
    <mergeCell ref="CA9:CA10"/>
    <mergeCell ref="CB9:CB10"/>
    <mergeCell ref="CD9:CD10"/>
    <mergeCell ref="BR9:BU10"/>
    <mergeCell ref="BV9:BV10"/>
    <mergeCell ref="CK9:CL10"/>
    <mergeCell ref="CM9:CM10"/>
    <mergeCell ref="BY9:BY10"/>
    <mergeCell ref="BZ9:BZ10"/>
    <mergeCell ref="BX9:BX10"/>
    <mergeCell ref="CE9:CE10"/>
    <mergeCell ref="CF9:CH10"/>
    <mergeCell ref="CI9:CI10"/>
    <mergeCell ref="CJ9:CJ10"/>
    <mergeCell ref="BW69:BW70"/>
    <mergeCell ref="C9:C10"/>
    <mergeCell ref="D9:F10"/>
    <mergeCell ref="G9:G10"/>
    <mergeCell ref="H9:H10"/>
    <mergeCell ref="BW33:BW34"/>
    <mergeCell ref="BX33:BX34"/>
    <mergeCell ref="BY33:BY34"/>
    <mergeCell ref="BZ33:BZ34"/>
    <mergeCell ref="CA33:CA34"/>
    <mergeCell ref="BR33:BU34"/>
    <mergeCell ref="BV33:BV34"/>
    <mergeCell ref="Y9:Y10"/>
    <mergeCell ref="Z9:AB10"/>
    <mergeCell ref="AC9:AC10"/>
    <mergeCell ref="C60:F63"/>
    <mergeCell ref="G60:K61"/>
    <mergeCell ref="C11:C12"/>
    <mergeCell ref="D11:F12"/>
    <mergeCell ref="G11:G12"/>
    <mergeCell ref="H11:H12"/>
    <mergeCell ref="I11:I12"/>
    <mergeCell ref="BR11:BU12"/>
    <mergeCell ref="BV11:BV12"/>
    <mergeCell ref="N7:N8"/>
    <mergeCell ref="O7:Q8"/>
    <mergeCell ref="R7:R8"/>
    <mergeCell ref="S7:S8"/>
    <mergeCell ref="R9:R10"/>
    <mergeCell ref="S9:S10"/>
    <mergeCell ref="T9:T10"/>
    <mergeCell ref="U9:U10"/>
    <mergeCell ref="V9:V10"/>
    <mergeCell ref="I9:I10"/>
    <mergeCell ref="J9:J10"/>
    <mergeCell ref="K9:K10"/>
    <mergeCell ref="N9:N10"/>
    <mergeCell ref="O9:Q10"/>
    <mergeCell ref="AE11:AE12"/>
    <mergeCell ref="V11:V12"/>
    <mergeCell ref="AG11:AG12"/>
    <mergeCell ref="J11:J12"/>
    <mergeCell ref="K11:K12"/>
    <mergeCell ref="N11:N12"/>
    <mergeCell ref="O11:Q12"/>
    <mergeCell ref="R11:R12"/>
    <mergeCell ref="T11:T12"/>
    <mergeCell ref="U11:U12"/>
    <mergeCell ref="BI10:BM11"/>
    <mergeCell ref="BX5:BX6"/>
    <mergeCell ref="BN6:BO7"/>
    <mergeCell ref="BV7:BV8"/>
    <mergeCell ref="T7:T8"/>
    <mergeCell ref="U7:U8"/>
    <mergeCell ref="V7:V8"/>
    <mergeCell ref="Y7:Y8"/>
    <mergeCell ref="CB7:CB8"/>
    <mergeCell ref="CD7:CD8"/>
    <mergeCell ref="CC5:CC6"/>
    <mergeCell ref="BW7:BW8"/>
    <mergeCell ref="BX7:BX8"/>
    <mergeCell ref="BY7:BY8"/>
    <mergeCell ref="BZ7:BZ8"/>
    <mergeCell ref="CA5:CA6"/>
    <mergeCell ref="AO3:AQ5"/>
    <mergeCell ref="AR3:AT5"/>
    <mergeCell ref="AU3:AW5"/>
    <mergeCell ref="AX3:AZ5"/>
    <mergeCell ref="BA3:BC5"/>
    <mergeCell ref="CC7:CC8"/>
    <mergeCell ref="CK7:CL8"/>
    <mergeCell ref="CM7:CM8"/>
    <mergeCell ref="AG9:AG10"/>
    <mergeCell ref="AH9:AH10"/>
    <mergeCell ref="AC7:AC8"/>
    <mergeCell ref="AD7:AD8"/>
    <mergeCell ref="AE7:AE8"/>
    <mergeCell ref="AG7:AG8"/>
    <mergeCell ref="AH7:AH8"/>
    <mergeCell ref="BI8:BM9"/>
    <mergeCell ref="BN8:BO9"/>
    <mergeCell ref="CE7:CE8"/>
    <mergeCell ref="CF7:CH8"/>
    <mergeCell ref="CI7:CI8"/>
    <mergeCell ref="CJ7:CJ8"/>
    <mergeCell ref="CA7:CA8"/>
    <mergeCell ref="Z7:AB8"/>
    <mergeCell ref="BR3:BU8"/>
    <mergeCell ref="BV3:BW4"/>
    <mergeCell ref="CA3:CB4"/>
    <mergeCell ref="BY5:BY6"/>
    <mergeCell ref="BZ5:BZ6"/>
    <mergeCell ref="CB5:CB6"/>
    <mergeCell ref="CD5:CD6"/>
    <mergeCell ref="AL6:AN8"/>
    <mergeCell ref="AO6:AQ8"/>
    <mergeCell ref="AR6:AT8"/>
    <mergeCell ref="AU6:AW8"/>
    <mergeCell ref="AD9:AD10"/>
    <mergeCell ref="AE9:AE10"/>
    <mergeCell ref="BV5:BV6"/>
    <mergeCell ref="BW5:BW6"/>
    <mergeCell ref="C3:F6"/>
    <mergeCell ref="AL3:AN5"/>
    <mergeCell ref="S5:S6"/>
    <mergeCell ref="T5:T6"/>
    <mergeCell ref="U5:U6"/>
    <mergeCell ref="V5:V6"/>
    <mergeCell ref="AC5:AC6"/>
    <mergeCell ref="AD5:AD6"/>
    <mergeCell ref="AE5:AE6"/>
    <mergeCell ref="AG5:AG6"/>
    <mergeCell ref="G5:G6"/>
    <mergeCell ref="H5:H6"/>
    <mergeCell ref="I5:I6"/>
    <mergeCell ref="J5:J6"/>
    <mergeCell ref="K5:K6"/>
    <mergeCell ref="R5:R6"/>
    <mergeCell ref="BN3:BO4"/>
    <mergeCell ref="G3:K4"/>
    <mergeCell ref="R3:V4"/>
    <mergeCell ref="AC3:AG4"/>
    <mergeCell ref="BI3:BM4"/>
    <mergeCell ref="AX6:AZ8"/>
    <mergeCell ref="BA6:BC8"/>
    <mergeCell ref="BI6:BM7"/>
    <mergeCell ref="AH5:AH6"/>
    <mergeCell ref="C7:C8"/>
    <mergeCell ref="D7:F8"/>
    <mergeCell ref="G7:G8"/>
    <mergeCell ref="H7:H8"/>
    <mergeCell ref="I7:I8"/>
    <mergeCell ref="J7:J8"/>
    <mergeCell ref="K7:K8"/>
    <mergeCell ref="I19:I20"/>
    <mergeCell ref="C64:C65"/>
    <mergeCell ref="D64:F65"/>
    <mergeCell ref="G64:G65"/>
    <mergeCell ref="H64:H65"/>
    <mergeCell ref="I64:I65"/>
    <mergeCell ref="J64:J65"/>
    <mergeCell ref="K64:K65"/>
    <mergeCell ref="N64:N65"/>
    <mergeCell ref="O64:Q65"/>
    <mergeCell ref="R64:R65"/>
    <mergeCell ref="S64:S65"/>
    <mergeCell ref="T64:T65"/>
    <mergeCell ref="V64:V65"/>
    <mergeCell ref="S11:S12"/>
    <mergeCell ref="C13:C14"/>
    <mergeCell ref="D13:F14"/>
    <mergeCell ref="G13:G14"/>
    <mergeCell ref="H13:H14"/>
    <mergeCell ref="C17:C18"/>
    <mergeCell ref="D17:F18"/>
    <mergeCell ref="G17:G18"/>
    <mergeCell ref="H17:H18"/>
    <mergeCell ref="C15:C16"/>
    <mergeCell ref="D15:F16"/>
    <mergeCell ref="G15:G16"/>
    <mergeCell ref="H15:H16"/>
    <mergeCell ref="U25:U26"/>
    <mergeCell ref="V25:V26"/>
    <mergeCell ref="J19:J20"/>
    <mergeCell ref="K19:K20"/>
    <mergeCell ref="N19:N20"/>
    <mergeCell ref="C66:C67"/>
    <mergeCell ref="D66:F67"/>
    <mergeCell ref="G66:G67"/>
    <mergeCell ref="H66:H67"/>
    <mergeCell ref="I66:I67"/>
    <mergeCell ref="J66:J67"/>
    <mergeCell ref="K66:K67"/>
    <mergeCell ref="N66:N67"/>
    <mergeCell ref="O66:Q67"/>
    <mergeCell ref="R66:R67"/>
    <mergeCell ref="S66:S67"/>
    <mergeCell ref="T66:T67"/>
    <mergeCell ref="V66:V67"/>
    <mergeCell ref="R60:V61"/>
    <mergeCell ref="N23:N24"/>
    <mergeCell ref="O23:Q24"/>
    <mergeCell ref="R23:R24"/>
    <mergeCell ref="H19:H20"/>
    <mergeCell ref="T21:T22"/>
    <mergeCell ref="U21:U22"/>
    <mergeCell ref="G62:G63"/>
    <mergeCell ref="G70:G71"/>
    <mergeCell ref="H70:H71"/>
    <mergeCell ref="I70:I71"/>
    <mergeCell ref="J70:J71"/>
    <mergeCell ref="K70:K71"/>
    <mergeCell ref="R70:R71"/>
    <mergeCell ref="C70:C71"/>
    <mergeCell ref="D70:F71"/>
    <mergeCell ref="R68:R69"/>
    <mergeCell ref="S68:S69"/>
    <mergeCell ref="K76:K77"/>
    <mergeCell ref="N76:N77"/>
    <mergeCell ref="O76:Q77"/>
    <mergeCell ref="C74:C75"/>
    <mergeCell ref="D74:F75"/>
    <mergeCell ref="C72:C73"/>
    <mergeCell ref="D72:F73"/>
    <mergeCell ref="K72:K73"/>
    <mergeCell ref="G72:G73"/>
    <mergeCell ref="H72:H73"/>
    <mergeCell ref="I72:I73"/>
    <mergeCell ref="J72:J73"/>
    <mergeCell ref="R76:R77"/>
    <mergeCell ref="S76:S77"/>
    <mergeCell ref="C68:C69"/>
    <mergeCell ref="D68:F69"/>
    <mergeCell ref="G68:G69"/>
    <mergeCell ref="H68:H69"/>
    <mergeCell ref="I68:I69"/>
    <mergeCell ref="J68:J69"/>
    <mergeCell ref="K68:K69"/>
    <mergeCell ref="S70:S71"/>
    <mergeCell ref="H76:H77"/>
    <mergeCell ref="I76:I77"/>
    <mergeCell ref="J76:J77"/>
    <mergeCell ref="K74:K75"/>
    <mergeCell ref="R74:R75"/>
    <mergeCell ref="CD63:CD64"/>
    <mergeCell ref="CE63:CE64"/>
    <mergeCell ref="CF63:CH64"/>
    <mergeCell ref="CI63:CI64"/>
    <mergeCell ref="BY63:BY64"/>
    <mergeCell ref="CK63:CL64"/>
    <mergeCell ref="BR63:BU64"/>
    <mergeCell ref="N70:N71"/>
    <mergeCell ref="O70:Q71"/>
    <mergeCell ref="T68:T69"/>
    <mergeCell ref="V68:V69"/>
    <mergeCell ref="W68:W69"/>
    <mergeCell ref="AD68:AD69"/>
    <mergeCell ref="AE68:AE69"/>
    <mergeCell ref="AF68:AF69"/>
    <mergeCell ref="AD64:AD65"/>
    <mergeCell ref="AE64:AE65"/>
    <mergeCell ref="AF64:AF65"/>
    <mergeCell ref="CF73:CH74"/>
    <mergeCell ref="CI73:CI74"/>
    <mergeCell ref="BR73:BU74"/>
    <mergeCell ref="CJ73:CJ74"/>
    <mergeCell ref="BD62:BD63"/>
    <mergeCell ref="CM71:CM72"/>
    <mergeCell ref="BC68:BC69"/>
    <mergeCell ref="BD68:BD69"/>
    <mergeCell ref="BF68:BF69"/>
    <mergeCell ref="BW77:BW78"/>
    <mergeCell ref="W66:W67"/>
    <mergeCell ref="CE65:CE66"/>
    <mergeCell ref="CF65:CH66"/>
    <mergeCell ref="CI65:CI66"/>
    <mergeCell ref="BX65:BX66"/>
    <mergeCell ref="BY65:BY66"/>
    <mergeCell ref="BZ65:BZ66"/>
    <mergeCell ref="CA65:CA66"/>
    <mergeCell ref="CB65:CB66"/>
    <mergeCell ref="BY71:BY72"/>
    <mergeCell ref="BZ71:BZ72"/>
    <mergeCell ref="N78:N79"/>
    <mergeCell ref="CM75:CM76"/>
    <mergeCell ref="AD66:AD67"/>
    <mergeCell ref="CK75:CL76"/>
    <mergeCell ref="BX75:BX76"/>
    <mergeCell ref="BY75:BY76"/>
    <mergeCell ref="BZ75:BZ76"/>
    <mergeCell ref="BD66:BD67"/>
    <mergeCell ref="BF66:BF67"/>
    <mergeCell ref="BG66:BG67"/>
    <mergeCell ref="AL68:AL69"/>
    <mergeCell ref="BV75:BV76"/>
    <mergeCell ref="BW75:BW76"/>
    <mergeCell ref="BZ73:BZ74"/>
    <mergeCell ref="BF70:BF71"/>
    <mergeCell ref="AX66:AX67"/>
    <mergeCell ref="N80:N81"/>
    <mergeCell ref="O80:Q81"/>
    <mergeCell ref="R80:R81"/>
    <mergeCell ref="S80:S81"/>
    <mergeCell ref="T80:T81"/>
    <mergeCell ref="V80:V81"/>
    <mergeCell ref="W80:W81"/>
    <mergeCell ref="CJ65:CJ66"/>
    <mergeCell ref="CK65:CL66"/>
    <mergeCell ref="BR65:BU66"/>
    <mergeCell ref="BV67:BV68"/>
    <mergeCell ref="BW67:BW68"/>
    <mergeCell ref="CC63:CC64"/>
    <mergeCell ref="CB73:CB74"/>
    <mergeCell ref="CD73:CD74"/>
    <mergeCell ref="CE73:CE74"/>
    <mergeCell ref="N68:N69"/>
    <mergeCell ref="O68:Q69"/>
    <mergeCell ref="O78:Q79"/>
    <mergeCell ref="R78:R79"/>
    <mergeCell ref="BG68:BG69"/>
    <mergeCell ref="T70:T71"/>
    <mergeCell ref="V70:V71"/>
    <mergeCell ref="W70:W71"/>
    <mergeCell ref="U78:U79"/>
    <mergeCell ref="AM68:AO69"/>
    <mergeCell ref="AP68:AP69"/>
    <mergeCell ref="AQ68:AQ69"/>
    <mergeCell ref="AR68:AR69"/>
    <mergeCell ref="CB75:CB76"/>
    <mergeCell ref="S74:S75"/>
    <mergeCell ref="T74:T75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201B-FD88-DA49-A888-E89D9E5FFBE6}">
  <sheetPr>
    <tabColor rgb="FF7030A0"/>
  </sheetPr>
  <dimension ref="B2:BW98"/>
  <sheetViews>
    <sheetView topLeftCell="T1" zoomScale="62" workbookViewId="0">
      <selection activeCell="CL85" sqref="CL85:CM86"/>
    </sheetView>
  </sheetViews>
  <sheetFormatPr defaultColWidth="10.875" defaultRowHeight="15.95" customHeight="1"/>
  <cols>
    <col min="11" max="11" width="10.875" customWidth="1"/>
    <col min="17" max="20" width="10.875" customWidth="1"/>
    <col min="21" max="21" width="13.75" customWidth="1"/>
    <col min="29" max="29" width="10.875" customWidth="1"/>
    <col min="31" max="34" width="10.875" customWidth="1"/>
    <col min="48" max="54" width="10.875" customWidth="1"/>
    <col min="55" max="55" width="14.75" bestFit="1" customWidth="1"/>
    <col min="59" max="59" width="11.25" bestFit="1" customWidth="1"/>
    <col min="60" max="60" width="12.375" bestFit="1" customWidth="1"/>
    <col min="61" max="61" width="12.75" bestFit="1" customWidth="1"/>
    <col min="63" max="63" width="10.875" customWidth="1"/>
    <col min="73" max="74" width="12" bestFit="1" customWidth="1"/>
    <col min="75" max="80" width="11" bestFit="1" customWidth="1"/>
  </cols>
  <sheetData>
    <row r="2" spans="2:75" ht="15.95" customHeight="1" thickBot="1"/>
    <row r="3" spans="2:75" ht="15.95" customHeight="1">
      <c r="F3" s="523" t="s">
        <v>461</v>
      </c>
      <c r="G3" s="524"/>
      <c r="H3" s="524"/>
      <c r="I3" s="524"/>
      <c r="J3" s="524"/>
      <c r="K3" s="525"/>
      <c r="M3" s="435" t="s">
        <v>437</v>
      </c>
      <c r="N3" s="436"/>
      <c r="O3" s="437"/>
      <c r="P3" s="435" t="s">
        <v>270</v>
      </c>
      <c r="Q3" s="436"/>
      <c r="R3" s="437"/>
      <c r="S3" s="435" t="s">
        <v>113</v>
      </c>
      <c r="T3" s="436"/>
      <c r="U3" s="437"/>
      <c r="V3" s="435" t="s">
        <v>271</v>
      </c>
      <c r="W3" s="436"/>
      <c r="X3" s="437"/>
      <c r="Y3" s="435" t="s">
        <v>139</v>
      </c>
      <c r="Z3" s="436"/>
      <c r="AA3" s="437"/>
      <c r="AB3" s="435" t="s">
        <v>272</v>
      </c>
      <c r="AC3" s="436"/>
      <c r="AD3" s="437"/>
      <c r="AJ3" s="533" t="s">
        <v>98</v>
      </c>
      <c r="AK3" s="534"/>
      <c r="AL3" s="534"/>
      <c r="AM3" s="534"/>
      <c r="AN3" s="535"/>
      <c r="AO3" s="488">
        <f>AH55</f>
        <v>1221</v>
      </c>
      <c r="AP3" s="489"/>
      <c r="AR3" s="492"/>
      <c r="AS3" s="493"/>
      <c r="AT3" s="493"/>
      <c r="AU3" s="494"/>
      <c r="AV3" s="1077"/>
      <c r="AW3" s="1253"/>
      <c r="AX3" s="1078"/>
      <c r="AY3" s="573"/>
      <c r="AZ3" s="574"/>
      <c r="BA3" s="575"/>
    </row>
    <row r="4" spans="2:75" ht="15.95" customHeight="1" thickBot="1">
      <c r="F4" s="526"/>
      <c r="G4" s="527"/>
      <c r="H4" s="527"/>
      <c r="I4" s="527"/>
      <c r="J4" s="527"/>
      <c r="K4" s="528"/>
      <c r="M4" s="438"/>
      <c r="N4" s="439"/>
      <c r="O4" s="440"/>
      <c r="P4" s="438"/>
      <c r="Q4" s="439"/>
      <c r="R4" s="440"/>
      <c r="S4" s="438"/>
      <c r="T4" s="439"/>
      <c r="U4" s="440"/>
      <c r="V4" s="438"/>
      <c r="W4" s="439"/>
      <c r="X4" s="440"/>
      <c r="Y4" s="438"/>
      <c r="Z4" s="439"/>
      <c r="AA4" s="440"/>
      <c r="AB4" s="438"/>
      <c r="AC4" s="439"/>
      <c r="AD4" s="440"/>
      <c r="AJ4" s="536"/>
      <c r="AK4" s="537"/>
      <c r="AL4" s="537"/>
      <c r="AM4" s="537"/>
      <c r="AN4" s="538"/>
      <c r="AO4" s="490"/>
      <c r="AP4" s="491"/>
      <c r="AR4" s="495"/>
      <c r="AS4" s="496"/>
      <c r="AT4" s="496"/>
      <c r="AU4" s="497"/>
      <c r="AV4" s="1079"/>
      <c r="AW4" s="1254"/>
      <c r="AX4" s="1080"/>
      <c r="AY4" s="579"/>
      <c r="AZ4" s="580"/>
      <c r="BA4" s="581"/>
    </row>
    <row r="5" spans="2:75" ht="15.95" customHeight="1" thickBot="1">
      <c r="F5" s="1067" t="s">
        <v>274</v>
      </c>
      <c r="G5" s="1067" t="s">
        <v>16</v>
      </c>
      <c r="H5" s="1067" t="s">
        <v>13</v>
      </c>
      <c r="I5" s="1067" t="s">
        <v>118</v>
      </c>
      <c r="J5" s="1067" t="s">
        <v>275</v>
      </c>
      <c r="K5" s="1067" t="s">
        <v>277</v>
      </c>
      <c r="M5" s="441"/>
      <c r="N5" s="442"/>
      <c r="O5" s="443"/>
      <c r="P5" s="441"/>
      <c r="Q5" s="442"/>
      <c r="R5" s="443"/>
      <c r="S5" s="441"/>
      <c r="T5" s="442"/>
      <c r="U5" s="443"/>
      <c r="V5" s="441"/>
      <c r="W5" s="442"/>
      <c r="X5" s="443"/>
      <c r="Y5" s="441"/>
      <c r="Z5" s="442"/>
      <c r="AA5" s="443"/>
      <c r="AB5" s="441"/>
      <c r="AC5" s="442"/>
      <c r="AD5" s="443"/>
      <c r="AO5" s="1"/>
      <c r="AP5" s="1"/>
      <c r="AR5" s="495"/>
      <c r="AS5" s="496"/>
      <c r="AT5" s="496"/>
      <c r="AU5" s="497"/>
      <c r="AV5" s="433">
        <f>AD47</f>
        <v>5</v>
      </c>
      <c r="AW5" s="433">
        <f>AE47</f>
        <v>11</v>
      </c>
      <c r="AX5" s="433">
        <f>AF47</f>
        <v>3</v>
      </c>
      <c r="AY5" s="433">
        <f>AD49</f>
        <v>5</v>
      </c>
      <c r="AZ5" s="433">
        <f>AE49</f>
        <v>10</v>
      </c>
      <c r="BA5" s="433">
        <f>AF49</f>
        <v>3</v>
      </c>
      <c r="BB5" s="444">
        <f>SUM(AV5:BA6)</f>
        <v>37</v>
      </c>
    </row>
    <row r="6" spans="2:75" ht="15.95" customHeight="1" thickBot="1">
      <c r="F6" s="485"/>
      <c r="G6" s="485"/>
      <c r="H6" s="485"/>
      <c r="I6" s="485"/>
      <c r="J6" s="485"/>
      <c r="K6" s="485"/>
      <c r="M6" s="560">
        <f>K25</f>
        <v>713.57999999999993</v>
      </c>
      <c r="N6" s="561"/>
      <c r="O6" s="562"/>
      <c r="P6" s="1081">
        <v>0</v>
      </c>
      <c r="Q6" s="1082"/>
      <c r="R6" s="1083"/>
      <c r="S6" s="560">
        <f>M6+P6</f>
        <v>713.57999999999993</v>
      </c>
      <c r="T6" s="561"/>
      <c r="U6" s="562"/>
      <c r="V6" s="582">
        <f>J25</f>
        <v>42</v>
      </c>
      <c r="W6" s="456"/>
      <c r="X6" s="457"/>
      <c r="Y6" s="559">
        <v>45260</v>
      </c>
      <c r="Z6" s="456"/>
      <c r="AA6" s="457"/>
      <c r="AB6" s="560">
        <f>S6</f>
        <v>713.57999999999993</v>
      </c>
      <c r="AC6" s="561"/>
      <c r="AD6" s="562"/>
      <c r="AJ6" s="583" t="s">
        <v>147</v>
      </c>
      <c r="AK6" s="594"/>
      <c r="AL6" s="594"/>
      <c r="AM6" s="594"/>
      <c r="AN6" s="584"/>
      <c r="AO6" s="427">
        <f>AB6</f>
        <v>713.57999999999993</v>
      </c>
      <c r="AP6" s="428"/>
      <c r="AR6" s="495"/>
      <c r="AS6" s="496"/>
      <c r="AT6" s="496"/>
      <c r="AU6" s="497"/>
      <c r="AV6" s="434"/>
      <c r="AW6" s="434"/>
      <c r="AX6" s="434"/>
      <c r="AY6" s="434"/>
      <c r="AZ6" s="434"/>
      <c r="BA6" s="434"/>
      <c r="BB6" s="445"/>
    </row>
    <row r="7" spans="2:75" ht="15.95" customHeight="1">
      <c r="B7" s="545"/>
      <c r="C7" s="547" t="s">
        <v>279</v>
      </c>
      <c r="D7" s="548"/>
      <c r="E7" s="548"/>
      <c r="F7" s="555">
        <v>16.989999999999998</v>
      </c>
      <c r="G7" s="649">
        <v>6</v>
      </c>
      <c r="H7" s="649">
        <v>12</v>
      </c>
      <c r="I7" s="557">
        <v>3</v>
      </c>
      <c r="J7" s="557">
        <f>SUM(G7:I8)</f>
        <v>21</v>
      </c>
      <c r="K7" s="519">
        <f>F7*J7</f>
        <v>356.78999999999996</v>
      </c>
      <c r="M7" s="563"/>
      <c r="N7" s="564"/>
      <c r="O7" s="565"/>
      <c r="P7" s="1084"/>
      <c r="Q7" s="1085"/>
      <c r="R7" s="1086"/>
      <c r="S7" s="563"/>
      <c r="T7" s="564"/>
      <c r="U7" s="565"/>
      <c r="V7" s="458"/>
      <c r="W7" s="459"/>
      <c r="X7" s="460"/>
      <c r="Y7" s="458"/>
      <c r="Z7" s="459"/>
      <c r="AA7" s="460"/>
      <c r="AB7" s="563"/>
      <c r="AC7" s="564"/>
      <c r="AD7" s="565"/>
      <c r="AJ7" s="529"/>
      <c r="AK7" s="530"/>
      <c r="AL7" s="530"/>
      <c r="AM7" s="530"/>
      <c r="AN7" s="531"/>
      <c r="AO7" s="429"/>
      <c r="AP7" s="430"/>
      <c r="AR7" s="495"/>
      <c r="AS7" s="496"/>
      <c r="AT7" s="496"/>
      <c r="AU7" s="497"/>
      <c r="AV7" s="521" t="s">
        <v>16</v>
      </c>
      <c r="AW7" s="521" t="s">
        <v>13</v>
      </c>
      <c r="AX7" s="521" t="s">
        <v>118</v>
      </c>
      <c r="AY7" s="521" t="s">
        <v>16</v>
      </c>
      <c r="AZ7" s="521" t="s">
        <v>13</v>
      </c>
      <c r="BA7" s="521" t="s">
        <v>118</v>
      </c>
      <c r="BB7" s="484" t="s">
        <v>275</v>
      </c>
      <c r="BC7" s="484" t="s">
        <v>277</v>
      </c>
      <c r="BD7" s="583" t="s">
        <v>280</v>
      </c>
      <c r="BE7" s="594"/>
      <c r="BF7" s="584"/>
      <c r="BG7" s="596" t="s">
        <v>281</v>
      </c>
      <c r="BH7" s="596" t="s">
        <v>282</v>
      </c>
      <c r="BI7" s="583" t="s">
        <v>272</v>
      </c>
      <c r="BJ7" s="584"/>
      <c r="BK7" s="587" t="s">
        <v>139</v>
      </c>
    </row>
    <row r="8" spans="2:75" ht="15.95" customHeight="1" thickBot="1">
      <c r="B8" s="546"/>
      <c r="C8" s="550"/>
      <c r="D8" s="551"/>
      <c r="E8" s="551"/>
      <c r="F8" s="556"/>
      <c r="G8" s="520"/>
      <c r="H8" s="520"/>
      <c r="I8" s="558"/>
      <c r="J8" s="558"/>
      <c r="K8" s="640"/>
      <c r="M8" s="566"/>
      <c r="N8" s="567"/>
      <c r="O8" s="568"/>
      <c r="P8" s="1087"/>
      <c r="Q8" s="1088"/>
      <c r="R8" s="1089"/>
      <c r="S8" s="566"/>
      <c r="T8" s="567"/>
      <c r="U8" s="568"/>
      <c r="V8" s="461"/>
      <c r="W8" s="462"/>
      <c r="X8" s="463"/>
      <c r="Y8" s="461"/>
      <c r="Z8" s="462"/>
      <c r="AA8" s="463"/>
      <c r="AB8" s="566"/>
      <c r="AC8" s="567"/>
      <c r="AD8" s="568"/>
      <c r="AJ8" s="529" t="s">
        <v>141</v>
      </c>
      <c r="AK8" s="530"/>
      <c r="AL8" s="530"/>
      <c r="AM8" s="530"/>
      <c r="AN8" s="531"/>
      <c r="AO8" s="532">
        <f>U23</f>
        <v>228.69</v>
      </c>
      <c r="AP8" s="430"/>
      <c r="AR8" s="498"/>
      <c r="AS8" s="499"/>
      <c r="AT8" s="499"/>
      <c r="AU8" s="500"/>
      <c r="AV8" s="871"/>
      <c r="AW8" s="871"/>
      <c r="AX8" s="871"/>
      <c r="AY8" s="871"/>
      <c r="AZ8" s="871"/>
      <c r="BA8" s="871"/>
      <c r="BB8" s="485"/>
      <c r="BC8" s="485"/>
      <c r="BD8" s="585"/>
      <c r="BE8" s="595"/>
      <c r="BF8" s="586"/>
      <c r="BG8" s="597"/>
      <c r="BH8" s="597"/>
      <c r="BI8" s="585"/>
      <c r="BJ8" s="586"/>
      <c r="BK8" s="588"/>
    </row>
    <row r="9" spans="2:75" ht="15.95" customHeight="1">
      <c r="B9" s="639"/>
      <c r="C9" s="547" t="s">
        <v>376</v>
      </c>
      <c r="D9" s="548"/>
      <c r="E9" s="548"/>
      <c r="F9" s="555">
        <f>$F$7</f>
        <v>16.989999999999998</v>
      </c>
      <c r="G9" s="649"/>
      <c r="H9" s="649"/>
      <c r="I9" s="557"/>
      <c r="J9" s="557">
        <f t="shared" ref="J9" si="0">SUM(G9:I10)</f>
        <v>0</v>
      </c>
      <c r="K9" s="519">
        <f>F9*J9</f>
        <v>0</v>
      </c>
      <c r="AJ9" s="529"/>
      <c r="AK9" s="530"/>
      <c r="AL9" s="530"/>
      <c r="AM9" s="530"/>
      <c r="AN9" s="531"/>
      <c r="AO9" s="429"/>
      <c r="AP9" s="430"/>
      <c r="AR9" s="1214" t="s">
        <v>46</v>
      </c>
      <c r="AS9" s="1215"/>
      <c r="AT9" s="1215"/>
      <c r="AU9" s="1216"/>
      <c r="AV9" s="1249"/>
      <c r="AW9" s="1232"/>
      <c r="AX9" s="1232"/>
      <c r="AY9" s="1291"/>
      <c r="AZ9" s="1232">
        <v>1</v>
      </c>
      <c r="BA9" s="1265"/>
      <c r="BB9" s="1300">
        <f>SUM(AV9:BA10)</f>
        <v>1</v>
      </c>
      <c r="BC9" s="1295">
        <f>AV9*$AC$47+AW9*$AC$47+AX9*$AC$47+AY9*$AC$49+AZ9*$AC$49+BA9*$AC$49</f>
        <v>33</v>
      </c>
      <c r="BD9" s="1292" t="s">
        <v>462</v>
      </c>
      <c r="BE9" s="1293"/>
      <c r="BF9" s="1294"/>
      <c r="BG9" s="1295"/>
      <c r="BH9" s="1295">
        <v>66</v>
      </c>
      <c r="BI9" s="1268" t="s">
        <v>286</v>
      </c>
      <c r="BJ9" s="1269"/>
      <c r="BK9" s="1286">
        <v>45372</v>
      </c>
      <c r="BS9" t="s">
        <v>463</v>
      </c>
      <c r="BT9" t="s">
        <v>464</v>
      </c>
      <c r="BU9" t="s">
        <v>465</v>
      </c>
      <c r="BV9" t="s">
        <v>464</v>
      </c>
      <c r="BW9" t="s">
        <v>466</v>
      </c>
    </row>
    <row r="10" spans="2:75" ht="15.95" customHeight="1" thickBot="1">
      <c r="B10" s="639"/>
      <c r="C10" s="550"/>
      <c r="D10" s="551"/>
      <c r="E10" s="551"/>
      <c r="F10" s="556"/>
      <c r="G10" s="520"/>
      <c r="H10" s="520"/>
      <c r="I10" s="558"/>
      <c r="J10" s="558"/>
      <c r="K10" s="640"/>
      <c r="AJ10" s="529"/>
      <c r="AK10" s="530"/>
      <c r="AL10" s="530"/>
      <c r="AM10" s="530"/>
      <c r="AN10" s="531"/>
      <c r="AO10" s="532"/>
      <c r="AP10" s="430"/>
      <c r="AR10" s="1217"/>
      <c r="AS10" s="1218"/>
      <c r="AT10" s="1218"/>
      <c r="AU10" s="1219"/>
      <c r="AV10" s="1243"/>
      <c r="AW10" s="1233"/>
      <c r="AX10" s="1233"/>
      <c r="AY10" s="1285"/>
      <c r="AZ10" s="1233"/>
      <c r="BA10" s="1266"/>
      <c r="BB10" s="1273"/>
      <c r="BC10" s="1274"/>
      <c r="BD10" s="1278"/>
      <c r="BE10" s="1279"/>
      <c r="BF10" s="1280"/>
      <c r="BG10" s="1274"/>
      <c r="BH10" s="1274"/>
      <c r="BI10" s="1270"/>
      <c r="BJ10" s="1271"/>
      <c r="BK10" s="1287"/>
      <c r="BR10" s="194" t="s">
        <v>467</v>
      </c>
      <c r="BS10">
        <v>17.3</v>
      </c>
      <c r="BT10" s="192">
        <v>0.14599999999999999</v>
      </c>
      <c r="BU10" s="30">
        <v>19000</v>
      </c>
      <c r="BV10" s="192">
        <v>0.16300000000000001</v>
      </c>
      <c r="BW10" s="192">
        <v>0.11799999999999999</v>
      </c>
    </row>
    <row r="11" spans="2:75" ht="15.95" customHeight="1">
      <c r="B11" s="653"/>
      <c r="C11" s="547" t="s">
        <v>302</v>
      </c>
      <c r="D11" s="548"/>
      <c r="E11" s="548"/>
      <c r="F11" s="555">
        <f t="shared" ref="F11" si="1">$F$7</f>
        <v>16.989999999999998</v>
      </c>
      <c r="G11" s="649"/>
      <c r="H11" s="649"/>
      <c r="I11" s="557"/>
      <c r="J11" s="557">
        <f t="shared" ref="J11" si="2">SUM(G11:I12)</f>
        <v>0</v>
      </c>
      <c r="K11" s="519">
        <f>F11*J11</f>
        <v>0</v>
      </c>
      <c r="M11" s="608" t="s">
        <v>141</v>
      </c>
      <c r="N11" s="609"/>
      <c r="O11" s="609"/>
      <c r="P11" s="610"/>
      <c r="Y11" s="492"/>
      <c r="Z11" s="493"/>
      <c r="AA11" s="493"/>
      <c r="AB11" s="494"/>
      <c r="AJ11" s="529"/>
      <c r="AK11" s="530"/>
      <c r="AL11" s="530"/>
      <c r="AM11" s="530"/>
      <c r="AN11" s="531"/>
      <c r="AO11" s="429"/>
      <c r="AP11" s="430"/>
      <c r="AR11" s="1214" t="s">
        <v>468</v>
      </c>
      <c r="AS11" s="1215"/>
      <c r="AT11" s="1215"/>
      <c r="AU11" s="1216"/>
      <c r="AV11" s="1242"/>
      <c r="AW11" s="1236"/>
      <c r="AX11" s="1236"/>
      <c r="AY11" s="1234"/>
      <c r="AZ11" s="1236">
        <v>1</v>
      </c>
      <c r="BA11" s="1301"/>
      <c r="BB11" s="1272">
        <f>SUM(AV23:BA24)</f>
        <v>2</v>
      </c>
      <c r="BC11" s="1267">
        <f>AV11*$AC$47+AW11*$AC$47+AX11*$AC$47+AY11*$AC$49+AZ11*$AC$49+BA11*$AC$49</f>
        <v>33</v>
      </c>
      <c r="BD11" s="1275" t="s">
        <v>428</v>
      </c>
      <c r="BE11" s="1276"/>
      <c r="BF11" s="1277"/>
      <c r="BG11" s="1267"/>
      <c r="BH11" s="1302">
        <v>33</v>
      </c>
      <c r="BI11" s="1298" t="s">
        <v>286</v>
      </c>
      <c r="BJ11" s="1299"/>
      <c r="BK11" s="1290">
        <v>45385</v>
      </c>
      <c r="BR11" s="195" t="s">
        <v>469</v>
      </c>
      <c r="BS11">
        <v>11.8</v>
      </c>
      <c r="BT11" s="193">
        <v>0.17</v>
      </c>
      <c r="BU11" s="30">
        <v>9767</v>
      </c>
      <c r="BV11" s="192">
        <v>0.19700000000000001</v>
      </c>
      <c r="BW11" s="192">
        <v>0.28599999999999998</v>
      </c>
    </row>
    <row r="12" spans="2:75" ht="15.95" customHeight="1" thickBot="1">
      <c r="B12" s="653"/>
      <c r="C12" s="550"/>
      <c r="D12" s="551"/>
      <c r="E12" s="551"/>
      <c r="F12" s="556"/>
      <c r="G12" s="520"/>
      <c r="H12" s="520"/>
      <c r="I12" s="558"/>
      <c r="J12" s="558"/>
      <c r="K12" s="640"/>
      <c r="M12" s="611"/>
      <c r="N12" s="612"/>
      <c r="O12" s="612"/>
      <c r="P12" s="613"/>
      <c r="Y12" s="495"/>
      <c r="Z12" s="496"/>
      <c r="AA12" s="496"/>
      <c r="AB12" s="497"/>
      <c r="AJ12" s="529"/>
      <c r="AK12" s="530"/>
      <c r="AL12" s="530"/>
      <c r="AM12" s="530"/>
      <c r="AN12" s="531"/>
      <c r="AO12" s="532"/>
      <c r="AP12" s="430"/>
      <c r="AR12" s="1229"/>
      <c r="AS12" s="1230"/>
      <c r="AT12" s="1230"/>
      <c r="AU12" s="1231"/>
      <c r="AV12" s="1243"/>
      <c r="AW12" s="1233"/>
      <c r="AX12" s="1233"/>
      <c r="AY12" s="1285"/>
      <c r="AZ12" s="1233"/>
      <c r="BA12" s="1266"/>
      <c r="BB12" s="1273"/>
      <c r="BC12" s="1274"/>
      <c r="BD12" s="1278"/>
      <c r="BE12" s="1279"/>
      <c r="BF12" s="1280"/>
      <c r="BG12" s="1274"/>
      <c r="BH12" s="1303"/>
      <c r="BI12" s="1270"/>
      <c r="BJ12" s="1271"/>
      <c r="BK12" s="1287"/>
      <c r="BR12" t="s">
        <v>470</v>
      </c>
      <c r="BS12">
        <v>10.8</v>
      </c>
      <c r="BT12" s="192">
        <v>0.106</v>
      </c>
      <c r="BU12" s="30">
        <v>12900</v>
      </c>
      <c r="BV12" s="192">
        <v>0.126</v>
      </c>
      <c r="BW12" s="192">
        <v>0.111</v>
      </c>
    </row>
    <row r="13" spans="2:75" ht="15.95" customHeight="1">
      <c r="B13" s="658"/>
      <c r="C13" s="547" t="s">
        <v>305</v>
      </c>
      <c r="D13" s="548"/>
      <c r="E13" s="548"/>
      <c r="F13" s="555">
        <f t="shared" ref="F13" si="3">$F$7</f>
        <v>16.989999999999998</v>
      </c>
      <c r="G13" s="649"/>
      <c r="H13" s="649"/>
      <c r="I13" s="557"/>
      <c r="J13" s="557">
        <f t="shared" ref="J13" si="4">SUM(G13:I14)</f>
        <v>0</v>
      </c>
      <c r="K13" s="519">
        <f>F13*J13</f>
        <v>0</v>
      </c>
      <c r="M13" s="611"/>
      <c r="N13" s="612"/>
      <c r="O13" s="612"/>
      <c r="P13" s="613"/>
      <c r="Q13" s="1200" t="s">
        <v>274</v>
      </c>
      <c r="R13" s="484" t="s">
        <v>275</v>
      </c>
      <c r="S13" s="484" t="s">
        <v>102</v>
      </c>
      <c r="T13" s="605" t="s">
        <v>292</v>
      </c>
      <c r="U13" s="484" t="s">
        <v>277</v>
      </c>
      <c r="Y13" s="495"/>
      <c r="Z13" s="496"/>
      <c r="AA13" s="496"/>
      <c r="AB13" s="497"/>
      <c r="AC13" s="484" t="s">
        <v>293</v>
      </c>
      <c r="AD13" s="484" t="s">
        <v>16</v>
      </c>
      <c r="AE13" s="484" t="s">
        <v>13</v>
      </c>
      <c r="AF13" s="484" t="s">
        <v>118</v>
      </c>
      <c r="AG13" s="484" t="s">
        <v>275</v>
      </c>
      <c r="AH13" s="484" t="s">
        <v>277</v>
      </c>
      <c r="AJ13" s="529"/>
      <c r="AK13" s="530"/>
      <c r="AL13" s="530"/>
      <c r="AM13" s="530"/>
      <c r="AN13" s="531"/>
      <c r="AO13" s="429"/>
      <c r="AP13" s="430"/>
      <c r="AR13" s="1214" t="s">
        <v>96</v>
      </c>
      <c r="AS13" s="1215"/>
      <c r="AT13" s="1215"/>
      <c r="AU13" s="1216"/>
      <c r="AV13" s="1249"/>
      <c r="AW13" s="1232"/>
      <c r="AX13" s="1232"/>
      <c r="AY13" s="1291"/>
      <c r="AZ13" s="1232">
        <v>1</v>
      </c>
      <c r="BA13" s="1300"/>
      <c r="BB13" s="1300">
        <f t="shared" ref="BB13" si="5">SUM(AV13:BA14)</f>
        <v>1</v>
      </c>
      <c r="BC13" s="1295">
        <f>AV13*$AC$47+AW13*$AC$47+AX13*$AC$47+AY13*$AC$49+AZ13*$AC$49+BA13*$AC$49</f>
        <v>33</v>
      </c>
      <c r="BD13" s="1292" t="s">
        <v>428</v>
      </c>
      <c r="BE13" s="1293"/>
      <c r="BF13" s="1294"/>
      <c r="BG13" s="1295"/>
      <c r="BH13" s="1295">
        <v>33</v>
      </c>
      <c r="BI13" s="1292" t="s">
        <v>286</v>
      </c>
      <c r="BJ13" s="1294"/>
      <c r="BK13" s="1286">
        <v>45385</v>
      </c>
      <c r="BR13" t="s">
        <v>471</v>
      </c>
      <c r="BS13">
        <v>3.8</v>
      </c>
      <c r="BT13" s="192">
        <v>0.38700000000000001</v>
      </c>
      <c r="BU13" s="30">
        <v>7800</v>
      </c>
      <c r="BV13" s="193">
        <v>0.5</v>
      </c>
      <c r="BW13" s="192">
        <v>0.36399999999999999</v>
      </c>
    </row>
    <row r="14" spans="2:75" ht="15.95" customHeight="1" thickBot="1">
      <c r="B14" s="658"/>
      <c r="C14" s="550"/>
      <c r="D14" s="551"/>
      <c r="E14" s="551"/>
      <c r="F14" s="556"/>
      <c r="G14" s="520"/>
      <c r="H14" s="520"/>
      <c r="I14" s="558"/>
      <c r="J14" s="558"/>
      <c r="K14" s="640"/>
      <c r="M14" s="614"/>
      <c r="N14" s="615"/>
      <c r="O14" s="615"/>
      <c r="P14" s="616"/>
      <c r="Q14" s="1201"/>
      <c r="R14" s="485"/>
      <c r="S14" s="485"/>
      <c r="T14" s="606"/>
      <c r="U14" s="485"/>
      <c r="Y14" s="498"/>
      <c r="Z14" s="499"/>
      <c r="AA14" s="499"/>
      <c r="AB14" s="500"/>
      <c r="AC14" s="485"/>
      <c r="AD14" s="485"/>
      <c r="AE14" s="485"/>
      <c r="AF14" s="485"/>
      <c r="AG14" s="485"/>
      <c r="AH14" s="485"/>
      <c r="AJ14" s="529"/>
      <c r="AK14" s="530"/>
      <c r="AL14" s="530"/>
      <c r="AM14" s="530"/>
      <c r="AN14" s="531"/>
      <c r="AO14" s="532"/>
      <c r="AP14" s="430"/>
      <c r="AR14" s="1217"/>
      <c r="AS14" s="1218"/>
      <c r="AT14" s="1218"/>
      <c r="AU14" s="1219"/>
      <c r="AV14" s="1243"/>
      <c r="AW14" s="1233"/>
      <c r="AX14" s="1233"/>
      <c r="AY14" s="1285"/>
      <c r="AZ14" s="1233"/>
      <c r="BA14" s="1273"/>
      <c r="BB14" s="1273"/>
      <c r="BC14" s="1274"/>
      <c r="BD14" s="1278"/>
      <c r="BE14" s="1279"/>
      <c r="BF14" s="1280"/>
      <c r="BG14" s="1274"/>
      <c r="BH14" s="1274"/>
      <c r="BI14" s="1278"/>
      <c r="BJ14" s="1280"/>
      <c r="BK14" s="1287"/>
    </row>
    <row r="15" spans="2:75" ht="15.95" customHeight="1">
      <c r="B15" s="659"/>
      <c r="C15" s="547" t="s">
        <v>306</v>
      </c>
      <c r="D15" s="548"/>
      <c r="E15" s="548"/>
      <c r="F15" s="555">
        <f t="shared" ref="F15" si="6">$F$7</f>
        <v>16.989999999999998</v>
      </c>
      <c r="G15" s="649"/>
      <c r="H15" s="649"/>
      <c r="I15" s="557"/>
      <c r="J15" s="557">
        <f t="shared" ref="J15" si="7">SUM(G15:I16)</f>
        <v>0</v>
      </c>
      <c r="K15" s="519">
        <f>F15*J15</f>
        <v>0</v>
      </c>
      <c r="M15" s="545"/>
      <c r="N15" s="547" t="s">
        <v>378</v>
      </c>
      <c r="O15" s="548"/>
      <c r="P15" s="548"/>
      <c r="Q15" s="645">
        <v>6</v>
      </c>
      <c r="R15" s="878">
        <f>J7</f>
        <v>21</v>
      </c>
      <c r="S15" s="647">
        <f>((Q15*R15)*0.21)/R15</f>
        <v>1.2599999999999998</v>
      </c>
      <c r="T15" s="647">
        <f>Q15+S15</f>
        <v>7.26</v>
      </c>
      <c r="U15" s="519">
        <f>R15*T15</f>
        <v>152.46</v>
      </c>
      <c r="Y15" s="545"/>
      <c r="Z15" s="547" t="s">
        <v>378</v>
      </c>
      <c r="AA15" s="548"/>
      <c r="AB15" s="548"/>
      <c r="AC15" s="641">
        <f>Q47</f>
        <v>33</v>
      </c>
      <c r="AD15" s="643">
        <f>G7</f>
        <v>6</v>
      </c>
      <c r="AE15" s="643">
        <f>H7</f>
        <v>12</v>
      </c>
      <c r="AF15" s="643">
        <f>I7</f>
        <v>3</v>
      </c>
      <c r="AG15" s="643">
        <f>AD15+AE15+AF15</f>
        <v>21</v>
      </c>
      <c r="AH15" s="650">
        <f>AC15*AG15</f>
        <v>693</v>
      </c>
      <c r="AJ15" s="529"/>
      <c r="AK15" s="530"/>
      <c r="AL15" s="530"/>
      <c r="AM15" s="530"/>
      <c r="AN15" s="531"/>
      <c r="AO15" s="429"/>
      <c r="AP15" s="430"/>
      <c r="AR15" s="1214" t="s">
        <v>472</v>
      </c>
      <c r="AS15" s="1215"/>
      <c r="AT15" s="1215"/>
      <c r="AU15" s="1216"/>
      <c r="AV15" s="1234">
        <v>1</v>
      </c>
      <c r="AW15" s="1236"/>
      <c r="AX15" s="1236"/>
      <c r="AY15" s="1234"/>
      <c r="AZ15" s="1236"/>
      <c r="BA15" s="1263"/>
      <c r="BB15" s="1300">
        <f>SUM(AV25:BA26)</f>
        <v>1</v>
      </c>
      <c r="BC15" s="1295">
        <f>AV15*$AC$47+AW15*$AC$47+AX15*$AC$47+AY15*$AC$49+AZ15*$AC$49+BA15*$AC$49</f>
        <v>33</v>
      </c>
      <c r="BD15" s="1275" t="s">
        <v>428</v>
      </c>
      <c r="BE15" s="1276"/>
      <c r="BF15" s="1277"/>
      <c r="BG15" s="1267"/>
      <c r="BH15" s="1267">
        <v>33</v>
      </c>
      <c r="BI15" s="1268" t="s">
        <v>286</v>
      </c>
      <c r="BJ15" s="1269"/>
      <c r="BK15" s="1290">
        <v>45385</v>
      </c>
    </row>
    <row r="16" spans="2:75" ht="15.95" customHeight="1" thickBot="1">
      <c r="B16" s="659"/>
      <c r="C16" s="550"/>
      <c r="D16" s="551"/>
      <c r="E16" s="551"/>
      <c r="F16" s="556"/>
      <c r="G16" s="520"/>
      <c r="H16" s="520"/>
      <c r="I16" s="558"/>
      <c r="J16" s="558"/>
      <c r="K16" s="640"/>
      <c r="M16" s="1213"/>
      <c r="N16" s="550"/>
      <c r="O16" s="551"/>
      <c r="P16" s="551"/>
      <c r="Q16" s="646"/>
      <c r="R16" s="879"/>
      <c r="S16" s="648"/>
      <c r="T16" s="648"/>
      <c r="U16" s="640"/>
      <c r="Y16" s="1213"/>
      <c r="Z16" s="550"/>
      <c r="AA16" s="551"/>
      <c r="AB16" s="551"/>
      <c r="AC16" s="642"/>
      <c r="AD16" s="644"/>
      <c r="AE16" s="644"/>
      <c r="AF16" s="644"/>
      <c r="AG16" s="644"/>
      <c r="AH16" s="651"/>
      <c r="AJ16" s="529"/>
      <c r="AK16" s="530"/>
      <c r="AL16" s="530"/>
      <c r="AM16" s="530"/>
      <c r="AN16" s="531"/>
      <c r="AO16" s="532"/>
      <c r="AP16" s="600"/>
      <c r="AR16" s="1229"/>
      <c r="AS16" s="1230"/>
      <c r="AT16" s="1230"/>
      <c r="AU16" s="1231"/>
      <c r="AV16" s="1235"/>
      <c r="AW16" s="1237"/>
      <c r="AX16" s="1237"/>
      <c r="AY16" s="1235"/>
      <c r="AZ16" s="1237"/>
      <c r="BA16" s="1266"/>
      <c r="BB16" s="1273"/>
      <c r="BC16" s="1274"/>
      <c r="BD16" s="1275"/>
      <c r="BE16" s="1276"/>
      <c r="BF16" s="1277"/>
      <c r="BG16" s="1267"/>
      <c r="BH16" s="1267"/>
      <c r="BI16" s="1270"/>
      <c r="BJ16" s="1271"/>
      <c r="BK16" s="1290"/>
    </row>
    <row r="17" spans="2:75" ht="15.95" customHeight="1" thickBot="1">
      <c r="B17" s="683"/>
      <c r="C17" s="547" t="s">
        <v>444</v>
      </c>
      <c r="D17" s="548"/>
      <c r="E17" s="548"/>
      <c r="F17" s="555">
        <f t="shared" ref="F17" si="8">$F$7</f>
        <v>16.989999999999998</v>
      </c>
      <c r="G17" s="649"/>
      <c r="H17" s="649"/>
      <c r="I17" s="557"/>
      <c r="J17" s="557">
        <f t="shared" ref="J17" si="9">SUM(G17:I18)</f>
        <v>0</v>
      </c>
      <c r="K17" s="519">
        <f>F17*J17</f>
        <v>0</v>
      </c>
      <c r="M17" s="638"/>
      <c r="N17" s="547" t="s">
        <v>473</v>
      </c>
      <c r="O17" s="548"/>
      <c r="P17" s="548"/>
      <c r="Q17" s="571">
        <v>3</v>
      </c>
      <c r="R17" s="878">
        <f>J19</f>
        <v>21</v>
      </c>
      <c r="S17" s="647">
        <f>((Q17*R17)*0.21)/R17</f>
        <v>0.62999999999999989</v>
      </c>
      <c r="T17" s="647">
        <f>Q17+S17</f>
        <v>3.63</v>
      </c>
      <c r="U17" s="519">
        <f>R17*T17</f>
        <v>76.23</v>
      </c>
      <c r="Y17" s="638"/>
      <c r="Z17" s="547" t="s">
        <v>473</v>
      </c>
      <c r="AA17" s="548"/>
      <c r="AB17" s="548"/>
      <c r="AC17" s="641">
        <f>Q49</f>
        <v>33</v>
      </c>
      <c r="AD17" s="649">
        <f>G19</f>
        <v>6</v>
      </c>
      <c r="AE17" s="649">
        <f>H19</f>
        <v>12</v>
      </c>
      <c r="AF17" s="649">
        <f>I19</f>
        <v>3</v>
      </c>
      <c r="AG17" s="643">
        <f>AD17+AE17+AF17</f>
        <v>21</v>
      </c>
      <c r="AH17" s="650">
        <f>AC17*AG17</f>
        <v>693</v>
      </c>
      <c r="AJ17" s="585"/>
      <c r="AK17" s="595"/>
      <c r="AL17" s="595"/>
      <c r="AM17" s="595"/>
      <c r="AN17" s="586"/>
      <c r="AO17" s="601"/>
      <c r="AP17" s="602"/>
      <c r="AR17" s="1214" t="s">
        <v>48</v>
      </c>
      <c r="AS17" s="1215"/>
      <c r="AT17" s="1215"/>
      <c r="AU17" s="1216"/>
      <c r="AV17" s="1249"/>
      <c r="AW17" s="1232">
        <v>1</v>
      </c>
      <c r="AX17" s="1232"/>
      <c r="AY17" s="1291"/>
      <c r="AZ17" s="1232">
        <v>1</v>
      </c>
      <c r="BA17" s="1263"/>
      <c r="BB17" s="1300">
        <f>SUM(AV45:BA46)</f>
        <v>1</v>
      </c>
      <c r="BC17" s="1295">
        <f>AV17*$AC$47+AW17*$AC$47+AX17*$AC$47+AY17*$AC$49+AZ17*$AC$49+BA17*$AC$49</f>
        <v>66</v>
      </c>
      <c r="BD17" s="1292" t="s">
        <v>462</v>
      </c>
      <c r="BE17" s="1293"/>
      <c r="BF17" s="1294"/>
      <c r="BG17" s="1295"/>
      <c r="BH17" s="1295">
        <v>66</v>
      </c>
      <c r="BI17" s="1268" t="s">
        <v>286</v>
      </c>
      <c r="BJ17" s="1269"/>
      <c r="BK17" s="1286">
        <v>45385</v>
      </c>
    </row>
    <row r="18" spans="2:75" ht="15.95" customHeight="1" thickBot="1">
      <c r="B18" s="683"/>
      <c r="C18" s="550"/>
      <c r="D18" s="551"/>
      <c r="E18" s="551"/>
      <c r="F18" s="556"/>
      <c r="G18" s="520"/>
      <c r="H18" s="520"/>
      <c r="I18" s="558"/>
      <c r="J18" s="558"/>
      <c r="K18" s="640"/>
      <c r="M18" s="864"/>
      <c r="N18" s="550"/>
      <c r="O18" s="551"/>
      <c r="P18" s="551"/>
      <c r="Q18" s="572"/>
      <c r="R18" s="879"/>
      <c r="S18" s="648"/>
      <c r="T18" s="648"/>
      <c r="U18" s="640"/>
      <c r="V18" s="2"/>
      <c r="Y18" s="864"/>
      <c r="Z18" s="550"/>
      <c r="AA18" s="551"/>
      <c r="AB18" s="551"/>
      <c r="AC18" s="642"/>
      <c r="AD18" s="520"/>
      <c r="AE18" s="520"/>
      <c r="AF18" s="520"/>
      <c r="AG18" s="644"/>
      <c r="AH18" s="651"/>
      <c r="AJ18" s="617" t="s">
        <v>145</v>
      </c>
      <c r="AK18" s="618"/>
      <c r="AL18" s="618"/>
      <c r="AM18" s="618"/>
      <c r="AN18" s="619"/>
      <c r="AO18" s="623">
        <f>SUM(AO6:AP17)</f>
        <v>942.27</v>
      </c>
      <c r="AP18" s="624"/>
      <c r="AR18" s="1217"/>
      <c r="AS18" s="1218"/>
      <c r="AT18" s="1218"/>
      <c r="AU18" s="1219"/>
      <c r="AV18" s="1243"/>
      <c r="AW18" s="1233"/>
      <c r="AX18" s="1233"/>
      <c r="AY18" s="1285"/>
      <c r="AZ18" s="1233"/>
      <c r="BA18" s="1266"/>
      <c r="BB18" s="1273"/>
      <c r="BC18" s="1274"/>
      <c r="BD18" s="1278"/>
      <c r="BE18" s="1279"/>
      <c r="BF18" s="1280"/>
      <c r="BG18" s="1274"/>
      <c r="BH18" s="1274"/>
      <c r="BI18" s="1270"/>
      <c r="BJ18" s="1271"/>
      <c r="BK18" s="1287"/>
    </row>
    <row r="19" spans="2:75" ht="15.95" customHeight="1" thickBot="1">
      <c r="B19" s="638"/>
      <c r="C19" s="547" t="s">
        <v>294</v>
      </c>
      <c r="D19" s="548"/>
      <c r="E19" s="548"/>
      <c r="F19" s="555">
        <f t="shared" ref="F19" si="10">$F$7</f>
        <v>16.989999999999998</v>
      </c>
      <c r="G19" s="649">
        <v>6</v>
      </c>
      <c r="H19" s="649">
        <v>12</v>
      </c>
      <c r="I19" s="557">
        <v>3</v>
      </c>
      <c r="J19" s="557">
        <f t="shared" ref="J19" si="11">SUM(G19:I20)</f>
        <v>21</v>
      </c>
      <c r="K19" s="519">
        <f>F19*J19</f>
        <v>356.78999999999996</v>
      </c>
      <c r="M19" s="880"/>
      <c r="N19" s="547"/>
      <c r="O19" s="548"/>
      <c r="P19" s="549"/>
      <c r="Q19" s="571"/>
      <c r="R19" s="878"/>
      <c r="S19" s="647"/>
      <c r="T19" s="647"/>
      <c r="U19" s="519"/>
      <c r="V19" s="2"/>
      <c r="Y19" s="880"/>
      <c r="Z19" s="547"/>
      <c r="AA19" s="548"/>
      <c r="AB19" s="549"/>
      <c r="AC19" s="641"/>
      <c r="AD19" s="649"/>
      <c r="AE19" s="649"/>
      <c r="AF19" s="649"/>
      <c r="AG19" s="643"/>
      <c r="AH19" s="650"/>
      <c r="AJ19" s="620"/>
      <c r="AK19" s="621"/>
      <c r="AL19" s="621"/>
      <c r="AM19" s="621"/>
      <c r="AN19" s="622"/>
      <c r="AO19" s="625"/>
      <c r="AP19" s="626"/>
      <c r="AR19" s="1214" t="s">
        <v>35</v>
      </c>
      <c r="AS19" s="1215"/>
      <c r="AT19" s="1215"/>
      <c r="AU19" s="1216"/>
      <c r="AV19" s="1250">
        <v>1</v>
      </c>
      <c r="AW19" s="1248"/>
      <c r="AX19" s="1248"/>
      <c r="AY19" s="1250">
        <v>1</v>
      </c>
      <c r="AZ19" s="1248"/>
      <c r="BA19" s="1263"/>
      <c r="BB19" s="1300">
        <f>SUM(AV47:BA48)</f>
        <v>1</v>
      </c>
      <c r="BC19" s="1295">
        <f>AV19*$AC$47+AW19*$AC$47+AX19*$AC$47+AY19*$AC$49+AZ19*$AC$49+BA19*$AC$49</f>
        <v>66</v>
      </c>
      <c r="BD19" s="1292" t="s">
        <v>462</v>
      </c>
      <c r="BE19" s="1293"/>
      <c r="BF19" s="1294"/>
      <c r="BG19" s="1295"/>
      <c r="BH19" s="1295">
        <v>66</v>
      </c>
      <c r="BI19" s="1268" t="s">
        <v>286</v>
      </c>
      <c r="BJ19" s="1269"/>
      <c r="BK19" s="1286">
        <v>45385</v>
      </c>
    </row>
    <row r="20" spans="2:75" ht="15.95" customHeight="1" thickBot="1">
      <c r="B20" s="638"/>
      <c r="C20" s="550"/>
      <c r="D20" s="551"/>
      <c r="E20" s="551"/>
      <c r="F20" s="556"/>
      <c r="G20" s="520"/>
      <c r="H20" s="520"/>
      <c r="I20" s="558"/>
      <c r="J20" s="558"/>
      <c r="K20" s="640"/>
      <c r="M20" s="607"/>
      <c r="N20" s="550"/>
      <c r="O20" s="551"/>
      <c r="P20" s="552"/>
      <c r="Q20" s="572"/>
      <c r="R20" s="879"/>
      <c r="S20" s="648"/>
      <c r="T20" s="648"/>
      <c r="U20" s="640"/>
      <c r="V20" s="2"/>
      <c r="Y20" s="607"/>
      <c r="Z20" s="550"/>
      <c r="AA20" s="551"/>
      <c r="AB20" s="552"/>
      <c r="AC20" s="642"/>
      <c r="AD20" s="520"/>
      <c r="AE20" s="520"/>
      <c r="AF20" s="520"/>
      <c r="AG20" s="644"/>
      <c r="AH20" s="651"/>
      <c r="AO20" s="1"/>
      <c r="AP20" s="1"/>
      <c r="AR20" s="1217"/>
      <c r="AS20" s="1218"/>
      <c r="AT20" s="1218"/>
      <c r="AU20" s="1219"/>
      <c r="AV20" s="1235"/>
      <c r="AW20" s="1237"/>
      <c r="AX20" s="1237"/>
      <c r="AY20" s="1235"/>
      <c r="AZ20" s="1237"/>
      <c r="BA20" s="1266"/>
      <c r="BB20" s="1273"/>
      <c r="BC20" s="1274"/>
      <c r="BD20" s="1278"/>
      <c r="BE20" s="1279"/>
      <c r="BF20" s="1280"/>
      <c r="BG20" s="1274"/>
      <c r="BH20" s="1274"/>
      <c r="BI20" s="1270"/>
      <c r="BJ20" s="1271"/>
      <c r="BK20" s="1287"/>
    </row>
    <row r="21" spans="2:75" ht="15.95" customHeight="1">
      <c r="B21" s="684"/>
      <c r="C21" s="547" t="s">
        <v>443</v>
      </c>
      <c r="D21" s="548"/>
      <c r="E21" s="548"/>
      <c r="F21" s="555">
        <f t="shared" ref="F21" si="12">$F$7</f>
        <v>16.989999999999998</v>
      </c>
      <c r="G21" s="649"/>
      <c r="H21" s="649"/>
      <c r="I21" s="557"/>
      <c r="J21" s="557">
        <f t="shared" ref="J21" si="13">SUM(G21:I22)</f>
        <v>0</v>
      </c>
      <c r="K21" s="519">
        <f>F21*J21</f>
        <v>0</v>
      </c>
      <c r="M21" s="880"/>
      <c r="N21" s="547"/>
      <c r="O21" s="548"/>
      <c r="P21" s="549"/>
      <c r="Q21" s="666"/>
      <c r="R21" s="878"/>
      <c r="S21" s="647"/>
      <c r="T21" s="519"/>
      <c r="U21" s="519"/>
      <c r="V21" s="2"/>
      <c r="Y21" s="880"/>
      <c r="Z21" s="547"/>
      <c r="AA21" s="548"/>
      <c r="AB21" s="549"/>
      <c r="AC21" s="641"/>
      <c r="AD21" s="649"/>
      <c r="AE21" s="649"/>
      <c r="AF21" s="649"/>
      <c r="AG21" s="643"/>
      <c r="AH21" s="650"/>
      <c r="AJ21" s="628" t="s">
        <v>295</v>
      </c>
      <c r="AK21" s="629"/>
      <c r="AL21" s="629"/>
      <c r="AM21" s="629"/>
      <c r="AN21" s="630"/>
      <c r="AO21" s="634">
        <f>AO3-AO18</f>
        <v>278.73</v>
      </c>
      <c r="AP21" s="635"/>
      <c r="AR21" s="1214" t="s">
        <v>40</v>
      </c>
      <c r="AS21" s="1215"/>
      <c r="AT21" s="1215"/>
      <c r="AU21" s="1216"/>
      <c r="AV21" s="1250"/>
      <c r="AW21" s="1248"/>
      <c r="AX21" s="1248"/>
      <c r="AY21" s="1249">
        <v>1</v>
      </c>
      <c r="AZ21" s="1232"/>
      <c r="BA21" s="1300"/>
      <c r="BB21" s="1300">
        <f>SUM(AV37:BA38)</f>
        <v>1</v>
      </c>
      <c r="BC21" s="1295">
        <f>AV21*$AC$47+AW21*$AC$47+AX21*$AC$47+AY21*$AC$49+AZ21*$AC$49+BA21*$AC$49</f>
        <v>33</v>
      </c>
      <c r="BD21" s="1292" t="s">
        <v>428</v>
      </c>
      <c r="BE21" s="1293"/>
      <c r="BF21" s="1294"/>
      <c r="BG21" s="1295"/>
      <c r="BH21" s="1295">
        <v>33</v>
      </c>
      <c r="BI21" s="1268" t="s">
        <v>286</v>
      </c>
      <c r="BJ21" s="1269"/>
      <c r="BK21" s="1286">
        <v>45385</v>
      </c>
    </row>
    <row r="22" spans="2:75" ht="15.95" customHeight="1" thickBot="1">
      <c r="B22" s="685"/>
      <c r="C22" s="550"/>
      <c r="D22" s="551"/>
      <c r="E22" s="551"/>
      <c r="F22" s="556"/>
      <c r="G22" s="520"/>
      <c r="H22" s="520"/>
      <c r="I22" s="558"/>
      <c r="J22" s="558"/>
      <c r="K22" s="640"/>
      <c r="M22" s="881"/>
      <c r="N22" s="550"/>
      <c r="O22" s="551"/>
      <c r="P22" s="552"/>
      <c r="Q22" s="667"/>
      <c r="R22" s="884"/>
      <c r="S22" s="648"/>
      <c r="T22" s="669"/>
      <c r="U22" s="640"/>
      <c r="Y22" s="881"/>
      <c r="Z22" s="550"/>
      <c r="AA22" s="551"/>
      <c r="AB22" s="552"/>
      <c r="AC22" s="656"/>
      <c r="AD22" s="657"/>
      <c r="AE22" s="657"/>
      <c r="AF22" s="657"/>
      <c r="AG22" s="644"/>
      <c r="AH22" s="651"/>
      <c r="AJ22" s="631"/>
      <c r="AK22" s="632"/>
      <c r="AL22" s="632"/>
      <c r="AM22" s="632"/>
      <c r="AN22" s="633"/>
      <c r="AO22" s="636"/>
      <c r="AP22" s="637"/>
      <c r="AR22" s="1229"/>
      <c r="AS22" s="1230"/>
      <c r="AT22" s="1230"/>
      <c r="AU22" s="1231"/>
      <c r="AV22" s="1235"/>
      <c r="AW22" s="1237"/>
      <c r="AX22" s="1237"/>
      <c r="AY22" s="1243"/>
      <c r="AZ22" s="1233"/>
      <c r="BA22" s="1273"/>
      <c r="BB22" s="1273"/>
      <c r="BC22" s="1274"/>
      <c r="BD22" s="1278"/>
      <c r="BE22" s="1279"/>
      <c r="BF22" s="1280"/>
      <c r="BG22" s="1274"/>
      <c r="BH22" s="1274"/>
      <c r="BI22" s="1270"/>
      <c r="BJ22" s="1271"/>
      <c r="BK22" s="1287"/>
    </row>
    <row r="23" spans="2:75" ht="15.95" customHeight="1">
      <c r="B23" s="1028"/>
      <c r="C23" s="547" t="s">
        <v>447</v>
      </c>
      <c r="D23" s="548"/>
      <c r="E23" s="548"/>
      <c r="F23" s="687">
        <f t="shared" ref="F23" si="14">$F$7</f>
        <v>16.989999999999998</v>
      </c>
      <c r="G23" s="649"/>
      <c r="H23" s="649"/>
      <c r="I23" s="557"/>
      <c r="J23" s="557">
        <f t="shared" ref="J23" si="15">SUM(G23:I24)</f>
        <v>0</v>
      </c>
      <c r="K23" s="519">
        <f>F23*J23</f>
        <v>0</v>
      </c>
      <c r="Q23" s="3"/>
      <c r="R23" s="660">
        <f>SUM(R15:R22)</f>
        <v>42</v>
      </c>
      <c r="S23" s="662">
        <f>SUM(S15:S22)</f>
        <v>1.8899999999999997</v>
      </c>
      <c r="T23" s="44"/>
      <c r="U23" s="662">
        <f>SUM(U15:U22)</f>
        <v>228.69</v>
      </c>
      <c r="AC23" s="3"/>
      <c r="AD23" s="3"/>
      <c r="AE23" s="3"/>
      <c r="AG23" s="643">
        <f>SUM(AG15:AG22)</f>
        <v>42</v>
      </c>
      <c r="AH23" s="650">
        <f>SUM(AH15:AH22)</f>
        <v>1386</v>
      </c>
      <c r="AR23" s="1214" t="s">
        <v>37</v>
      </c>
      <c r="AS23" s="1215"/>
      <c r="AT23" s="1215"/>
      <c r="AU23" s="1216"/>
      <c r="AV23" s="1249"/>
      <c r="AW23" s="1232">
        <v>1</v>
      </c>
      <c r="AX23" s="1232"/>
      <c r="AY23" s="1291"/>
      <c r="AZ23" s="1232">
        <v>1</v>
      </c>
      <c r="BA23" s="1263"/>
      <c r="BB23" s="1300">
        <f>SUM(AV49:BA50)</f>
        <v>1</v>
      </c>
      <c r="BC23" s="1295">
        <f>AV23*$AC$47+AW23*$AC$47+AX23*$AC$47+AY23*$AC$49+AZ23*$AC$49+BA23*$AC$49</f>
        <v>66</v>
      </c>
      <c r="BD23" s="1292" t="s">
        <v>462</v>
      </c>
      <c r="BE23" s="1293"/>
      <c r="BF23" s="1294"/>
      <c r="BG23" s="1295"/>
      <c r="BH23" s="1295">
        <v>66</v>
      </c>
      <c r="BI23" s="1296">
        <v>66</v>
      </c>
      <c r="BJ23" s="1297"/>
      <c r="BK23" s="1286">
        <v>45401</v>
      </c>
    </row>
    <row r="24" spans="2:75" ht="15.95" customHeight="1" thickBot="1">
      <c r="B24" s="1029"/>
      <c r="C24" s="550"/>
      <c r="D24" s="551"/>
      <c r="E24" s="551"/>
      <c r="F24" s="688"/>
      <c r="G24" s="520"/>
      <c r="H24" s="520"/>
      <c r="I24" s="558"/>
      <c r="J24" s="558"/>
      <c r="K24" s="640"/>
      <c r="Q24" s="3"/>
      <c r="R24" s="661"/>
      <c r="S24" s="663"/>
      <c r="T24" s="44"/>
      <c r="U24" s="663"/>
      <c r="AC24" s="3"/>
      <c r="AD24" s="3"/>
      <c r="AE24" s="3"/>
      <c r="AG24" s="664"/>
      <c r="AH24" s="665"/>
      <c r="AR24" s="1217"/>
      <c r="AS24" s="1218"/>
      <c r="AT24" s="1218"/>
      <c r="AU24" s="1219"/>
      <c r="AV24" s="1243"/>
      <c r="AW24" s="1233"/>
      <c r="AX24" s="1233"/>
      <c r="AY24" s="1285"/>
      <c r="AZ24" s="1233"/>
      <c r="BA24" s="1266"/>
      <c r="BB24" s="1273"/>
      <c r="BC24" s="1274"/>
      <c r="BD24" s="1275"/>
      <c r="BE24" s="1276"/>
      <c r="BF24" s="1277"/>
      <c r="BG24" s="1267"/>
      <c r="BH24" s="1267"/>
      <c r="BI24" s="1298"/>
      <c r="BJ24" s="1299"/>
      <c r="BK24" s="1290"/>
    </row>
    <row r="25" spans="2:75" ht="15.95" customHeight="1">
      <c r="C25" s="10"/>
      <c r="D25" s="10"/>
      <c r="E25" s="10"/>
      <c r="F25" s="15"/>
      <c r="G25" s="662">
        <f>SUM(G7:G24)</f>
        <v>12</v>
      </c>
      <c r="H25" s="885">
        <f>SUM(H7:H24)</f>
        <v>24</v>
      </c>
      <c r="I25" s="885">
        <f t="shared" ref="I25:K25" si="16">SUM(I7:I24)</f>
        <v>6</v>
      </c>
      <c r="J25" s="885">
        <f>SUM(J7:J24)</f>
        <v>42</v>
      </c>
      <c r="K25" s="662">
        <f t="shared" si="16"/>
        <v>713.57999999999993</v>
      </c>
      <c r="AC25" s="3"/>
      <c r="AD25" s="3"/>
      <c r="AE25" s="3"/>
      <c r="AF25" s="3"/>
      <c r="AG25" s="3"/>
      <c r="AR25" s="1214" t="s">
        <v>39</v>
      </c>
      <c r="AS25" s="1215"/>
      <c r="AT25" s="1215"/>
      <c r="AU25" s="1216"/>
      <c r="AV25" s="1249"/>
      <c r="AW25" s="1232"/>
      <c r="AX25" s="1232"/>
      <c r="AY25" s="1291"/>
      <c r="AZ25" s="1232">
        <v>1</v>
      </c>
      <c r="BA25" s="1263"/>
      <c r="BB25" s="1140">
        <f>SUM(AV19:BA20)</f>
        <v>2</v>
      </c>
      <c r="BC25" s="1142">
        <f>AV25*$AC$47+AW25*$AC$47+AX25*$AC$47+AY25*$AC$49+AZ25*$AC$49+BA25*$AC$49</f>
        <v>33</v>
      </c>
      <c r="BD25" s="1144"/>
      <c r="BE25" s="1145"/>
      <c r="BF25" s="1146"/>
      <c r="BG25" s="1142"/>
      <c r="BH25" s="1306"/>
      <c r="BI25" s="1255">
        <v>33</v>
      </c>
      <c r="BJ25" s="1256"/>
      <c r="BK25" s="1307"/>
    </row>
    <row r="26" spans="2:75" ht="15.95" customHeight="1" thickBot="1">
      <c r="C26" s="10"/>
      <c r="D26" s="10"/>
      <c r="E26" s="10"/>
      <c r="F26" s="15"/>
      <c r="G26" s="697"/>
      <c r="H26" s="697"/>
      <c r="I26" s="697"/>
      <c r="J26" s="697"/>
      <c r="K26" s="663"/>
      <c r="AC26" s="3"/>
      <c r="AD26" s="3"/>
      <c r="AE26" s="3"/>
      <c r="AF26" s="3"/>
      <c r="AG26" s="3"/>
      <c r="AR26" s="1217"/>
      <c r="AS26" s="1218"/>
      <c r="AT26" s="1218"/>
      <c r="AU26" s="1219"/>
      <c r="AV26" s="1243"/>
      <c r="AW26" s="1233"/>
      <c r="AX26" s="1233"/>
      <c r="AY26" s="1285"/>
      <c r="AZ26" s="1233"/>
      <c r="BA26" s="1266"/>
      <c r="BB26" s="1151"/>
      <c r="BC26" s="1152"/>
      <c r="BD26" s="1153"/>
      <c r="BE26" s="1161"/>
      <c r="BF26" s="1154"/>
      <c r="BG26" s="1152"/>
      <c r="BH26" s="1305"/>
      <c r="BI26" s="1257"/>
      <c r="BJ26" s="1258"/>
      <c r="BK26" s="1308"/>
    </row>
    <row r="27" spans="2:75" ht="15.95" customHeight="1">
      <c r="M27" s="608" t="s">
        <v>308</v>
      </c>
      <c r="N27" s="609"/>
      <c r="O27" s="609"/>
      <c r="P27" s="610"/>
      <c r="Y27" s="673" t="s">
        <v>309</v>
      </c>
      <c r="Z27" s="674"/>
      <c r="AA27" s="674"/>
      <c r="AB27" s="675"/>
      <c r="AC27" s="3"/>
      <c r="AD27" s="3"/>
      <c r="AE27" s="3"/>
      <c r="AF27" s="3"/>
      <c r="AG27" s="3"/>
      <c r="AR27" s="1214" t="s">
        <v>45</v>
      </c>
      <c r="AS27" s="1215"/>
      <c r="AT27" s="1215"/>
      <c r="AU27" s="1216"/>
      <c r="AV27" s="1249"/>
      <c r="AW27" s="1232"/>
      <c r="AX27" s="1232"/>
      <c r="AY27" s="1291"/>
      <c r="AZ27" s="1232"/>
      <c r="BA27" s="1265">
        <v>1</v>
      </c>
      <c r="BB27" s="1140">
        <f>SUM(AV33:BA34)</f>
        <v>1</v>
      </c>
      <c r="BC27" s="1142">
        <f>AV27*$AC$47+AW27*$AC$47+AX27*$AC$47+AY27*$AC$49+AZ27*$AC$49+BA27*$AC$49</f>
        <v>33</v>
      </c>
      <c r="BD27" s="1144"/>
      <c r="BE27" s="1145"/>
      <c r="BF27" s="1146"/>
      <c r="BG27" s="1142"/>
      <c r="BH27" s="1142"/>
      <c r="BI27" s="1281">
        <v>33</v>
      </c>
      <c r="BJ27" s="1282"/>
      <c r="BK27" s="1041"/>
    </row>
    <row r="28" spans="2:75" ht="15.95" customHeight="1" thickBot="1">
      <c r="M28" s="611"/>
      <c r="N28" s="612"/>
      <c r="O28" s="612"/>
      <c r="P28" s="613"/>
      <c r="Y28" s="676"/>
      <c r="Z28" s="677"/>
      <c r="AA28" s="677"/>
      <c r="AB28" s="678"/>
      <c r="AC28" s="3"/>
      <c r="AD28" s="3"/>
      <c r="AE28" s="3"/>
      <c r="AF28" s="3"/>
      <c r="AG28" s="3"/>
      <c r="AR28" s="1217"/>
      <c r="AS28" s="1218"/>
      <c r="AT28" s="1218"/>
      <c r="AU28" s="1219"/>
      <c r="AV28" s="1243"/>
      <c r="AW28" s="1233"/>
      <c r="AX28" s="1233"/>
      <c r="AY28" s="1285"/>
      <c r="AZ28" s="1233"/>
      <c r="BA28" s="1266"/>
      <c r="BB28" s="1151"/>
      <c r="BC28" s="1152"/>
      <c r="BD28" s="1153"/>
      <c r="BE28" s="1161"/>
      <c r="BF28" s="1154"/>
      <c r="BG28" s="1152"/>
      <c r="BH28" s="1152"/>
      <c r="BI28" s="1283"/>
      <c r="BJ28" s="1284"/>
      <c r="BK28" s="1042"/>
    </row>
    <row r="29" spans="2:75" ht="15.95" customHeight="1">
      <c r="M29" s="611"/>
      <c r="N29" s="612"/>
      <c r="O29" s="612"/>
      <c r="P29" s="613"/>
      <c r="Q29" s="484" t="s">
        <v>313</v>
      </c>
      <c r="R29" s="671" t="s">
        <v>141</v>
      </c>
      <c r="S29" s="484" t="s">
        <v>119</v>
      </c>
      <c r="T29" s="484" t="s">
        <v>277</v>
      </c>
      <c r="Y29" s="676"/>
      <c r="Z29" s="677"/>
      <c r="AA29" s="677"/>
      <c r="AB29" s="678"/>
      <c r="AC29" s="484" t="s">
        <v>16</v>
      </c>
      <c r="AD29" s="484" t="s">
        <v>13</v>
      </c>
      <c r="AE29" s="484" t="s">
        <v>118</v>
      </c>
      <c r="AF29" s="484" t="s">
        <v>275</v>
      </c>
      <c r="AG29" s="484" t="s">
        <v>314</v>
      </c>
      <c r="AH29" s="484" t="s">
        <v>277</v>
      </c>
      <c r="AR29" s="1214" t="s">
        <v>12</v>
      </c>
      <c r="AS29" s="1215"/>
      <c r="AT29" s="1215"/>
      <c r="AU29" s="1216"/>
      <c r="AV29" s="1250"/>
      <c r="AW29" s="1248">
        <v>1</v>
      </c>
      <c r="AX29" s="1248"/>
      <c r="AY29" s="1250"/>
      <c r="AZ29" s="1248"/>
      <c r="BA29" s="1263"/>
      <c r="BB29" s="1140">
        <f>SUM(AV29:BA30)</f>
        <v>1</v>
      </c>
      <c r="BC29" s="1142">
        <f>AV29*$AC$47+AW29*$AC$47+AX29*$AC$47+AY29*$AC$49+AZ29*$AC$49+BA29*$AC$49</f>
        <v>33</v>
      </c>
      <c r="BD29" s="1144"/>
      <c r="BE29" s="1145"/>
      <c r="BF29" s="1146"/>
      <c r="BG29" s="1142"/>
      <c r="BH29" s="1142"/>
      <c r="BI29" s="1255">
        <v>33</v>
      </c>
      <c r="BJ29" s="1256"/>
      <c r="BK29" s="1041"/>
    </row>
    <row r="30" spans="2:75" ht="15.95" customHeight="1" thickBot="1">
      <c r="M30" s="614"/>
      <c r="N30" s="615"/>
      <c r="O30" s="615"/>
      <c r="P30" s="616"/>
      <c r="Q30" s="485"/>
      <c r="R30" s="672"/>
      <c r="S30" s="485"/>
      <c r="T30" s="485"/>
      <c r="Y30" s="679"/>
      <c r="Z30" s="680"/>
      <c r="AA30" s="680"/>
      <c r="AB30" s="681"/>
      <c r="AC30" s="485"/>
      <c r="AD30" s="485"/>
      <c r="AE30" s="485"/>
      <c r="AF30" s="485"/>
      <c r="AG30" s="485"/>
      <c r="AH30" s="485"/>
      <c r="AR30" s="1217"/>
      <c r="AS30" s="1218"/>
      <c r="AT30" s="1218"/>
      <c r="AU30" s="1219"/>
      <c r="AV30" s="1234"/>
      <c r="AW30" s="1236"/>
      <c r="AX30" s="1236"/>
      <c r="AY30" s="1234"/>
      <c r="AZ30" s="1236"/>
      <c r="BA30" s="1266"/>
      <c r="BB30" s="1151"/>
      <c r="BC30" s="1152"/>
      <c r="BD30" s="1153"/>
      <c r="BE30" s="1161"/>
      <c r="BF30" s="1154"/>
      <c r="BG30" s="1152"/>
      <c r="BH30" s="1152"/>
      <c r="BI30" s="1257"/>
      <c r="BJ30" s="1258"/>
      <c r="BK30" s="1042"/>
    </row>
    <row r="31" spans="2:75" ht="15.95" customHeight="1">
      <c r="M31" s="545"/>
      <c r="N31" s="547" t="s">
        <v>378</v>
      </c>
      <c r="O31" s="548"/>
      <c r="P31" s="548"/>
      <c r="Q31" s="650">
        <f>F7</f>
        <v>16.989999999999998</v>
      </c>
      <c r="R31" s="650">
        <f>T15</f>
        <v>7.26</v>
      </c>
      <c r="S31" s="650">
        <v>0</v>
      </c>
      <c r="T31" s="650">
        <f>SUM(Q31:S32)</f>
        <v>24.25</v>
      </c>
      <c r="Y31" s="545"/>
      <c r="Z31" s="547" t="s">
        <v>378</v>
      </c>
      <c r="AA31" s="548"/>
      <c r="AB31" s="548"/>
      <c r="AC31" s="643">
        <v>1</v>
      </c>
      <c r="AD31" s="643">
        <v>1</v>
      </c>
      <c r="AE31" s="643"/>
      <c r="AF31" s="643">
        <f>AC31+AD31+AE31</f>
        <v>2</v>
      </c>
      <c r="AG31" s="891">
        <f>T31</f>
        <v>24.25</v>
      </c>
      <c r="AH31" s="891">
        <f>AG31*AF31</f>
        <v>48.5</v>
      </c>
      <c r="AR31" s="1214" t="s">
        <v>44</v>
      </c>
      <c r="AS31" s="1215"/>
      <c r="AT31" s="1215"/>
      <c r="AU31" s="1216"/>
      <c r="AV31" s="1250"/>
      <c r="AW31" s="1248">
        <v>1</v>
      </c>
      <c r="AX31" s="1248"/>
      <c r="AY31" s="1250"/>
      <c r="AZ31" s="1248"/>
      <c r="BA31" s="1263"/>
      <c r="BB31" s="1140">
        <f>SUM(AV39:BA40)</f>
        <v>1</v>
      </c>
      <c r="BC31" s="1142">
        <f>AV31*$AC$47+AW31*$AC$47+AX31*$AC$47+AY31*$AC$49+AZ31*$AC$49+BA31*$AC$49</f>
        <v>33</v>
      </c>
      <c r="BD31" s="1144"/>
      <c r="BE31" s="1145"/>
      <c r="BF31" s="1146"/>
      <c r="BG31" s="1142"/>
      <c r="BH31" s="1142"/>
      <c r="BI31" s="1281">
        <v>33</v>
      </c>
      <c r="BJ31" s="1282"/>
      <c r="BK31" s="1041"/>
      <c r="BR31" t="s">
        <v>474</v>
      </c>
      <c r="BS31" t="s">
        <v>463</v>
      </c>
      <c r="BT31" t="s">
        <v>464</v>
      </c>
      <c r="BU31" t="s">
        <v>465</v>
      </c>
      <c r="BV31" t="s">
        <v>464</v>
      </c>
      <c r="BW31" t="s">
        <v>466</v>
      </c>
    </row>
    <row r="32" spans="2:75" ht="15.95" customHeight="1" thickBot="1">
      <c r="M32" s="1213"/>
      <c r="N32" s="550"/>
      <c r="O32" s="551"/>
      <c r="P32" s="551"/>
      <c r="Q32" s="651"/>
      <c r="R32" s="651"/>
      <c r="S32" s="651"/>
      <c r="T32" s="651"/>
      <c r="Y32" s="1213"/>
      <c r="Z32" s="550"/>
      <c r="AA32" s="551"/>
      <c r="AB32" s="551"/>
      <c r="AC32" s="644"/>
      <c r="AD32" s="644"/>
      <c r="AE32" s="644"/>
      <c r="AF32" s="644"/>
      <c r="AG32" s="892"/>
      <c r="AH32" s="892"/>
      <c r="AR32" s="1217"/>
      <c r="AS32" s="1218"/>
      <c r="AT32" s="1218"/>
      <c r="AU32" s="1219"/>
      <c r="AV32" s="1235"/>
      <c r="AW32" s="1237"/>
      <c r="AX32" s="1237"/>
      <c r="AY32" s="1235"/>
      <c r="AZ32" s="1237"/>
      <c r="BA32" s="1266"/>
      <c r="BB32" s="1151"/>
      <c r="BC32" s="1152"/>
      <c r="BD32" s="1153"/>
      <c r="BE32" s="1161"/>
      <c r="BF32" s="1154"/>
      <c r="BG32" s="1152"/>
      <c r="BH32" s="1152"/>
      <c r="BI32" s="1283"/>
      <c r="BJ32" s="1284"/>
      <c r="BK32" s="1042"/>
      <c r="BR32" t="s">
        <v>475</v>
      </c>
      <c r="BS32">
        <v>18</v>
      </c>
      <c r="BT32" s="192">
        <v>0.21199999999999999</v>
      </c>
    </row>
    <row r="33" spans="13:75" ht="15.95" customHeight="1">
      <c r="M33" s="638"/>
      <c r="N33" s="547" t="s">
        <v>473</v>
      </c>
      <c r="O33" s="548"/>
      <c r="P33" s="548"/>
      <c r="Q33" s="519">
        <f>F19</f>
        <v>16.989999999999998</v>
      </c>
      <c r="R33" s="519">
        <f>T17</f>
        <v>3.63</v>
      </c>
      <c r="S33" s="519">
        <v>0</v>
      </c>
      <c r="T33" s="650">
        <f>SUM(Q33:S34)</f>
        <v>20.619999999999997</v>
      </c>
      <c r="Y33" s="638"/>
      <c r="Z33" s="547" t="s">
        <v>473</v>
      </c>
      <c r="AA33" s="548"/>
      <c r="AB33" s="548"/>
      <c r="AC33" s="649">
        <v>1</v>
      </c>
      <c r="AD33" s="649">
        <v>2</v>
      </c>
      <c r="AE33" s="649"/>
      <c r="AF33" s="643">
        <f t="shared" ref="AF33" si="17">AC33+AD33+AE33</f>
        <v>3</v>
      </c>
      <c r="AG33" s="891">
        <f>T33</f>
        <v>20.619999999999997</v>
      </c>
      <c r="AH33" s="891">
        <f>AG33*AF33</f>
        <v>61.859999999999992</v>
      </c>
      <c r="AR33" s="1214" t="s">
        <v>53</v>
      </c>
      <c r="AS33" s="1215"/>
      <c r="AT33" s="1215"/>
      <c r="AU33" s="1216"/>
      <c r="AV33" s="1250"/>
      <c r="AW33" s="1248"/>
      <c r="AX33" s="1248"/>
      <c r="AY33" s="1250"/>
      <c r="AZ33" s="1248">
        <v>1</v>
      </c>
      <c r="BA33" s="1263"/>
      <c r="BB33" s="1140">
        <f>SUM(AV27:BA28)</f>
        <v>1</v>
      </c>
      <c r="BC33" s="1142">
        <f>AV33*$AC$47+AW33*$AC$47+AX33*$AC$47+AY33*$AC$49+AZ33*$AC$49+BA33*$AC$49</f>
        <v>33</v>
      </c>
      <c r="BD33" s="1144"/>
      <c r="BE33" s="1145"/>
      <c r="BF33" s="1146"/>
      <c r="BG33" s="1142"/>
      <c r="BH33" s="1142"/>
      <c r="BI33" s="1281">
        <v>33</v>
      </c>
      <c r="BJ33" s="1282"/>
      <c r="BK33" s="1041"/>
      <c r="BR33" t="s">
        <v>476</v>
      </c>
      <c r="BS33">
        <v>14</v>
      </c>
      <c r="BT33" s="192">
        <v>9.0999999999999998E-2</v>
      </c>
    </row>
    <row r="34" spans="13:75" ht="15.95" customHeight="1" thickBot="1">
      <c r="M34" s="864"/>
      <c r="N34" s="550"/>
      <c r="O34" s="551"/>
      <c r="P34" s="551"/>
      <c r="Q34" s="640"/>
      <c r="R34" s="640"/>
      <c r="S34" s="640"/>
      <c r="T34" s="651"/>
      <c r="Y34" s="864"/>
      <c r="Z34" s="550"/>
      <c r="AA34" s="551"/>
      <c r="AB34" s="551"/>
      <c r="AC34" s="520"/>
      <c r="AD34" s="520"/>
      <c r="AE34" s="520"/>
      <c r="AF34" s="644"/>
      <c r="AG34" s="892"/>
      <c r="AH34" s="892"/>
      <c r="AR34" s="1217"/>
      <c r="AS34" s="1218"/>
      <c r="AT34" s="1218"/>
      <c r="AU34" s="1219"/>
      <c r="AV34" s="1235"/>
      <c r="AW34" s="1237"/>
      <c r="AX34" s="1237"/>
      <c r="AY34" s="1235"/>
      <c r="AZ34" s="1237"/>
      <c r="BA34" s="1266"/>
      <c r="BB34" s="1151"/>
      <c r="BC34" s="1152"/>
      <c r="BD34" s="1153"/>
      <c r="BE34" s="1161"/>
      <c r="BF34" s="1154"/>
      <c r="BG34" s="1152"/>
      <c r="BH34" s="1152"/>
      <c r="BI34" s="1283"/>
      <c r="BJ34" s="1284"/>
      <c r="BK34" s="1042"/>
      <c r="BR34" t="s">
        <v>477</v>
      </c>
      <c r="BS34">
        <v>13.9</v>
      </c>
      <c r="BT34" s="192">
        <v>0.13100000000000001</v>
      </c>
      <c r="BV34" t="s">
        <v>465</v>
      </c>
      <c r="BW34" t="s">
        <v>464</v>
      </c>
    </row>
    <row r="35" spans="13:75" ht="15.95" customHeight="1">
      <c r="M35" s="880"/>
      <c r="N35" s="547"/>
      <c r="O35" s="548"/>
      <c r="P35" s="549"/>
      <c r="Q35" s="519"/>
      <c r="R35" s="519"/>
      <c r="S35" s="519"/>
      <c r="T35" s="650"/>
      <c r="Y35" s="880"/>
      <c r="Z35" s="547"/>
      <c r="AA35" s="548"/>
      <c r="AB35" s="549"/>
      <c r="AC35" s="649"/>
      <c r="AD35" s="649"/>
      <c r="AE35" s="649"/>
      <c r="AF35" s="643"/>
      <c r="AG35" s="891"/>
      <c r="AH35" s="891"/>
      <c r="AR35" s="1214" t="s">
        <v>33</v>
      </c>
      <c r="AS35" s="1215"/>
      <c r="AT35" s="1215"/>
      <c r="AU35" s="1216"/>
      <c r="AV35" s="1250"/>
      <c r="AW35" s="1248"/>
      <c r="AX35" s="1248">
        <v>1</v>
      </c>
      <c r="AY35" s="1250"/>
      <c r="AZ35" s="1248"/>
      <c r="BA35" s="1263">
        <v>1</v>
      </c>
      <c r="BB35" s="1140">
        <f>SUM(AV41:BA42)</f>
        <v>1</v>
      </c>
      <c r="BC35" s="1142">
        <f>AV35*$AC$47+AW35*$AC$47+AX35*$AC$47+AY35*$AC$49+AZ35*$AC$49+BA35*$AC$49</f>
        <v>66</v>
      </c>
      <c r="BD35" s="1147"/>
      <c r="BE35" s="1148"/>
      <c r="BF35" s="1149"/>
      <c r="BG35" s="1143"/>
      <c r="BH35" s="1304"/>
      <c r="BI35" s="1281">
        <v>66</v>
      </c>
      <c r="BJ35" s="1282"/>
      <c r="BK35" s="1309"/>
      <c r="BR35" t="s">
        <v>478</v>
      </c>
      <c r="BS35">
        <v>10.4</v>
      </c>
      <c r="BT35" s="192">
        <v>0.218</v>
      </c>
      <c r="BU35" t="s">
        <v>475</v>
      </c>
      <c r="BV35" s="30">
        <v>20887</v>
      </c>
      <c r="BW35" s="192">
        <v>0.26700000000000002</v>
      </c>
    </row>
    <row r="36" spans="13:75" ht="15.95" customHeight="1" thickBot="1">
      <c r="M36" s="607"/>
      <c r="N36" s="550"/>
      <c r="O36" s="551"/>
      <c r="P36" s="552"/>
      <c r="Q36" s="640"/>
      <c r="R36" s="640"/>
      <c r="S36" s="640"/>
      <c r="T36" s="651"/>
      <c r="Y36" s="607"/>
      <c r="Z36" s="550"/>
      <c r="AA36" s="551"/>
      <c r="AB36" s="552"/>
      <c r="AC36" s="520"/>
      <c r="AD36" s="520"/>
      <c r="AE36" s="520"/>
      <c r="AF36" s="644"/>
      <c r="AG36" s="892"/>
      <c r="AH36" s="892"/>
      <c r="AR36" s="1217"/>
      <c r="AS36" s="1218"/>
      <c r="AT36" s="1218"/>
      <c r="AU36" s="1219"/>
      <c r="AV36" s="1235"/>
      <c r="AW36" s="1237"/>
      <c r="AX36" s="1237"/>
      <c r="AY36" s="1235"/>
      <c r="AZ36" s="1237"/>
      <c r="BA36" s="1264"/>
      <c r="BB36" s="1151"/>
      <c r="BC36" s="1152"/>
      <c r="BD36" s="1153"/>
      <c r="BE36" s="1161"/>
      <c r="BF36" s="1154"/>
      <c r="BG36" s="1152"/>
      <c r="BH36" s="1305"/>
      <c r="BI36" s="1283"/>
      <c r="BJ36" s="1284"/>
      <c r="BK36" s="1308"/>
      <c r="BR36" t="s">
        <v>264</v>
      </c>
      <c r="BS36">
        <v>7.5</v>
      </c>
      <c r="BT36" s="192">
        <v>0.29599999999999999</v>
      </c>
      <c r="BU36" t="s">
        <v>477</v>
      </c>
      <c r="BV36" s="30">
        <v>17722</v>
      </c>
      <c r="BW36" s="192">
        <v>0.16400000000000001</v>
      </c>
    </row>
    <row r="37" spans="13:75" ht="15.95" customHeight="1">
      <c r="M37" s="880"/>
      <c r="N37" s="547"/>
      <c r="O37" s="548"/>
      <c r="P37" s="549"/>
      <c r="Q37" s="519"/>
      <c r="R37" s="519"/>
      <c r="S37" s="519"/>
      <c r="T37" s="650"/>
      <c r="Y37" s="880"/>
      <c r="Z37" s="547"/>
      <c r="AA37" s="548"/>
      <c r="AB37" s="549"/>
      <c r="AC37" s="649"/>
      <c r="AD37" s="649"/>
      <c r="AE37" s="649"/>
      <c r="AF37" s="643"/>
      <c r="AG37" s="891"/>
      <c r="AH37" s="891"/>
      <c r="AR37" s="1214" t="s">
        <v>479</v>
      </c>
      <c r="AS37" s="1215"/>
      <c r="AT37" s="1215"/>
      <c r="AU37" s="1216"/>
      <c r="AV37" s="1234">
        <v>1</v>
      </c>
      <c r="AW37" s="1236"/>
      <c r="AX37" s="1236"/>
      <c r="AY37" s="1234"/>
      <c r="AZ37" s="1236"/>
      <c r="BA37" s="1263"/>
      <c r="BB37" s="1140">
        <f>SUM(AV43:BA44)</f>
        <v>1</v>
      </c>
      <c r="BC37" s="1142">
        <f>AV37*$AC$47+AW37*$AC$47+AX37*$AC$47+AY37*$AC$49+AZ37*$AC$49+BA37*$AC$49</f>
        <v>33</v>
      </c>
      <c r="BD37" s="1144"/>
      <c r="BE37" s="1145"/>
      <c r="BF37" s="1146"/>
      <c r="BG37" s="1142"/>
      <c r="BH37" s="1142"/>
      <c r="BI37" s="1281">
        <v>33</v>
      </c>
      <c r="BJ37" s="1282"/>
      <c r="BK37" s="1041"/>
      <c r="BU37" t="s">
        <v>476</v>
      </c>
      <c r="BV37" s="30">
        <v>20333</v>
      </c>
      <c r="BW37" s="192">
        <v>0.16500000000000001</v>
      </c>
    </row>
    <row r="38" spans="13:75" ht="15.95" customHeight="1" thickBot="1">
      <c r="M38" s="881"/>
      <c r="N38" s="550"/>
      <c r="O38" s="551"/>
      <c r="P38" s="552"/>
      <c r="Q38" s="669"/>
      <c r="R38" s="669"/>
      <c r="S38" s="669"/>
      <c r="T38" s="665"/>
      <c r="Y38" s="881"/>
      <c r="Z38" s="550"/>
      <c r="AA38" s="551"/>
      <c r="AB38" s="552"/>
      <c r="AC38" s="657"/>
      <c r="AD38" s="657"/>
      <c r="AE38" s="657"/>
      <c r="AF38" s="644"/>
      <c r="AG38" s="908"/>
      <c r="AH38" s="908"/>
      <c r="AR38" s="1217"/>
      <c r="AS38" s="1218"/>
      <c r="AT38" s="1218"/>
      <c r="AU38" s="1219"/>
      <c r="AV38" s="1234"/>
      <c r="AW38" s="1236"/>
      <c r="AX38" s="1236"/>
      <c r="AY38" s="1234"/>
      <c r="AZ38" s="1236"/>
      <c r="BA38" s="1266"/>
      <c r="BB38" s="1151"/>
      <c r="BC38" s="1152"/>
      <c r="BD38" s="1153"/>
      <c r="BE38" s="1161"/>
      <c r="BF38" s="1154"/>
      <c r="BG38" s="1152"/>
      <c r="BH38" s="1152"/>
      <c r="BI38" s="1283"/>
      <c r="BJ38" s="1284"/>
      <c r="BK38" s="1042"/>
      <c r="BU38" t="s">
        <v>480</v>
      </c>
      <c r="BV38" s="30">
        <v>15361</v>
      </c>
      <c r="BW38" s="192">
        <v>0.28100000000000003</v>
      </c>
    </row>
    <row r="39" spans="13:75" ht="15.95" customHeight="1">
      <c r="AD39" s="3"/>
      <c r="AE39" s="3"/>
      <c r="AF39" s="643">
        <f>SUM(AF31:AF38)</f>
        <v>5</v>
      </c>
      <c r="AG39" s="3"/>
      <c r="AH39" s="891">
        <f>SUM(AH31:AH38)</f>
        <v>110.35999999999999</v>
      </c>
      <c r="AR39" s="1220" t="s">
        <v>86</v>
      </c>
      <c r="AS39" s="1221"/>
      <c r="AT39" s="1221"/>
      <c r="AU39" s="1222"/>
      <c r="AV39" s="1251">
        <v>1</v>
      </c>
      <c r="AW39" s="1240"/>
      <c r="AX39" s="1240"/>
      <c r="AY39" s="1238"/>
      <c r="AZ39" s="1240"/>
      <c r="BA39" s="1259"/>
      <c r="BB39" s="1140"/>
      <c r="BC39" s="1142">
        <f>AV39*$AC$47+AW39*$AC$47+AX39*$AC$47+AY39*$AC$49+AZ39*$AC$49+BA39*$AC$49</f>
        <v>33</v>
      </c>
      <c r="BD39" s="1144"/>
      <c r="BE39" s="1145"/>
      <c r="BF39" s="1146"/>
      <c r="BG39" s="1142"/>
      <c r="BH39" s="1142"/>
      <c r="BI39" s="1281"/>
      <c r="BJ39" s="1282"/>
      <c r="BK39" s="1041"/>
      <c r="BS39" s="192"/>
    </row>
    <row r="40" spans="13:75" ht="15.95" customHeight="1" thickBot="1">
      <c r="AD40" s="3"/>
      <c r="AE40" s="3"/>
      <c r="AF40" s="664"/>
      <c r="AG40" s="3"/>
      <c r="AH40" s="908"/>
      <c r="AR40" s="1226"/>
      <c r="AS40" s="1227"/>
      <c r="AT40" s="1227"/>
      <c r="AU40" s="1228"/>
      <c r="AV40" s="1252"/>
      <c r="AW40" s="1241"/>
      <c r="AX40" s="1241"/>
      <c r="AY40" s="1239"/>
      <c r="AZ40" s="1241"/>
      <c r="BA40" s="1261"/>
      <c r="BB40" s="1151"/>
      <c r="BC40" s="1152"/>
      <c r="BD40" s="1153"/>
      <c r="BE40" s="1161"/>
      <c r="BF40" s="1154"/>
      <c r="BG40" s="1152"/>
      <c r="BH40" s="1152"/>
      <c r="BI40" s="1283"/>
      <c r="BJ40" s="1284"/>
      <c r="BK40" s="1042"/>
    </row>
    <row r="41" spans="13:75" ht="15.95" customHeight="1">
      <c r="AC41" s="3"/>
      <c r="AD41" s="3"/>
      <c r="AE41" s="3"/>
      <c r="AF41" s="3"/>
      <c r="AG41" s="3"/>
      <c r="AR41" s="1220" t="s">
        <v>82</v>
      </c>
      <c r="AS41" s="1221"/>
      <c r="AT41" s="1221"/>
      <c r="AU41" s="1222"/>
      <c r="AV41" s="1288"/>
      <c r="AW41" s="1288"/>
      <c r="AX41" s="1288"/>
      <c r="AY41" s="1289">
        <v>1</v>
      </c>
      <c r="AZ41" s="1288"/>
      <c r="BA41" s="1262"/>
      <c r="BB41" s="1140"/>
      <c r="BC41" s="1142">
        <f>AV41*$AC$47+AW41*$AC$47+AX41*$AC$47+AY41*$AC$49+AZ41*$AC$49+BA41*$AC$49</f>
        <v>33</v>
      </c>
      <c r="BD41" s="1144"/>
      <c r="BE41" s="1145"/>
      <c r="BF41" s="1146"/>
      <c r="BG41" s="1142"/>
      <c r="BH41" s="1306"/>
      <c r="BI41" s="1281"/>
      <c r="BJ41" s="1282"/>
      <c r="BK41" s="1041"/>
    </row>
    <row r="42" spans="13:75" ht="15.95" customHeight="1" thickBot="1">
      <c r="AC42" s="3"/>
      <c r="AD42" s="3"/>
      <c r="AE42" s="3"/>
      <c r="AF42" s="3"/>
      <c r="AG42" s="3"/>
      <c r="AR42" s="1223"/>
      <c r="AS42" s="1224"/>
      <c r="AT42" s="1224"/>
      <c r="AU42" s="1225"/>
      <c r="AV42" s="1247"/>
      <c r="AW42" s="1247"/>
      <c r="AX42" s="1247"/>
      <c r="AY42" s="1245"/>
      <c r="AZ42" s="1247"/>
      <c r="BA42" s="1261"/>
      <c r="BB42" s="1151"/>
      <c r="BC42" s="1152"/>
      <c r="BD42" s="1153"/>
      <c r="BE42" s="1161"/>
      <c r="BF42" s="1154"/>
      <c r="BG42" s="1152"/>
      <c r="BH42" s="1305"/>
      <c r="BI42" s="1283"/>
      <c r="BJ42" s="1284"/>
      <c r="BK42" s="1042"/>
    </row>
    <row r="43" spans="13:75" ht="15.95" customHeight="1">
      <c r="M43" s="705" t="s">
        <v>328</v>
      </c>
      <c r="N43" s="706"/>
      <c r="O43" s="706"/>
      <c r="P43" s="707"/>
      <c r="Y43" s="492"/>
      <c r="Z43" s="493"/>
      <c r="AA43" s="493"/>
      <c r="AB43" s="494"/>
      <c r="AC43" s="3"/>
      <c r="AD43" s="3"/>
      <c r="AE43" s="3"/>
      <c r="AF43" s="3"/>
      <c r="AG43" s="3"/>
      <c r="AR43" s="1220" t="s">
        <v>481</v>
      </c>
      <c r="AS43" s="1221"/>
      <c r="AT43" s="1221"/>
      <c r="AU43" s="1222"/>
      <c r="AV43" s="1244"/>
      <c r="AW43" s="1246"/>
      <c r="AX43" s="1246"/>
      <c r="AY43" s="1244"/>
      <c r="AZ43" s="1246">
        <v>1</v>
      </c>
      <c r="BA43" s="1259"/>
      <c r="BB43" s="1140"/>
      <c r="BC43" s="1142">
        <f>AV43*$AC$47+AW43*$AC$47+AX43*$AC$47+AY43*$AC$49+AZ43*$AC$49+BA43*$AC$49</f>
        <v>33</v>
      </c>
      <c r="BD43" s="1144"/>
      <c r="BE43" s="1145"/>
      <c r="BF43" s="1146"/>
      <c r="BG43" s="1142"/>
      <c r="BH43" s="1142"/>
      <c r="BI43" s="1281"/>
      <c r="BJ43" s="1282"/>
      <c r="BK43" s="1041"/>
    </row>
    <row r="44" spans="13:75" ht="15.95" customHeight="1" thickBot="1">
      <c r="M44" s="708"/>
      <c r="N44" s="709"/>
      <c r="O44" s="709"/>
      <c r="P44" s="710"/>
      <c r="Y44" s="495"/>
      <c r="Z44" s="496"/>
      <c r="AA44" s="496"/>
      <c r="AB44" s="497"/>
      <c r="AC44" s="3"/>
      <c r="AD44" s="3"/>
      <c r="AE44" s="3"/>
      <c r="AF44" s="3"/>
      <c r="AG44" s="3"/>
      <c r="AR44" s="1226"/>
      <c r="AS44" s="1227"/>
      <c r="AT44" s="1227"/>
      <c r="AU44" s="1228"/>
      <c r="AV44" s="1245"/>
      <c r="AW44" s="1247"/>
      <c r="AX44" s="1247"/>
      <c r="AY44" s="1245"/>
      <c r="AZ44" s="1247"/>
      <c r="BA44" s="1261"/>
      <c r="BB44" s="1151"/>
      <c r="BC44" s="1152"/>
      <c r="BD44" s="1153"/>
      <c r="BE44" s="1161"/>
      <c r="BF44" s="1154"/>
      <c r="BG44" s="1152"/>
      <c r="BH44" s="1152"/>
      <c r="BI44" s="1283"/>
      <c r="BJ44" s="1284"/>
      <c r="BK44" s="1042"/>
    </row>
    <row r="45" spans="13:75" ht="15.95" customHeight="1">
      <c r="M45" s="708"/>
      <c r="N45" s="709"/>
      <c r="O45" s="709"/>
      <c r="P45" s="710"/>
      <c r="Q45" s="484" t="s">
        <v>329</v>
      </c>
      <c r="R45" s="484" t="s">
        <v>330</v>
      </c>
      <c r="S45" s="484" t="s">
        <v>390</v>
      </c>
      <c r="T45" s="484" t="s">
        <v>332</v>
      </c>
      <c r="Y45" s="495"/>
      <c r="Z45" s="496"/>
      <c r="AA45" s="496"/>
      <c r="AB45" s="497"/>
      <c r="AC45" s="484" t="s">
        <v>293</v>
      </c>
      <c r="AD45" s="484" t="s">
        <v>16</v>
      </c>
      <c r="AE45" s="484" t="s">
        <v>13</v>
      </c>
      <c r="AF45" s="484" t="s">
        <v>118</v>
      </c>
      <c r="AG45" s="484" t="s">
        <v>275</v>
      </c>
      <c r="AH45" s="484" t="s">
        <v>277</v>
      </c>
      <c r="AR45" s="1220" t="s">
        <v>14</v>
      </c>
      <c r="AS45" s="1221"/>
      <c r="AT45" s="1221"/>
      <c r="AU45" s="1222"/>
      <c r="AV45" s="1289"/>
      <c r="AW45" s="1288"/>
      <c r="AX45" s="1288"/>
      <c r="AY45" s="1289">
        <v>1</v>
      </c>
      <c r="AZ45" s="1288"/>
      <c r="BA45" s="1259"/>
      <c r="BB45" s="1140"/>
      <c r="BC45" s="1142">
        <f>AV45*$AC$47+AW45*$AC$47+AX45*$AC$47+AY45*$AC$49+AZ45*$AC$49+BA45*$AC$49</f>
        <v>33</v>
      </c>
      <c r="BD45" s="1144"/>
      <c r="BE45" s="1145"/>
      <c r="BF45" s="1146"/>
      <c r="BG45" s="1142"/>
      <c r="BH45" s="1142"/>
      <c r="BI45" s="1281"/>
      <c r="BJ45" s="1282"/>
      <c r="BK45" s="1041"/>
    </row>
    <row r="46" spans="13:75" ht="15.95" customHeight="1" thickBot="1">
      <c r="M46" s="711"/>
      <c r="N46" s="712"/>
      <c r="O46" s="712"/>
      <c r="P46" s="713"/>
      <c r="Q46" s="485"/>
      <c r="R46" s="485"/>
      <c r="S46" s="485"/>
      <c r="T46" s="485"/>
      <c r="Y46" s="498"/>
      <c r="Z46" s="499"/>
      <c r="AA46" s="499"/>
      <c r="AB46" s="500"/>
      <c r="AC46" s="485"/>
      <c r="AD46" s="485"/>
      <c r="AE46" s="485"/>
      <c r="AF46" s="485"/>
      <c r="AG46" s="485"/>
      <c r="AH46" s="485"/>
      <c r="AR46" s="1226"/>
      <c r="AS46" s="1227"/>
      <c r="AT46" s="1227"/>
      <c r="AU46" s="1228"/>
      <c r="AV46" s="1289"/>
      <c r="AW46" s="1288"/>
      <c r="AX46" s="1288"/>
      <c r="AY46" s="1289"/>
      <c r="AZ46" s="1288"/>
      <c r="BA46" s="1261"/>
      <c r="BB46" s="1151"/>
      <c r="BC46" s="1152"/>
      <c r="BD46" s="1153"/>
      <c r="BE46" s="1161"/>
      <c r="BF46" s="1154"/>
      <c r="BG46" s="1152"/>
      <c r="BH46" s="1152"/>
      <c r="BI46" s="1283"/>
      <c r="BJ46" s="1284"/>
      <c r="BK46" s="1042"/>
    </row>
    <row r="47" spans="13:75" ht="15.95" customHeight="1">
      <c r="M47" s="545"/>
      <c r="N47" s="547" t="s">
        <v>378</v>
      </c>
      <c r="O47" s="548"/>
      <c r="P47" s="548"/>
      <c r="Q47" s="641">
        <v>33</v>
      </c>
      <c r="R47" s="650">
        <f>T31</f>
        <v>24.25</v>
      </c>
      <c r="S47" s="650">
        <f>Q47-R47</f>
        <v>8.75</v>
      </c>
      <c r="T47" s="752">
        <f>(Q47-R47)/R47</f>
        <v>0.36082474226804123</v>
      </c>
      <c r="Y47" s="545"/>
      <c r="Z47" s="547" t="s">
        <v>378</v>
      </c>
      <c r="AA47" s="548"/>
      <c r="AB47" s="548"/>
      <c r="AC47" s="641">
        <f>Q47</f>
        <v>33</v>
      </c>
      <c r="AD47" s="643">
        <f>AD15-AC31</f>
        <v>5</v>
      </c>
      <c r="AE47" s="643">
        <f>AE15-AD31</f>
        <v>11</v>
      </c>
      <c r="AF47" s="643">
        <f>AF15-AE31</f>
        <v>3</v>
      </c>
      <c r="AG47" s="643">
        <f>AD47+AE47+AF47</f>
        <v>19</v>
      </c>
      <c r="AH47" s="650">
        <f>AC47*AG47</f>
        <v>627</v>
      </c>
      <c r="AR47" s="1220" t="s">
        <v>482</v>
      </c>
      <c r="AS47" s="1221"/>
      <c r="AT47" s="1221"/>
      <c r="AU47" s="1222"/>
      <c r="AV47" s="1244"/>
      <c r="AW47" s="1246"/>
      <c r="AX47" s="1246"/>
      <c r="AY47" s="1244"/>
      <c r="AZ47" s="1246"/>
      <c r="BA47" s="1259">
        <v>1</v>
      </c>
      <c r="BB47" s="1140"/>
      <c r="BC47" s="1142">
        <f>AV47*$AC$47+AW47*$AC$47+AX47*$AC$47+AY47*$AC$49+AZ47*$AC$49+BA47*$AC$49</f>
        <v>33</v>
      </c>
      <c r="BD47" s="1144"/>
      <c r="BE47" s="1145"/>
      <c r="BF47" s="1146"/>
      <c r="BG47" s="1142"/>
      <c r="BH47" s="1142"/>
      <c r="BI47" s="1281"/>
      <c r="BJ47" s="1282"/>
      <c r="BK47" s="1041"/>
    </row>
    <row r="48" spans="13:75" ht="15.95" customHeight="1" thickBot="1">
      <c r="M48" s="1213"/>
      <c r="N48" s="550"/>
      <c r="O48" s="551"/>
      <c r="P48" s="551"/>
      <c r="Q48" s="642"/>
      <c r="R48" s="651"/>
      <c r="S48" s="651"/>
      <c r="T48" s="753"/>
      <c r="Y48" s="1213"/>
      <c r="Z48" s="550"/>
      <c r="AA48" s="551"/>
      <c r="AB48" s="551"/>
      <c r="AC48" s="642"/>
      <c r="AD48" s="644"/>
      <c r="AE48" s="644"/>
      <c r="AF48" s="644"/>
      <c r="AG48" s="644"/>
      <c r="AH48" s="651"/>
      <c r="AR48" s="1226"/>
      <c r="AS48" s="1227"/>
      <c r="AT48" s="1227"/>
      <c r="AU48" s="1228"/>
      <c r="AV48" s="1245"/>
      <c r="AW48" s="1247"/>
      <c r="AX48" s="1247"/>
      <c r="AY48" s="1245"/>
      <c r="AZ48" s="1247"/>
      <c r="BA48" s="1260"/>
      <c r="BB48" s="1151"/>
      <c r="BC48" s="1152"/>
      <c r="BD48" s="1153"/>
      <c r="BE48" s="1161"/>
      <c r="BF48" s="1154"/>
      <c r="BG48" s="1152"/>
      <c r="BH48" s="1152"/>
      <c r="BI48" s="1283"/>
      <c r="BJ48" s="1284"/>
      <c r="BK48" s="1042"/>
    </row>
    <row r="49" spans="13:63" ht="15.95" customHeight="1">
      <c r="M49" s="638"/>
      <c r="N49" s="547" t="s">
        <v>473</v>
      </c>
      <c r="O49" s="548"/>
      <c r="P49" s="548"/>
      <c r="Q49" s="755">
        <v>33</v>
      </c>
      <c r="R49" s="519">
        <f>T33</f>
        <v>20.619999999999997</v>
      </c>
      <c r="S49" s="650">
        <f>Q49-R49</f>
        <v>12.380000000000003</v>
      </c>
      <c r="T49" s="752">
        <f>(Q49-R49)/R49</f>
        <v>0.60038797284190126</v>
      </c>
      <c r="Y49" s="638"/>
      <c r="Z49" s="547" t="s">
        <v>473</v>
      </c>
      <c r="AA49" s="548"/>
      <c r="AB49" s="548"/>
      <c r="AC49" s="641">
        <f>Q49</f>
        <v>33</v>
      </c>
      <c r="AD49" s="643">
        <f>AD17-AC33</f>
        <v>5</v>
      </c>
      <c r="AE49" s="643">
        <f>AE17-AD33</f>
        <v>10</v>
      </c>
      <c r="AF49" s="643">
        <f>AF17-AE33</f>
        <v>3</v>
      </c>
      <c r="AG49" s="643">
        <f t="shared" ref="AG49" si="18">AD49+AE49+AF49</f>
        <v>18</v>
      </c>
      <c r="AH49" s="650">
        <f>AC49*AG49</f>
        <v>594</v>
      </c>
      <c r="AR49" s="1220" t="s">
        <v>76</v>
      </c>
      <c r="AS49" s="1221"/>
      <c r="AT49" s="1221"/>
      <c r="AU49" s="1222"/>
      <c r="AV49" s="1244"/>
      <c r="AW49" s="1246">
        <v>1</v>
      </c>
      <c r="AX49" s="1246"/>
      <c r="AY49" s="1244"/>
      <c r="AZ49" s="1246"/>
      <c r="BA49" s="1259"/>
      <c r="BB49" s="1140"/>
      <c r="BC49" s="1142">
        <f>AV49*$AC$47+AW49*$AC$47+AX49*$AC$47+AY49*$AC$49+AZ49*$AC$49+BA49*$AC$49</f>
        <v>33</v>
      </c>
      <c r="BD49" s="1144"/>
      <c r="BE49" s="1145"/>
      <c r="BF49" s="1146"/>
      <c r="BG49" s="1142"/>
      <c r="BH49" s="1142"/>
      <c r="BI49" s="1281"/>
      <c r="BJ49" s="1282"/>
      <c r="BK49" s="1041"/>
    </row>
    <row r="50" spans="13:63" ht="15.95" customHeight="1" thickBot="1">
      <c r="M50" s="864"/>
      <c r="N50" s="550"/>
      <c r="O50" s="551"/>
      <c r="P50" s="551"/>
      <c r="Q50" s="756"/>
      <c r="R50" s="640"/>
      <c r="S50" s="651"/>
      <c r="T50" s="753"/>
      <c r="Y50" s="864"/>
      <c r="Z50" s="550"/>
      <c r="AA50" s="551"/>
      <c r="AB50" s="551"/>
      <c r="AC50" s="642"/>
      <c r="AD50" s="644"/>
      <c r="AE50" s="644"/>
      <c r="AF50" s="644"/>
      <c r="AG50" s="644"/>
      <c r="AH50" s="651"/>
      <c r="AR50" s="1226"/>
      <c r="AS50" s="1227"/>
      <c r="AT50" s="1227"/>
      <c r="AU50" s="1228"/>
      <c r="AV50" s="1289"/>
      <c r="AW50" s="1288"/>
      <c r="AX50" s="1288"/>
      <c r="AY50" s="1289"/>
      <c r="AZ50" s="1288"/>
      <c r="BA50" s="1261"/>
      <c r="BB50" s="1151"/>
      <c r="BC50" s="1152"/>
      <c r="BD50" s="1153"/>
      <c r="BE50" s="1161"/>
      <c r="BF50" s="1154"/>
      <c r="BG50" s="1152"/>
      <c r="BH50" s="1152"/>
      <c r="BI50" s="1283"/>
      <c r="BJ50" s="1284"/>
      <c r="BK50" s="1042"/>
    </row>
    <row r="51" spans="13:63" ht="15.95" customHeight="1">
      <c r="M51" s="880"/>
      <c r="N51" s="547"/>
      <c r="O51" s="548"/>
      <c r="P51" s="549"/>
      <c r="Q51" s="755"/>
      <c r="R51" s="519"/>
      <c r="S51" s="650"/>
      <c r="T51" s="752"/>
      <c r="Y51" s="880"/>
      <c r="Z51" s="547"/>
      <c r="AA51" s="548"/>
      <c r="AB51" s="549"/>
      <c r="AC51" s="641"/>
      <c r="AD51" s="643"/>
      <c r="AE51" s="643"/>
      <c r="AF51" s="643"/>
      <c r="AG51" s="643"/>
      <c r="AH51" s="650"/>
      <c r="AR51" s="1220" t="s">
        <v>50</v>
      </c>
      <c r="AS51" s="1221"/>
      <c r="AT51" s="1221"/>
      <c r="AU51" s="1222"/>
      <c r="AV51" s="1251"/>
      <c r="AW51" s="1240">
        <v>1</v>
      </c>
      <c r="AX51" s="1240"/>
      <c r="AY51" s="1238"/>
      <c r="AZ51" s="1240">
        <v>1</v>
      </c>
      <c r="BA51" s="1310"/>
      <c r="BB51" s="1140"/>
      <c r="BC51" s="1142">
        <f>AV51*$AC$47+AW51*$AC$47+AX51*$AC$47+AY51*$AC$49+AZ51*$AC$49+BA51*$AC$49</f>
        <v>66</v>
      </c>
      <c r="BD51" s="1144"/>
      <c r="BE51" s="1145"/>
      <c r="BF51" s="1146"/>
      <c r="BG51" s="1142"/>
      <c r="BH51" s="1142"/>
      <c r="BI51" s="1255"/>
      <c r="BJ51" s="1256"/>
      <c r="BK51" s="1041"/>
    </row>
    <row r="52" spans="13:63" ht="15.95" customHeight="1" thickBot="1">
      <c r="M52" s="607"/>
      <c r="N52" s="550"/>
      <c r="O52" s="551"/>
      <c r="P52" s="552"/>
      <c r="Q52" s="756"/>
      <c r="R52" s="640"/>
      <c r="S52" s="651"/>
      <c r="T52" s="753"/>
      <c r="Y52" s="607"/>
      <c r="Z52" s="550"/>
      <c r="AA52" s="551"/>
      <c r="AB52" s="552"/>
      <c r="AC52" s="642"/>
      <c r="AD52" s="644"/>
      <c r="AE52" s="644"/>
      <c r="AF52" s="644"/>
      <c r="AG52" s="644"/>
      <c r="AH52" s="651"/>
      <c r="AR52" s="1226"/>
      <c r="AS52" s="1227"/>
      <c r="AT52" s="1227"/>
      <c r="AU52" s="1228"/>
      <c r="AV52" s="1252"/>
      <c r="AW52" s="1241"/>
      <c r="AX52" s="1241"/>
      <c r="AY52" s="1239"/>
      <c r="AZ52" s="1241"/>
      <c r="BA52" s="1311"/>
      <c r="BB52" s="1151"/>
      <c r="BC52" s="1152"/>
      <c r="BD52" s="1153"/>
      <c r="BE52" s="1161"/>
      <c r="BF52" s="1154"/>
      <c r="BG52" s="1152"/>
      <c r="BH52" s="1152"/>
      <c r="BI52" s="1257"/>
      <c r="BJ52" s="1258"/>
      <c r="BK52" s="1042"/>
    </row>
    <row r="53" spans="13:63" ht="15.95" customHeight="1">
      <c r="M53" s="880"/>
      <c r="N53" s="547"/>
      <c r="O53" s="548"/>
      <c r="P53" s="549"/>
      <c r="Q53" s="755"/>
      <c r="R53" s="519"/>
      <c r="S53" s="650"/>
      <c r="T53" s="752"/>
      <c r="Y53" s="880"/>
      <c r="Z53" s="547"/>
      <c r="AA53" s="548"/>
      <c r="AB53" s="549"/>
      <c r="AC53" s="641"/>
      <c r="AD53" s="643"/>
      <c r="AE53" s="643"/>
      <c r="AF53" s="643"/>
      <c r="AG53" s="643"/>
      <c r="AH53" s="650"/>
      <c r="AR53" s="1220" t="s">
        <v>414</v>
      </c>
      <c r="AS53" s="1221"/>
      <c r="AT53" s="1221"/>
      <c r="AU53" s="1222"/>
      <c r="AV53" s="1244"/>
      <c r="AW53" s="1246"/>
      <c r="AX53" s="1246">
        <v>1</v>
      </c>
      <c r="AY53" s="1244"/>
      <c r="AZ53" s="1246"/>
      <c r="BA53" s="1259">
        <v>1</v>
      </c>
      <c r="BB53" s="1140"/>
      <c r="BC53" s="1142">
        <f>AV53*$AC$47+AW53*$AC$47+AX53*$AC$47+AY53*$AC$49+AZ53*$AC$49+BA53*$AC$49</f>
        <v>66</v>
      </c>
      <c r="BD53" s="1144"/>
      <c r="BE53" s="1145"/>
      <c r="BF53" s="1146"/>
      <c r="BG53" s="1142"/>
      <c r="BH53" s="1142"/>
      <c r="BI53" s="1281"/>
      <c r="BJ53" s="1282"/>
      <c r="BK53" s="1041"/>
    </row>
    <row r="54" spans="13:63" ht="15.95" customHeight="1" thickBot="1">
      <c r="M54" s="881"/>
      <c r="N54" s="550"/>
      <c r="O54" s="551"/>
      <c r="P54" s="552"/>
      <c r="Q54" s="757"/>
      <c r="R54" s="669"/>
      <c r="S54" s="665"/>
      <c r="T54" s="758"/>
      <c r="Y54" s="881"/>
      <c r="Z54" s="550"/>
      <c r="AA54" s="551"/>
      <c r="AB54" s="552"/>
      <c r="AC54" s="656"/>
      <c r="AD54" s="664"/>
      <c r="AE54" s="664"/>
      <c r="AF54" s="664"/>
      <c r="AG54" s="644"/>
      <c r="AH54" s="651"/>
      <c r="AR54" s="1223"/>
      <c r="AS54" s="1224"/>
      <c r="AT54" s="1224"/>
      <c r="AU54" s="1225"/>
      <c r="AV54" s="1245"/>
      <c r="AW54" s="1247"/>
      <c r="AX54" s="1247"/>
      <c r="AY54" s="1245"/>
      <c r="AZ54" s="1247"/>
      <c r="BA54" s="1260"/>
      <c r="BB54" s="1151"/>
      <c r="BC54" s="1152"/>
      <c r="BD54" s="1153"/>
      <c r="BE54" s="1161"/>
      <c r="BF54" s="1154"/>
      <c r="BG54" s="1152"/>
      <c r="BH54" s="1152"/>
      <c r="BI54" s="1283"/>
      <c r="BJ54" s="1284"/>
      <c r="BK54" s="1042"/>
    </row>
    <row r="55" spans="13:63" ht="15.95" customHeight="1">
      <c r="AC55" s="3"/>
      <c r="AD55" s="3"/>
      <c r="AE55" s="3"/>
      <c r="AG55" s="643">
        <f>SUM(AG47:AG54)</f>
        <v>37</v>
      </c>
      <c r="AH55" s="650">
        <f>SUM(AH47:AH54)</f>
        <v>1221</v>
      </c>
      <c r="AR55" s="1220" t="s">
        <v>483</v>
      </c>
      <c r="AS55" s="1221"/>
      <c r="AT55" s="1221"/>
      <c r="AU55" s="1222"/>
      <c r="AV55" s="1244"/>
      <c r="AW55" s="1246"/>
      <c r="AX55" s="1246"/>
      <c r="AY55" s="1244">
        <v>1</v>
      </c>
      <c r="AZ55" s="1246"/>
      <c r="BA55" s="1259"/>
      <c r="BB55" s="1140"/>
      <c r="BC55" s="1142">
        <f>AV55*$AC$47+AW55*$AC$47+AX55*$AC$47+AY55*$AC$49+AZ55*$AC$49+BA55*$AC$49</f>
        <v>33</v>
      </c>
      <c r="BD55" s="1144"/>
      <c r="BE55" s="1145"/>
      <c r="BF55" s="1146"/>
      <c r="BG55" s="1142"/>
      <c r="BH55" s="1306"/>
      <c r="BI55" s="1281"/>
      <c r="BJ55" s="1282"/>
      <c r="BK55" s="1307"/>
    </row>
    <row r="56" spans="13:63" ht="15.95" customHeight="1" thickBot="1">
      <c r="AC56" s="3"/>
      <c r="AD56" s="3"/>
      <c r="AE56" s="3"/>
      <c r="AG56" s="664"/>
      <c r="AH56" s="665"/>
      <c r="AR56" s="1226"/>
      <c r="AS56" s="1227"/>
      <c r="AT56" s="1227"/>
      <c r="AU56" s="1228"/>
      <c r="AV56" s="1245"/>
      <c r="AW56" s="1247"/>
      <c r="AX56" s="1247"/>
      <c r="AY56" s="1245"/>
      <c r="AZ56" s="1247"/>
      <c r="BA56" s="1261"/>
      <c r="BB56" s="1151"/>
      <c r="BC56" s="1152"/>
      <c r="BD56" s="1153"/>
      <c r="BE56" s="1161"/>
      <c r="BF56" s="1154"/>
      <c r="BG56" s="1152"/>
      <c r="BH56" s="1305"/>
      <c r="BI56" s="1283"/>
      <c r="BJ56" s="1284"/>
      <c r="BK56" s="1308"/>
    </row>
    <row r="57" spans="13:63" ht="15.95" customHeight="1">
      <c r="AR57" s="1220" t="s">
        <v>450</v>
      </c>
      <c r="AS57" s="1221"/>
      <c r="AT57" s="1221"/>
      <c r="AU57" s="1222"/>
      <c r="AV57" s="1244"/>
      <c r="AW57" s="1246">
        <v>1</v>
      </c>
      <c r="AX57" s="1259"/>
      <c r="AY57" s="1289"/>
      <c r="AZ57" s="1246"/>
      <c r="BA57" s="1259"/>
      <c r="BB57" s="1140"/>
      <c r="BC57" s="1142">
        <f>AV57*$AC$47+AW57*$AC$47+AX57*$AC$47+AY57*$AC$49+AZ57*$AC$49+BA57*$AC$49</f>
        <v>33</v>
      </c>
      <c r="BD57" s="1144"/>
      <c r="BE57" s="1145"/>
      <c r="BF57" s="1146"/>
      <c r="BG57" s="1142"/>
      <c r="BH57" s="1142"/>
      <c r="BI57" s="1281"/>
      <c r="BJ57" s="1282"/>
      <c r="BK57" s="1041"/>
    </row>
    <row r="58" spans="13:63" ht="15.95" customHeight="1" thickBot="1">
      <c r="AR58" s="1223"/>
      <c r="AS58" s="1224"/>
      <c r="AT58" s="1224"/>
      <c r="AU58" s="1225"/>
      <c r="AV58" s="1245"/>
      <c r="AW58" s="1247"/>
      <c r="AX58" s="1260"/>
      <c r="AY58" s="1245"/>
      <c r="AZ58" s="1247"/>
      <c r="BA58" s="1261"/>
      <c r="BB58" s="1151"/>
      <c r="BC58" s="1152"/>
      <c r="BD58" s="1153"/>
      <c r="BE58" s="1161"/>
      <c r="BF58" s="1154"/>
      <c r="BG58" s="1152"/>
      <c r="BH58" s="1152"/>
      <c r="BI58" s="1283"/>
      <c r="BJ58" s="1284"/>
      <c r="BK58" s="1042"/>
    </row>
    <row r="59" spans="13:63" ht="15.95" customHeight="1">
      <c r="AR59" s="1220" t="s">
        <v>7</v>
      </c>
      <c r="AS59" s="1221"/>
      <c r="AT59" s="1221"/>
      <c r="AU59" s="1221"/>
      <c r="AV59" s="1238"/>
      <c r="AW59" s="1240"/>
      <c r="AX59" s="1240"/>
      <c r="AY59" s="1238"/>
      <c r="AZ59" s="1240"/>
      <c r="BA59" s="1310"/>
      <c r="BB59" s="1140"/>
      <c r="BC59" s="1142">
        <f>AV59*$AC$47+AW59*$AC$47+AX59*$AC$47+AY59*$AC$49+AZ59*$AC$49+BA59*$AC$49</f>
        <v>0</v>
      </c>
      <c r="BD59" s="1144"/>
      <c r="BE59" s="1145"/>
      <c r="BF59" s="1146"/>
      <c r="BG59" s="1142"/>
      <c r="BH59" s="1142"/>
      <c r="BI59" s="1281"/>
      <c r="BJ59" s="1282"/>
      <c r="BK59" s="1041"/>
    </row>
    <row r="60" spans="13:63" ht="15.95" customHeight="1" thickBot="1">
      <c r="AR60" s="1223"/>
      <c r="AS60" s="1224"/>
      <c r="AT60" s="1224"/>
      <c r="AU60" s="1224"/>
      <c r="AV60" s="1239"/>
      <c r="AW60" s="1241"/>
      <c r="AX60" s="1241"/>
      <c r="AY60" s="1239"/>
      <c r="AZ60" s="1241"/>
      <c r="BA60" s="1311"/>
      <c r="BB60" s="1151"/>
      <c r="BC60" s="1152"/>
      <c r="BD60" s="1153"/>
      <c r="BE60" s="1161"/>
      <c r="BF60" s="1154"/>
      <c r="BG60" s="1152"/>
      <c r="BH60" s="1152"/>
      <c r="BI60" s="1283"/>
      <c r="BJ60" s="1284"/>
      <c r="BK60" s="1042"/>
    </row>
    <row r="61" spans="13:63" ht="15.95" customHeight="1">
      <c r="AR61" s="919"/>
      <c r="AS61" s="920"/>
      <c r="AT61" s="920"/>
      <c r="AU61" s="921"/>
      <c r="AV61" s="1030"/>
      <c r="AW61" s="1032"/>
      <c r="AX61" s="1032"/>
      <c r="AY61" s="1110"/>
      <c r="AZ61" s="1032"/>
      <c r="BA61" s="584"/>
      <c r="BB61" s="1140">
        <f t="shared" ref="BB61" si="19">SUM(AV61:BA62)</f>
        <v>0</v>
      </c>
      <c r="BC61" s="1142">
        <f t="shared" ref="BC61" si="20">AV61*$AC$47+AW61*$AC$47+AX61*$AC$47+AY61*$AC$49+AZ61*$AC$49+BA61*$AC$49</f>
        <v>0</v>
      </c>
      <c r="BD61" s="1144"/>
      <c r="BE61" s="1145"/>
      <c r="BF61" s="1146"/>
      <c r="BG61" s="1142"/>
      <c r="BH61" s="1142"/>
      <c r="BI61" s="1144"/>
      <c r="BJ61" s="1146"/>
      <c r="BK61" s="1041"/>
    </row>
    <row r="62" spans="13:63" ht="15.95" customHeight="1" thickBot="1">
      <c r="AR62" s="922"/>
      <c r="AS62" s="923"/>
      <c r="AT62" s="923"/>
      <c r="AU62" s="924"/>
      <c r="AV62" s="1031"/>
      <c r="AW62" s="1033"/>
      <c r="AX62" s="1033"/>
      <c r="AY62" s="1111"/>
      <c r="AZ62" s="1033"/>
      <c r="BA62" s="586"/>
      <c r="BB62" s="1151"/>
      <c r="BC62" s="1152"/>
      <c r="BD62" s="1153"/>
      <c r="BE62" s="1161"/>
      <c r="BF62" s="1154"/>
      <c r="BG62" s="1152"/>
      <c r="BH62" s="1152"/>
      <c r="BI62" s="1153"/>
      <c r="BJ62" s="1154"/>
      <c r="BK62" s="1042"/>
    </row>
    <row r="63" spans="13:63" ht="15.95" customHeight="1">
      <c r="AR63" s="919"/>
      <c r="AS63" s="920"/>
      <c r="AT63" s="920"/>
      <c r="AU63" s="921"/>
      <c r="AV63" s="1150"/>
      <c r="AW63" s="1095"/>
      <c r="AX63" s="1095"/>
      <c r="AY63" s="1150"/>
      <c r="AZ63" s="1095"/>
      <c r="BA63" s="584"/>
      <c r="BB63" s="1140">
        <f t="shared" ref="BB63" si="21">SUM(AV63:BA64)</f>
        <v>0</v>
      </c>
      <c r="BC63" s="1142">
        <f t="shared" ref="BC63" si="22">AV63*$AC$47+AW63*$AC$47+AX63*$AC$47+AY63*$AC$49+AZ63*$AC$49+BA63*$AC$49</f>
        <v>0</v>
      </c>
      <c r="BD63" s="1144"/>
      <c r="BE63" s="1145"/>
      <c r="BF63" s="1146"/>
      <c r="BG63" s="1142"/>
      <c r="BH63" s="1142"/>
      <c r="BI63" s="1147"/>
      <c r="BJ63" s="1149"/>
      <c r="BK63" s="1041"/>
    </row>
    <row r="64" spans="13:63" ht="15.95" customHeight="1" thickBot="1">
      <c r="AR64" s="922"/>
      <c r="AS64" s="923"/>
      <c r="AT64" s="923"/>
      <c r="AU64" s="924"/>
      <c r="AV64" s="1150"/>
      <c r="AW64" s="1095"/>
      <c r="AX64" s="1095"/>
      <c r="AY64" s="1150"/>
      <c r="AZ64" s="1095"/>
      <c r="BA64" s="586"/>
      <c r="BB64" s="1151"/>
      <c r="BC64" s="1152"/>
      <c r="BD64" s="1147"/>
      <c r="BE64" s="1148"/>
      <c r="BF64" s="1149"/>
      <c r="BG64" s="1143"/>
      <c r="BH64" s="1143"/>
      <c r="BI64" s="1147"/>
      <c r="BJ64" s="1149"/>
      <c r="BK64" s="1042"/>
    </row>
    <row r="65" spans="44:65" ht="15.95" customHeight="1">
      <c r="AR65" s="919"/>
      <c r="AS65" s="920"/>
      <c r="AT65" s="920"/>
      <c r="AU65" s="921"/>
      <c r="AV65" s="1110"/>
      <c r="AW65" s="1032"/>
      <c r="AX65" s="1032"/>
      <c r="AY65" s="1110"/>
      <c r="AZ65" s="1032"/>
      <c r="BA65" s="584"/>
      <c r="BB65" s="1140">
        <f t="shared" ref="BB65" si="23">SUM(AV65:BA66)</f>
        <v>0</v>
      </c>
      <c r="BC65" s="1142">
        <f t="shared" ref="BC65" si="24">AV65*$AC$47+AW65*$AC$47+AX65*$AC$47+AY65*$AC$49+AZ65*$AC$49+BA65*$AC$49</f>
        <v>0</v>
      </c>
      <c r="BD65" s="1144"/>
      <c r="BE65" s="1145"/>
      <c r="BF65" s="1146"/>
      <c r="BG65" s="1142"/>
      <c r="BH65" s="1142"/>
      <c r="BI65" s="1144"/>
      <c r="BJ65" s="1146"/>
      <c r="BK65" s="1041"/>
    </row>
    <row r="66" spans="44:65" ht="15.95" customHeight="1" thickBot="1">
      <c r="AR66" s="922"/>
      <c r="AS66" s="923"/>
      <c r="AT66" s="923"/>
      <c r="AU66" s="924"/>
      <c r="AV66" s="1111"/>
      <c r="AW66" s="1033"/>
      <c r="AX66" s="1033"/>
      <c r="AY66" s="1111"/>
      <c r="AZ66" s="1033"/>
      <c r="BA66" s="586"/>
      <c r="BB66" s="1151"/>
      <c r="BC66" s="1152"/>
      <c r="BD66" s="1153"/>
      <c r="BE66" s="1161"/>
      <c r="BF66" s="1154"/>
      <c r="BG66" s="1152"/>
      <c r="BH66" s="1152"/>
      <c r="BI66" s="1153"/>
      <c r="BJ66" s="1154"/>
      <c r="BK66" s="1042"/>
    </row>
    <row r="67" spans="44:65" ht="15.95" customHeight="1">
      <c r="AR67" s="919"/>
      <c r="AS67" s="920"/>
      <c r="AT67" s="920"/>
      <c r="AU67" s="921"/>
      <c r="AV67" s="1150"/>
      <c r="AW67" s="1095"/>
      <c r="AX67" s="1095"/>
      <c r="AY67" s="1150"/>
      <c r="AZ67" s="1095"/>
      <c r="BA67" s="584"/>
      <c r="BB67" s="1140">
        <f t="shared" ref="BB67" si="25">SUM(AV67:BA68)</f>
        <v>0</v>
      </c>
      <c r="BC67" s="1142">
        <f t="shared" ref="BC67" si="26">AV67*$AC$47+AW67*$AC$47+AX67*$AC$47+AY67*$AC$49+AZ67*$AC$49+BA67*$AC$49</f>
        <v>0</v>
      </c>
      <c r="BD67" s="1144"/>
      <c r="BE67" s="1145"/>
      <c r="BF67" s="1146"/>
      <c r="BG67" s="1142"/>
      <c r="BH67" s="1142"/>
      <c r="BI67" s="1144"/>
      <c r="BJ67" s="1146"/>
      <c r="BK67" s="1041"/>
    </row>
    <row r="68" spans="44:65" ht="15.95" customHeight="1" thickBot="1">
      <c r="AR68" s="922"/>
      <c r="AS68" s="923"/>
      <c r="AT68" s="923"/>
      <c r="AU68" s="924"/>
      <c r="AV68" s="1150"/>
      <c r="AW68" s="1095"/>
      <c r="AX68" s="1095"/>
      <c r="AY68" s="1150"/>
      <c r="AZ68" s="1095"/>
      <c r="BA68" s="586"/>
      <c r="BB68" s="1151"/>
      <c r="BC68" s="1152"/>
      <c r="BD68" s="1153"/>
      <c r="BE68" s="1161"/>
      <c r="BF68" s="1154"/>
      <c r="BG68" s="1152"/>
      <c r="BH68" s="1152"/>
      <c r="BI68" s="1153"/>
      <c r="BJ68" s="1154"/>
      <c r="BK68" s="1042"/>
    </row>
    <row r="69" spans="44:65" ht="15.95" customHeight="1">
      <c r="AR69" s="919"/>
      <c r="AS69" s="920"/>
      <c r="AT69" s="920"/>
      <c r="AU69" s="921"/>
      <c r="AV69" s="1113"/>
      <c r="AW69" s="1045"/>
      <c r="AX69" s="1045"/>
      <c r="AY69" s="1113"/>
      <c r="AZ69" s="1045"/>
      <c r="BA69" s="584"/>
      <c r="BB69" s="1140">
        <f t="shared" ref="BB69" si="27">SUM(AV69:BA70)</f>
        <v>0</v>
      </c>
      <c r="BC69" s="1142">
        <f t="shared" ref="BC69" si="28">AV69*$AC$47+AW69*$AC$47+AX69*$AC$47+AY69*$AC$49+AZ69*$AC$49+BA69*$AC$49</f>
        <v>0</v>
      </c>
      <c r="BD69" s="1144"/>
      <c r="BE69" s="1145"/>
      <c r="BF69" s="1146"/>
      <c r="BG69" s="1142"/>
      <c r="BH69" s="1142"/>
      <c r="BI69" s="1144"/>
      <c r="BJ69" s="1146"/>
      <c r="BK69" s="1041"/>
    </row>
    <row r="70" spans="44:65" ht="15.95" customHeight="1" thickBot="1">
      <c r="AR70" s="922"/>
      <c r="AS70" s="923"/>
      <c r="AT70" s="923"/>
      <c r="AU70" s="924"/>
      <c r="AV70" s="1114"/>
      <c r="AW70" s="1046"/>
      <c r="AX70" s="1046"/>
      <c r="AY70" s="1114"/>
      <c r="AZ70" s="1046"/>
      <c r="BA70" s="586"/>
      <c r="BB70" s="1151"/>
      <c r="BC70" s="1152"/>
      <c r="BD70" s="1153"/>
      <c r="BE70" s="1161"/>
      <c r="BF70" s="1154"/>
      <c r="BG70" s="1152"/>
      <c r="BH70" s="1152"/>
      <c r="BI70" s="1153"/>
      <c r="BJ70" s="1154"/>
      <c r="BK70" s="1042"/>
    </row>
    <row r="71" spans="44:65" ht="15.95" customHeight="1">
      <c r="AR71" s="919"/>
      <c r="AS71" s="920"/>
      <c r="AT71" s="920"/>
      <c r="AU71" s="921"/>
      <c r="AV71" s="1030"/>
      <c r="AW71" s="1032"/>
      <c r="AX71" s="1032"/>
      <c r="AY71" s="1110"/>
      <c r="AZ71" s="1032"/>
      <c r="BA71" s="584"/>
      <c r="BB71" s="1140">
        <f t="shared" ref="BB71" si="29">SUM(AV71:BA72)</f>
        <v>0</v>
      </c>
      <c r="BC71" s="1142">
        <f t="shared" ref="BC71" si="30">AV71*$AC$47+AW71*$AC$47+AX71*$AC$47+AY71*$AC$49+AZ71*$AC$49+BA71*$AC$49</f>
        <v>0</v>
      </c>
      <c r="BD71" s="1144"/>
      <c r="BE71" s="1145"/>
      <c r="BF71" s="1146"/>
      <c r="BG71" s="1142"/>
      <c r="BH71" s="1306"/>
      <c r="BI71" s="1255"/>
      <c r="BJ71" s="1256"/>
      <c r="BK71" s="1307"/>
    </row>
    <row r="72" spans="44:65" ht="15.95" customHeight="1" thickBot="1">
      <c r="AR72" s="938"/>
      <c r="AS72" s="939"/>
      <c r="AT72" s="939"/>
      <c r="AU72" s="940"/>
      <c r="AV72" s="1031"/>
      <c r="AW72" s="1033"/>
      <c r="AX72" s="1033"/>
      <c r="AY72" s="1111"/>
      <c r="AZ72" s="1033"/>
      <c r="BA72" s="586"/>
      <c r="BB72" s="1151"/>
      <c r="BC72" s="1152"/>
      <c r="BD72" s="1153"/>
      <c r="BE72" s="1161"/>
      <c r="BF72" s="1154"/>
      <c r="BG72" s="1152"/>
      <c r="BH72" s="1305"/>
      <c r="BI72" s="1257"/>
      <c r="BJ72" s="1258"/>
      <c r="BK72" s="1308"/>
    </row>
    <row r="73" spans="44:65" ht="15.95" customHeight="1" thickBot="1"/>
    <row r="74" spans="44:65" ht="15.95" customHeight="1">
      <c r="AT74" s="523" t="s">
        <v>136</v>
      </c>
      <c r="AU74" s="525"/>
      <c r="AV74" s="649">
        <f t="shared" ref="AV74:BC74" si="31">SUM(AV9:AV72)</f>
        <v>4</v>
      </c>
      <c r="AW74" s="649">
        <f t="shared" si="31"/>
        <v>7</v>
      </c>
      <c r="AX74" s="649">
        <f t="shared" si="31"/>
        <v>2</v>
      </c>
      <c r="AY74" s="649">
        <f t="shared" si="31"/>
        <v>5</v>
      </c>
      <c r="AZ74" s="649">
        <f t="shared" si="31"/>
        <v>9</v>
      </c>
      <c r="BA74" s="649">
        <f t="shared" si="31"/>
        <v>4</v>
      </c>
      <c r="BB74" s="763">
        <f t="shared" si="31"/>
        <v>17</v>
      </c>
      <c r="BC74" s="762">
        <f t="shared" si="31"/>
        <v>1023</v>
      </c>
      <c r="BG74" s="762">
        <f>SUM(BG9:BG72)</f>
        <v>0</v>
      </c>
      <c r="BH74" s="762">
        <f>SUM(BH9:BH72)</f>
        <v>396</v>
      </c>
      <c r="BI74" s="762">
        <f>SUM(BI9:BI72)</f>
        <v>330</v>
      </c>
      <c r="BL74" s="72"/>
      <c r="BM74" s="72"/>
    </row>
    <row r="75" spans="44:65" ht="15.95" customHeight="1" thickBot="1">
      <c r="AT75" s="526"/>
      <c r="AU75" s="528"/>
      <c r="AV75" s="657"/>
      <c r="AW75" s="657"/>
      <c r="AX75" s="657"/>
      <c r="AY75" s="657"/>
      <c r="AZ75" s="657"/>
      <c r="BA75" s="657"/>
      <c r="BB75" s="761"/>
      <c r="BC75" s="761"/>
      <c r="BG75" s="761"/>
      <c r="BH75" s="761"/>
      <c r="BI75" s="761"/>
      <c r="BL75" s="72"/>
    </row>
    <row r="76" spans="44:65" ht="15.95" customHeight="1">
      <c r="AT76" s="523" t="s">
        <v>137</v>
      </c>
      <c r="AU76" s="525"/>
      <c r="AV76" s="649">
        <f>AV5-AV74</f>
        <v>1</v>
      </c>
      <c r="AW76" s="649">
        <f t="shared" ref="AW76:BA76" si="32">AW5-AW74</f>
        <v>4</v>
      </c>
      <c r="AX76" s="649">
        <f t="shared" si="32"/>
        <v>1</v>
      </c>
      <c r="AY76" s="649">
        <f t="shared" si="32"/>
        <v>0</v>
      </c>
      <c r="AZ76" s="649">
        <f t="shared" si="32"/>
        <v>1</v>
      </c>
      <c r="BA76" s="649">
        <f t="shared" si="32"/>
        <v>-1</v>
      </c>
      <c r="BB76" s="763">
        <f>BB5-BB74</f>
        <v>20</v>
      </c>
      <c r="BC76" s="72"/>
      <c r="BG76" s="72"/>
      <c r="BH76" s="474">
        <f>BG74+BH74+BI74</f>
        <v>726</v>
      </c>
      <c r="BI76" s="72"/>
      <c r="BL76" s="72"/>
    </row>
    <row r="77" spans="44:65" ht="15.95" customHeight="1" thickBot="1">
      <c r="AT77" s="526"/>
      <c r="AU77" s="528"/>
      <c r="AV77" s="657"/>
      <c r="AW77" s="657"/>
      <c r="AX77" s="657"/>
      <c r="AY77" s="657"/>
      <c r="AZ77" s="657"/>
      <c r="BA77" s="657"/>
      <c r="BB77" s="761"/>
      <c r="BC77" s="72"/>
      <c r="BG77" s="72"/>
      <c r="BH77" s="764"/>
      <c r="BI77" s="72"/>
      <c r="BL77" s="72"/>
    </row>
    <row r="78" spans="44:65" ht="15.95" customHeight="1" thickBot="1">
      <c r="AT78" s="63"/>
      <c r="AU78" s="63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</row>
    <row r="79" spans="44:65" ht="15.95" customHeight="1" thickBot="1">
      <c r="AT79" s="63"/>
      <c r="AU79" s="63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533" t="s">
        <v>98</v>
      </c>
      <c r="BH79" s="534"/>
      <c r="BI79" s="534"/>
      <c r="BJ79" s="534"/>
      <c r="BK79" s="535"/>
      <c r="BL79" s="488">
        <f>BH76</f>
        <v>726</v>
      </c>
      <c r="BM79" s="489"/>
    </row>
    <row r="80" spans="44:65" ht="15.95" customHeight="1" thickBot="1">
      <c r="AT80" s="523" t="s">
        <v>136</v>
      </c>
      <c r="AU80" s="525"/>
      <c r="AV80" s="763">
        <f>BB74</f>
        <v>17</v>
      </c>
      <c r="AW80" s="72"/>
      <c r="AX80" s="72"/>
      <c r="AY80" s="72"/>
      <c r="AZ80" s="72"/>
      <c r="BA80" s="72"/>
      <c r="BB80" s="72"/>
      <c r="BC80" s="72"/>
      <c r="BD80" s="88"/>
      <c r="BE80" s="88"/>
      <c r="BF80" s="72"/>
      <c r="BG80" s="536"/>
      <c r="BH80" s="537"/>
      <c r="BI80" s="537"/>
      <c r="BJ80" s="537"/>
      <c r="BK80" s="538"/>
      <c r="BL80" s="490"/>
      <c r="BM80" s="491"/>
    </row>
    <row r="81" spans="46:65" ht="15.95" customHeight="1" thickBot="1">
      <c r="AT81" s="526"/>
      <c r="AU81" s="528"/>
      <c r="AV81" s="761"/>
      <c r="AW81" s="72"/>
      <c r="AX81" s="72"/>
      <c r="AY81" s="72"/>
      <c r="AZ81" s="72"/>
      <c r="BA81" s="72"/>
      <c r="BB81" s="72"/>
      <c r="BC81" s="72"/>
      <c r="BD81" s="89"/>
      <c r="BE81" s="82"/>
      <c r="BF81" s="72"/>
      <c r="BG81" s="63"/>
      <c r="BH81" s="63"/>
      <c r="BI81" s="63"/>
      <c r="BJ81" s="63"/>
      <c r="BK81" s="63"/>
      <c r="BL81" s="70"/>
      <c r="BM81" s="70"/>
    </row>
    <row r="82" spans="46:65" ht="15.95" customHeight="1">
      <c r="AT82" s="523" t="s">
        <v>137</v>
      </c>
      <c r="AU82" s="525"/>
      <c r="AV82" s="763">
        <f>BB76</f>
        <v>20</v>
      </c>
      <c r="AW82" s="72"/>
      <c r="AX82" s="72"/>
      <c r="AY82" s="72"/>
      <c r="AZ82" s="72"/>
      <c r="BA82" s="72"/>
      <c r="BB82" s="72"/>
      <c r="BC82" s="72"/>
      <c r="BD82" s="89"/>
      <c r="BE82" s="82"/>
      <c r="BF82" s="72"/>
      <c r="BG82" s="583" t="s">
        <v>147</v>
      </c>
      <c r="BH82" s="594"/>
      <c r="BI82" s="594"/>
      <c r="BJ82" s="594"/>
      <c r="BK82" s="584"/>
      <c r="BL82" s="427">
        <f>AO6</f>
        <v>713.57999999999993</v>
      </c>
      <c r="BM82" s="428"/>
    </row>
    <row r="83" spans="46:65" ht="15.95" customHeight="1" thickBot="1">
      <c r="AT83" s="526"/>
      <c r="AU83" s="528"/>
      <c r="AV83" s="761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529"/>
      <c r="BH83" s="530"/>
      <c r="BI83" s="530"/>
      <c r="BJ83" s="530"/>
      <c r="BK83" s="531"/>
      <c r="BL83" s="429"/>
      <c r="BM83" s="430"/>
    </row>
    <row r="84" spans="46:65" ht="15.95" customHeight="1"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529" t="s">
        <v>141</v>
      </c>
      <c r="BH84" s="530"/>
      <c r="BI84" s="530"/>
      <c r="BJ84" s="530"/>
      <c r="BK84" s="531"/>
      <c r="BL84" s="532">
        <f>AO8</f>
        <v>228.69</v>
      </c>
      <c r="BM84" s="430"/>
    </row>
    <row r="85" spans="46:65" ht="15.95" customHeight="1"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529"/>
      <c r="BH85" s="530"/>
      <c r="BI85" s="530"/>
      <c r="BJ85" s="530"/>
      <c r="BK85" s="531"/>
      <c r="BL85" s="429"/>
      <c r="BM85" s="430"/>
    </row>
    <row r="86" spans="46:65" ht="15.95" customHeight="1"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529"/>
      <c r="BH86" s="530"/>
      <c r="BI86" s="530"/>
      <c r="BJ86" s="530"/>
      <c r="BK86" s="531"/>
      <c r="BL86" s="532"/>
      <c r="BM86" s="430"/>
    </row>
    <row r="87" spans="46:65" ht="15.95" customHeight="1"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529"/>
      <c r="BH87" s="530"/>
      <c r="BI87" s="530"/>
      <c r="BJ87" s="530"/>
      <c r="BK87" s="531"/>
      <c r="BL87" s="429"/>
      <c r="BM87" s="430"/>
    </row>
    <row r="88" spans="46:65" ht="15.95" customHeight="1"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529"/>
      <c r="BH88" s="530"/>
      <c r="BI88" s="530"/>
      <c r="BJ88" s="530"/>
      <c r="BK88" s="531"/>
      <c r="BL88" s="532"/>
      <c r="BM88" s="430"/>
    </row>
    <row r="89" spans="46:65" ht="15.95" customHeight="1"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529"/>
      <c r="BH89" s="530"/>
      <c r="BI89" s="530"/>
      <c r="BJ89" s="530"/>
      <c r="BK89" s="531"/>
      <c r="BL89" s="429"/>
      <c r="BM89" s="430"/>
    </row>
    <row r="90" spans="46:65" ht="15.95" customHeight="1"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529"/>
      <c r="BH90" s="530"/>
      <c r="BI90" s="530"/>
      <c r="BJ90" s="530"/>
      <c r="BK90" s="531"/>
      <c r="BL90" s="532"/>
      <c r="BM90" s="430"/>
    </row>
    <row r="91" spans="46:65" ht="15.95" customHeight="1"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529"/>
      <c r="BH91" s="530"/>
      <c r="BI91" s="530"/>
      <c r="BJ91" s="530"/>
      <c r="BK91" s="531"/>
      <c r="BL91" s="429"/>
      <c r="BM91" s="430"/>
    </row>
    <row r="92" spans="46:65" ht="15.95" customHeight="1"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529"/>
      <c r="BH92" s="530"/>
      <c r="BI92" s="530"/>
      <c r="BJ92" s="530"/>
      <c r="BK92" s="531"/>
      <c r="BL92" s="532"/>
      <c r="BM92" s="600"/>
    </row>
    <row r="93" spans="46:65" ht="15.95" customHeight="1" thickBot="1"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585"/>
      <c r="BH93" s="595"/>
      <c r="BI93" s="595"/>
      <c r="BJ93" s="595"/>
      <c r="BK93" s="586"/>
      <c r="BL93" s="601"/>
      <c r="BM93" s="602"/>
    </row>
    <row r="94" spans="46:65" ht="15.95" customHeight="1"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17" t="s">
        <v>145</v>
      </c>
      <c r="BH94" s="618"/>
      <c r="BI94" s="618"/>
      <c r="BJ94" s="618"/>
      <c r="BK94" s="619"/>
      <c r="BL94" s="623">
        <f>SUM(BL82:BM93)</f>
        <v>942.27</v>
      </c>
      <c r="BM94" s="624"/>
    </row>
    <row r="95" spans="46:65" ht="15.95" customHeight="1" thickBot="1"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20"/>
      <c r="BH95" s="621"/>
      <c r="BI95" s="621"/>
      <c r="BJ95" s="621"/>
      <c r="BK95" s="622"/>
      <c r="BL95" s="625"/>
      <c r="BM95" s="626"/>
    </row>
    <row r="96" spans="46:65" ht="15.95" customHeight="1" thickBot="1"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70"/>
      <c r="BM96" s="70"/>
    </row>
    <row r="97" spans="46:65" ht="15.95" customHeight="1"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28" t="s">
        <v>295</v>
      </c>
      <c r="BH97" s="629"/>
      <c r="BI97" s="629"/>
      <c r="BJ97" s="629"/>
      <c r="BK97" s="630"/>
      <c r="BL97" s="634">
        <f>BL79-BL94</f>
        <v>-216.26999999999998</v>
      </c>
      <c r="BM97" s="635"/>
    </row>
    <row r="98" spans="46:65" ht="15.95" customHeight="1" thickBot="1"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1"/>
      <c r="BH98" s="632"/>
      <c r="BI98" s="632"/>
      <c r="BJ98" s="632"/>
      <c r="BK98" s="633"/>
      <c r="BL98" s="636"/>
      <c r="BM98" s="637"/>
    </row>
  </sheetData>
  <mergeCells count="846">
    <mergeCell ref="BG94:BK95"/>
    <mergeCell ref="BL94:BM95"/>
    <mergeCell ref="BG97:BK98"/>
    <mergeCell ref="BL97:BM98"/>
    <mergeCell ref="BG84:BK85"/>
    <mergeCell ref="BL84:BM85"/>
    <mergeCell ref="BG86:BK87"/>
    <mergeCell ref="BL86:BM87"/>
    <mergeCell ref="BG88:BK89"/>
    <mergeCell ref="BL88:BM89"/>
    <mergeCell ref="BG90:BK91"/>
    <mergeCell ref="BL90:BM91"/>
    <mergeCell ref="BG92:BK93"/>
    <mergeCell ref="BL92:BM93"/>
    <mergeCell ref="BH74:BH75"/>
    <mergeCell ref="BI74:BI75"/>
    <mergeCell ref="BB76:BB77"/>
    <mergeCell ref="BH76:BH77"/>
    <mergeCell ref="BG79:BK80"/>
    <mergeCell ref="BL79:BM80"/>
    <mergeCell ref="BH71:BH72"/>
    <mergeCell ref="BI71:BJ72"/>
    <mergeCell ref="BK71:BK72"/>
    <mergeCell ref="BD71:BF72"/>
    <mergeCell ref="BG71:BG72"/>
    <mergeCell ref="BG74:BG75"/>
    <mergeCell ref="AT80:AU81"/>
    <mergeCell ref="AV80:AV81"/>
    <mergeCell ref="AT82:AU83"/>
    <mergeCell ref="AV82:AV83"/>
    <mergeCell ref="BG82:BK83"/>
    <mergeCell ref="BL82:BM83"/>
    <mergeCell ref="AT76:AU77"/>
    <mergeCell ref="AV76:AV77"/>
    <mergeCell ref="AW76:AW77"/>
    <mergeCell ref="AX76:AX77"/>
    <mergeCell ref="AY76:AY77"/>
    <mergeCell ref="AZ76:AZ77"/>
    <mergeCell ref="BA76:BA77"/>
    <mergeCell ref="AR71:AU72"/>
    <mergeCell ref="BC7:BC8"/>
    <mergeCell ref="BA5:BA6"/>
    <mergeCell ref="BB5:BB6"/>
    <mergeCell ref="AY5:AY6"/>
    <mergeCell ref="AZ5:AZ6"/>
    <mergeCell ref="AR63:AU64"/>
    <mergeCell ref="AR65:AU66"/>
    <mergeCell ref="AR67:AU68"/>
    <mergeCell ref="AR69:AU70"/>
    <mergeCell ref="BA9:BA10"/>
    <mergeCell ref="BA47:BA48"/>
    <mergeCell ref="BA59:BA60"/>
    <mergeCell ref="BA43:BA44"/>
    <mergeCell ref="BA45:BA46"/>
    <mergeCell ref="BA55:BA56"/>
    <mergeCell ref="BA57:BA58"/>
    <mergeCell ref="BA13:BA14"/>
    <mergeCell ref="BA61:BA62"/>
    <mergeCell ref="BA63:BA64"/>
    <mergeCell ref="BA65:BA66"/>
    <mergeCell ref="BA69:BA70"/>
    <mergeCell ref="BA29:BA30"/>
    <mergeCell ref="BA25:BA26"/>
    <mergeCell ref="AT74:AU75"/>
    <mergeCell ref="AV74:AV75"/>
    <mergeCell ref="AW74:AW75"/>
    <mergeCell ref="AX74:AX75"/>
    <mergeCell ref="AY74:AY75"/>
    <mergeCell ref="AZ74:AZ75"/>
    <mergeCell ref="BA74:BA75"/>
    <mergeCell ref="BC74:BC75"/>
    <mergeCell ref="BB74:BB75"/>
    <mergeCell ref="AZ67:AZ68"/>
    <mergeCell ref="BA67:BA68"/>
    <mergeCell ref="BB67:BB68"/>
    <mergeCell ref="BC67:BC68"/>
    <mergeCell ref="AV71:AV72"/>
    <mergeCell ref="AW71:AW72"/>
    <mergeCell ref="AX71:AX72"/>
    <mergeCell ref="AY71:AY72"/>
    <mergeCell ref="AZ71:AZ72"/>
    <mergeCell ref="BB71:BB72"/>
    <mergeCell ref="BC71:BC72"/>
    <mergeCell ref="BA71:BA72"/>
    <mergeCell ref="AZ63:AZ64"/>
    <mergeCell ref="BB63:BB64"/>
    <mergeCell ref="BC63:BC64"/>
    <mergeCell ref="BD63:BF64"/>
    <mergeCell ref="BG67:BG68"/>
    <mergeCell ref="BH67:BH68"/>
    <mergeCell ref="BI67:BJ68"/>
    <mergeCell ref="BK67:BK68"/>
    <mergeCell ref="AV69:AV70"/>
    <mergeCell ref="AW69:AW70"/>
    <mergeCell ref="AX69:AX70"/>
    <mergeCell ref="AY69:AY70"/>
    <mergeCell ref="AZ69:AZ70"/>
    <mergeCell ref="BB69:BB70"/>
    <mergeCell ref="BC69:BC70"/>
    <mergeCell ref="BD69:BF70"/>
    <mergeCell ref="BG69:BG70"/>
    <mergeCell ref="BH69:BH70"/>
    <mergeCell ref="BI69:BJ70"/>
    <mergeCell ref="BK69:BK70"/>
    <mergeCell ref="AV67:AV68"/>
    <mergeCell ref="AW67:AW68"/>
    <mergeCell ref="AX67:AX68"/>
    <mergeCell ref="AY67:AY68"/>
    <mergeCell ref="AZ13:AZ14"/>
    <mergeCell ref="BB13:BB14"/>
    <mergeCell ref="BC13:BC14"/>
    <mergeCell ref="BD13:BF14"/>
    <mergeCell ref="BD67:BF68"/>
    <mergeCell ref="BH63:BH64"/>
    <mergeCell ref="BI63:BJ64"/>
    <mergeCell ref="BK63:BK64"/>
    <mergeCell ref="AV65:AV66"/>
    <mergeCell ref="AW65:AW66"/>
    <mergeCell ref="AX65:AX66"/>
    <mergeCell ref="AY65:AY66"/>
    <mergeCell ref="AZ65:AZ66"/>
    <mergeCell ref="BB65:BB66"/>
    <mergeCell ref="BC65:BC66"/>
    <mergeCell ref="BD65:BF66"/>
    <mergeCell ref="BG65:BG66"/>
    <mergeCell ref="BH65:BH66"/>
    <mergeCell ref="BI65:BJ66"/>
    <mergeCell ref="BK65:BK66"/>
    <mergeCell ref="AV63:AV64"/>
    <mergeCell ref="AW63:AW64"/>
    <mergeCell ref="AX63:AX64"/>
    <mergeCell ref="AY63:AY64"/>
    <mergeCell ref="BK17:BK18"/>
    <mergeCell ref="BH19:BH20"/>
    <mergeCell ref="BI19:BJ20"/>
    <mergeCell ref="BG19:BG20"/>
    <mergeCell ref="BG63:BG64"/>
    <mergeCell ref="BH13:BH14"/>
    <mergeCell ref="BI13:BJ14"/>
    <mergeCell ref="BK13:BK14"/>
    <mergeCell ref="AV61:AV62"/>
    <mergeCell ref="AW61:AW62"/>
    <mergeCell ref="AX61:AX62"/>
    <mergeCell ref="AY61:AY62"/>
    <mergeCell ref="AZ61:AZ62"/>
    <mergeCell ref="BB61:BB62"/>
    <mergeCell ref="BC61:BC62"/>
    <mergeCell ref="BD61:BF62"/>
    <mergeCell ref="BG61:BG62"/>
    <mergeCell ref="BH61:BH62"/>
    <mergeCell ref="BI61:BJ62"/>
    <mergeCell ref="BK61:BK62"/>
    <mergeCell ref="AV13:AV14"/>
    <mergeCell ref="AW13:AW14"/>
    <mergeCell ref="AX13:AX14"/>
    <mergeCell ref="AY13:AY14"/>
    <mergeCell ref="AX17:AX18"/>
    <mergeCell ref="AY17:AY18"/>
    <mergeCell ref="AZ17:AZ18"/>
    <mergeCell ref="BB21:BB22"/>
    <mergeCell ref="BC21:BC22"/>
    <mergeCell ref="BD21:BF22"/>
    <mergeCell ref="BG21:BG22"/>
    <mergeCell ref="AV21:AV22"/>
    <mergeCell ref="AW21:AW22"/>
    <mergeCell ref="AX21:AX22"/>
    <mergeCell ref="AY21:AY22"/>
    <mergeCell ref="AZ21:AZ22"/>
    <mergeCell ref="BA21:BA22"/>
    <mergeCell ref="BB17:BB18"/>
    <mergeCell ref="BC17:BC18"/>
    <mergeCell ref="BD17:BF18"/>
    <mergeCell ref="BG17:BG18"/>
    <mergeCell ref="BC19:BC20"/>
    <mergeCell ref="BB19:BB20"/>
    <mergeCell ref="BK59:BK60"/>
    <mergeCell ref="AV37:AV38"/>
    <mergeCell ref="AW37:AW38"/>
    <mergeCell ref="AX37:AX38"/>
    <mergeCell ref="AY37:AY38"/>
    <mergeCell ref="AZ37:AZ38"/>
    <mergeCell ref="BH55:BH56"/>
    <mergeCell ref="BI55:BJ56"/>
    <mergeCell ref="BK55:BK56"/>
    <mergeCell ref="BB57:BB58"/>
    <mergeCell ref="BC57:BC58"/>
    <mergeCell ref="BD57:BF58"/>
    <mergeCell ref="BG57:BG58"/>
    <mergeCell ref="BH57:BH58"/>
    <mergeCell ref="BI57:BJ58"/>
    <mergeCell ref="BK57:BK58"/>
    <mergeCell ref="BH45:BH46"/>
    <mergeCell ref="BI45:BJ46"/>
    <mergeCell ref="BK47:BK48"/>
    <mergeCell ref="BH53:BH54"/>
    <mergeCell ref="BI53:BJ54"/>
    <mergeCell ref="BK53:BK54"/>
    <mergeCell ref="AV57:AV58"/>
    <mergeCell ref="AW57:AW58"/>
    <mergeCell ref="AX57:AX58"/>
    <mergeCell ref="AY57:AY58"/>
    <mergeCell ref="AZ57:AZ58"/>
    <mergeCell ref="AZ53:AZ54"/>
    <mergeCell ref="BB51:BB52"/>
    <mergeCell ref="BC51:BC52"/>
    <mergeCell ref="BB55:BB56"/>
    <mergeCell ref="BC55:BC56"/>
    <mergeCell ref="BD55:BF56"/>
    <mergeCell ref="BD51:BF52"/>
    <mergeCell ref="BA51:BA52"/>
    <mergeCell ref="AY59:AY60"/>
    <mergeCell ref="AZ59:AZ60"/>
    <mergeCell ref="BB47:BB48"/>
    <mergeCell ref="BC47:BC48"/>
    <mergeCell ref="BD47:BF48"/>
    <mergeCell ref="BG47:BG48"/>
    <mergeCell ref="BH47:BH48"/>
    <mergeCell ref="BB49:BB50"/>
    <mergeCell ref="BC49:BC50"/>
    <mergeCell ref="BD49:BF50"/>
    <mergeCell ref="BG49:BG50"/>
    <mergeCell ref="BH51:BH52"/>
    <mergeCell ref="BB59:BB60"/>
    <mergeCell ref="BC59:BC60"/>
    <mergeCell ref="BG51:BG52"/>
    <mergeCell ref="BD59:BF60"/>
    <mergeCell ref="BG59:BG60"/>
    <mergeCell ref="BH59:BH60"/>
    <mergeCell ref="BI59:BJ60"/>
    <mergeCell ref="AX9:AX10"/>
    <mergeCell ref="AY9:AY10"/>
    <mergeCell ref="AZ9:AZ10"/>
    <mergeCell ref="BB45:BB46"/>
    <mergeCell ref="BC45:BC46"/>
    <mergeCell ref="BD45:BF46"/>
    <mergeCell ref="BG45:BG46"/>
    <mergeCell ref="BB43:BB44"/>
    <mergeCell ref="BC43:BC44"/>
    <mergeCell ref="BD43:BF44"/>
    <mergeCell ref="BG43:BG44"/>
    <mergeCell ref="AX15:AX16"/>
    <mergeCell ref="AY15:AY16"/>
    <mergeCell ref="AZ15:AZ16"/>
    <mergeCell ref="BB39:BB40"/>
    <mergeCell ref="BC39:BC40"/>
    <mergeCell ref="BD39:BF40"/>
    <mergeCell ref="BG55:BG56"/>
    <mergeCell ref="AX11:AX12"/>
    <mergeCell ref="AX59:AX60"/>
    <mergeCell ref="BI43:BJ44"/>
    <mergeCell ref="BI33:BJ34"/>
    <mergeCell ref="BH43:BH44"/>
    <mergeCell ref="BK49:BK50"/>
    <mergeCell ref="AV51:AV52"/>
    <mergeCell ref="AW51:AW52"/>
    <mergeCell ref="AX51:AX52"/>
    <mergeCell ref="AY51:AY52"/>
    <mergeCell ref="AZ51:AZ52"/>
    <mergeCell ref="AX53:AX54"/>
    <mergeCell ref="AY53:AY54"/>
    <mergeCell ref="AY49:AY50"/>
    <mergeCell ref="AZ49:AZ50"/>
    <mergeCell ref="BA49:BA50"/>
    <mergeCell ref="AV49:AV50"/>
    <mergeCell ref="AX55:AX56"/>
    <mergeCell ref="AY55:AY56"/>
    <mergeCell ref="AZ55:AZ56"/>
    <mergeCell ref="BB53:BB54"/>
    <mergeCell ref="BC53:BC54"/>
    <mergeCell ref="BD53:BF54"/>
    <mergeCell ref="BG53:BG54"/>
    <mergeCell ref="BH49:BH50"/>
    <mergeCell ref="BI49:BJ50"/>
    <mergeCell ref="AX31:AX32"/>
    <mergeCell ref="AY31:AY32"/>
    <mergeCell ref="AZ31:AZ32"/>
    <mergeCell ref="BC33:BC34"/>
    <mergeCell ref="AX47:AX48"/>
    <mergeCell ref="AY47:AY48"/>
    <mergeCell ref="AZ47:AZ48"/>
    <mergeCell ref="BK45:BK46"/>
    <mergeCell ref="AV35:AV36"/>
    <mergeCell ref="AW35:AW36"/>
    <mergeCell ref="AX35:AX36"/>
    <mergeCell ref="AY35:AY36"/>
    <mergeCell ref="AZ35:AZ36"/>
    <mergeCell ref="BB41:BB42"/>
    <mergeCell ref="BC41:BC42"/>
    <mergeCell ref="BD41:BF42"/>
    <mergeCell ref="BG41:BG42"/>
    <mergeCell ref="BH41:BH42"/>
    <mergeCell ref="BI41:BJ42"/>
    <mergeCell ref="BK41:BK42"/>
    <mergeCell ref="AX33:AX34"/>
    <mergeCell ref="BK43:BK44"/>
    <mergeCell ref="AX49:AX50"/>
    <mergeCell ref="BK19:BK20"/>
    <mergeCell ref="AV45:AV46"/>
    <mergeCell ref="AW45:AW46"/>
    <mergeCell ref="AX45:AX46"/>
    <mergeCell ref="AY45:AY46"/>
    <mergeCell ref="AZ45:AZ46"/>
    <mergeCell ref="AX25:AX26"/>
    <mergeCell ref="AY25:AY26"/>
    <mergeCell ref="AZ25:AZ26"/>
    <mergeCell ref="AZ33:AZ34"/>
    <mergeCell ref="AV25:AV26"/>
    <mergeCell ref="AW25:AW26"/>
    <mergeCell ref="BI47:BJ48"/>
    <mergeCell ref="BB27:BB28"/>
    <mergeCell ref="BC27:BC28"/>
    <mergeCell ref="BD27:BF28"/>
    <mergeCell ref="BG27:BG28"/>
    <mergeCell ref="BH39:BH40"/>
    <mergeCell ref="BK35:BK36"/>
    <mergeCell ref="BD33:BF34"/>
    <mergeCell ref="BG33:BG34"/>
    <mergeCell ref="BH33:BH34"/>
    <mergeCell ref="BK39:BK40"/>
    <mergeCell ref="BK33:BK34"/>
    <mergeCell ref="BH25:BH26"/>
    <mergeCell ref="BI25:BJ26"/>
    <mergeCell ref="BH27:BH28"/>
    <mergeCell ref="BI27:BJ28"/>
    <mergeCell ref="BK27:BK28"/>
    <mergeCell ref="BI31:BJ32"/>
    <mergeCell ref="BK31:BK32"/>
    <mergeCell ref="BK25:BK26"/>
    <mergeCell ref="BK21:BK22"/>
    <mergeCell ref="BH17:BH18"/>
    <mergeCell ref="BI17:BJ18"/>
    <mergeCell ref="BH11:BH12"/>
    <mergeCell ref="BI11:BJ12"/>
    <mergeCell ref="BK11:BK12"/>
    <mergeCell ref="AV43:AV44"/>
    <mergeCell ref="AW43:AW44"/>
    <mergeCell ref="AX43:AX44"/>
    <mergeCell ref="AY43:AY44"/>
    <mergeCell ref="AZ43:AZ44"/>
    <mergeCell ref="BB37:BB38"/>
    <mergeCell ref="BC37:BC38"/>
    <mergeCell ref="BD37:BF38"/>
    <mergeCell ref="BG37:BG38"/>
    <mergeCell ref="BH37:BH38"/>
    <mergeCell ref="BI37:BJ38"/>
    <mergeCell ref="BK37:BK38"/>
    <mergeCell ref="AV23:AV24"/>
    <mergeCell ref="AW23:AW24"/>
    <mergeCell ref="AX23:AX24"/>
    <mergeCell ref="AY23:AY24"/>
    <mergeCell ref="BH35:BH36"/>
    <mergeCell ref="BI35:BJ36"/>
    <mergeCell ref="BG11:BG12"/>
    <mergeCell ref="BB9:BB10"/>
    <mergeCell ref="BC9:BC10"/>
    <mergeCell ref="BD9:BF10"/>
    <mergeCell ref="BG9:BG10"/>
    <mergeCell ref="BH9:BH10"/>
    <mergeCell ref="BH31:BH32"/>
    <mergeCell ref="BA17:BA18"/>
    <mergeCell ref="BA19:BA20"/>
    <mergeCell ref="BD25:BF26"/>
    <mergeCell ref="BG25:BG26"/>
    <mergeCell ref="BH21:BH22"/>
    <mergeCell ref="BD19:BF20"/>
    <mergeCell ref="BB15:BB16"/>
    <mergeCell ref="BC15:BC16"/>
    <mergeCell ref="BD15:BF16"/>
    <mergeCell ref="BG15:BG16"/>
    <mergeCell ref="BA11:BA12"/>
    <mergeCell ref="BG13:BG14"/>
    <mergeCell ref="BB23:BB24"/>
    <mergeCell ref="BC23:BC24"/>
    <mergeCell ref="BB25:BB26"/>
    <mergeCell ref="BC25:BC26"/>
    <mergeCell ref="BK9:BK10"/>
    <mergeCell ref="AV41:AV42"/>
    <mergeCell ref="AW41:AW42"/>
    <mergeCell ref="AX41:AX42"/>
    <mergeCell ref="AY41:AY42"/>
    <mergeCell ref="AZ41:AZ42"/>
    <mergeCell ref="BB35:BB36"/>
    <mergeCell ref="BC35:BC36"/>
    <mergeCell ref="BD35:BF36"/>
    <mergeCell ref="BG35:BG36"/>
    <mergeCell ref="BK15:BK16"/>
    <mergeCell ref="AV27:AV28"/>
    <mergeCell ref="AW27:AW28"/>
    <mergeCell ref="AX27:AX28"/>
    <mergeCell ref="AY27:AY28"/>
    <mergeCell ref="AZ27:AZ28"/>
    <mergeCell ref="BB33:BB34"/>
    <mergeCell ref="BI15:BJ16"/>
    <mergeCell ref="BD23:BF24"/>
    <mergeCell ref="BG23:BG24"/>
    <mergeCell ref="BH23:BH24"/>
    <mergeCell ref="BI23:BJ24"/>
    <mergeCell ref="BK23:BK24"/>
    <mergeCell ref="AZ23:AZ24"/>
    <mergeCell ref="AX39:AX40"/>
    <mergeCell ref="AY39:AY40"/>
    <mergeCell ref="AZ39:AZ40"/>
    <mergeCell ref="BB31:BB32"/>
    <mergeCell ref="BC31:BC32"/>
    <mergeCell ref="BD31:BF32"/>
    <mergeCell ref="BG31:BG32"/>
    <mergeCell ref="BA37:BA38"/>
    <mergeCell ref="BI9:BJ10"/>
    <mergeCell ref="BB11:BB12"/>
    <mergeCell ref="BC11:BC12"/>
    <mergeCell ref="BD11:BF12"/>
    <mergeCell ref="BI21:BJ22"/>
    <mergeCell ref="BI39:BJ40"/>
    <mergeCell ref="AY33:AY34"/>
    <mergeCell ref="AY11:AY12"/>
    <mergeCell ref="AZ11:AZ12"/>
    <mergeCell ref="AX29:AX30"/>
    <mergeCell ref="AX19:AX20"/>
    <mergeCell ref="BA23:BA24"/>
    <mergeCell ref="BA31:BA32"/>
    <mergeCell ref="BA15:BA16"/>
    <mergeCell ref="BA33:BA34"/>
    <mergeCell ref="BG39:BG40"/>
    <mergeCell ref="BI51:BJ52"/>
    <mergeCell ref="BK51:BK52"/>
    <mergeCell ref="AY19:AY20"/>
    <mergeCell ref="AZ19:AZ20"/>
    <mergeCell ref="BA53:BA54"/>
    <mergeCell ref="BA39:BA40"/>
    <mergeCell ref="BA41:BA42"/>
    <mergeCell ref="BD7:BF8"/>
    <mergeCell ref="BG7:BG8"/>
    <mergeCell ref="BH7:BH8"/>
    <mergeCell ref="BI7:BJ8"/>
    <mergeCell ref="BK7:BK8"/>
    <mergeCell ref="AY29:AY30"/>
    <mergeCell ref="AZ29:AZ30"/>
    <mergeCell ref="BB29:BB30"/>
    <mergeCell ref="BC29:BC30"/>
    <mergeCell ref="BD29:BF30"/>
    <mergeCell ref="BG29:BG30"/>
    <mergeCell ref="BH29:BH30"/>
    <mergeCell ref="BI29:BJ30"/>
    <mergeCell ref="BK29:BK30"/>
    <mergeCell ref="BA35:BA36"/>
    <mergeCell ref="BA27:BA28"/>
    <mergeCell ref="BH15:BH16"/>
    <mergeCell ref="AW7:AW8"/>
    <mergeCell ref="AX7:AX8"/>
    <mergeCell ref="AY7:AY8"/>
    <mergeCell ref="AZ7:AZ8"/>
    <mergeCell ref="BA7:BA8"/>
    <mergeCell ref="BB7:BB8"/>
    <mergeCell ref="AV3:AX4"/>
    <mergeCell ref="AV5:AV6"/>
    <mergeCell ref="AW5:AW6"/>
    <mergeCell ref="AX5:AX6"/>
    <mergeCell ref="AY3:BA4"/>
    <mergeCell ref="AR9:AU10"/>
    <mergeCell ref="AR59:AU60"/>
    <mergeCell ref="AR11:AU12"/>
    <mergeCell ref="AR21:AU22"/>
    <mergeCell ref="AR37:AU38"/>
    <mergeCell ref="AR17:AU18"/>
    <mergeCell ref="AR13:AU14"/>
    <mergeCell ref="AV9:AV10"/>
    <mergeCell ref="AV7:AV8"/>
    <mergeCell ref="AV33:AV34"/>
    <mergeCell ref="AV17:AV18"/>
    <mergeCell ref="AV39:AV40"/>
    <mergeCell ref="AV29:AV30"/>
    <mergeCell ref="AV19:AV20"/>
    <mergeCell ref="AV31:AV32"/>
    <mergeCell ref="AV55:AV56"/>
    <mergeCell ref="AW9:AW10"/>
    <mergeCell ref="AV15:AV16"/>
    <mergeCell ref="AW15:AW16"/>
    <mergeCell ref="AV59:AV60"/>
    <mergeCell ref="AW59:AW60"/>
    <mergeCell ref="AV11:AV12"/>
    <mergeCell ref="AW11:AW12"/>
    <mergeCell ref="AV47:AV48"/>
    <mergeCell ref="AW47:AW48"/>
    <mergeCell ref="AV53:AV54"/>
    <mergeCell ref="AW53:AW54"/>
    <mergeCell ref="AW33:AW34"/>
    <mergeCell ref="AW17:AW18"/>
    <mergeCell ref="AW39:AW40"/>
    <mergeCell ref="AW29:AW30"/>
    <mergeCell ref="AW19:AW20"/>
    <mergeCell ref="AW49:AW50"/>
    <mergeCell ref="AW31:AW32"/>
    <mergeCell ref="AW55:AW56"/>
    <mergeCell ref="AR61:AU62"/>
    <mergeCell ref="AR23:AU24"/>
    <mergeCell ref="AR43:AU44"/>
    <mergeCell ref="AR45:AU46"/>
    <mergeCell ref="AR47:AU48"/>
    <mergeCell ref="AR31:AU32"/>
    <mergeCell ref="AR15:AU16"/>
    <mergeCell ref="AR33:AU34"/>
    <mergeCell ref="AR35:AU36"/>
    <mergeCell ref="AR55:AU56"/>
    <mergeCell ref="AR57:AU58"/>
    <mergeCell ref="G25:G26"/>
    <mergeCell ref="AR3:AU8"/>
    <mergeCell ref="AR29:AU30"/>
    <mergeCell ref="AR19:AU20"/>
    <mergeCell ref="AR53:AU54"/>
    <mergeCell ref="AR49:AU50"/>
    <mergeCell ref="AR39:AU40"/>
    <mergeCell ref="AR25:AU26"/>
    <mergeCell ref="AR27:AU28"/>
    <mergeCell ref="AR41:AU42"/>
    <mergeCell ref="AR51:AU52"/>
    <mergeCell ref="AJ16:AN17"/>
    <mergeCell ref="AO16:AP17"/>
    <mergeCell ref="AJ18:AN19"/>
    <mergeCell ref="AO18:AP19"/>
    <mergeCell ref="AJ21:AN22"/>
    <mergeCell ref="AO21:AP22"/>
    <mergeCell ref="AJ10:AN11"/>
    <mergeCell ref="AO10:AP11"/>
    <mergeCell ref="AJ12:AN13"/>
    <mergeCell ref="AO12:AP13"/>
    <mergeCell ref="AJ3:AN4"/>
    <mergeCell ref="AO3:AP4"/>
    <mergeCell ref="AJ6:AN7"/>
    <mergeCell ref="AO6:AP7"/>
    <mergeCell ref="AJ8:AN9"/>
    <mergeCell ref="AO8:AP9"/>
    <mergeCell ref="AG55:AG56"/>
    <mergeCell ref="AH55:AH56"/>
    <mergeCell ref="AG53:AG54"/>
    <mergeCell ref="AH53:AH54"/>
    <mergeCell ref="AG51:AG52"/>
    <mergeCell ref="AH51:AH52"/>
    <mergeCell ref="AG49:AG50"/>
    <mergeCell ref="AH49:AH50"/>
    <mergeCell ref="AG47:AG48"/>
    <mergeCell ref="AH47:AH48"/>
    <mergeCell ref="AH37:AH38"/>
    <mergeCell ref="AH33:AH34"/>
    <mergeCell ref="AG29:AG30"/>
    <mergeCell ref="AH29:AH30"/>
    <mergeCell ref="AG17:AG18"/>
    <mergeCell ref="AH17:AH18"/>
    <mergeCell ref="AG15:AG16"/>
    <mergeCell ref="AH15:AH16"/>
    <mergeCell ref="AC47:AC48"/>
    <mergeCell ref="AD47:AD48"/>
    <mergeCell ref="AE47:AE48"/>
    <mergeCell ref="AF47:AF48"/>
    <mergeCell ref="AC45:AC46"/>
    <mergeCell ref="AD45:AD46"/>
    <mergeCell ref="AE45:AE46"/>
    <mergeCell ref="AJ14:AN15"/>
    <mergeCell ref="AO14:AP15"/>
    <mergeCell ref="AF45:AF46"/>
    <mergeCell ref="AG45:AG46"/>
    <mergeCell ref="AH45:AH46"/>
    <mergeCell ref="AE37:AE38"/>
    <mergeCell ref="AF37:AF38"/>
    <mergeCell ref="AG37:AG38"/>
    <mergeCell ref="AC37:AC38"/>
    <mergeCell ref="AC21:AC22"/>
    <mergeCell ref="AD21:AD22"/>
    <mergeCell ref="AE21:AE22"/>
    <mergeCell ref="AH19:AH20"/>
    <mergeCell ref="AG13:AG14"/>
    <mergeCell ref="AH13:AH14"/>
    <mergeCell ref="AE13:AE14"/>
    <mergeCell ref="AF13:AF14"/>
    <mergeCell ref="AC53:AC54"/>
    <mergeCell ref="AD53:AD54"/>
    <mergeCell ref="AE53:AE54"/>
    <mergeCell ref="AF53:AF54"/>
    <mergeCell ref="AC51:AC52"/>
    <mergeCell ref="AD51:AD52"/>
    <mergeCell ref="AE51:AE52"/>
    <mergeCell ref="AF51:AF52"/>
    <mergeCell ref="AC49:AC50"/>
    <mergeCell ref="AD49:AD50"/>
    <mergeCell ref="AE49:AE50"/>
    <mergeCell ref="AF49:AF50"/>
    <mergeCell ref="M53:M54"/>
    <mergeCell ref="N53:P54"/>
    <mergeCell ref="Q53:Q54"/>
    <mergeCell ref="R53:R54"/>
    <mergeCell ref="S53:S54"/>
    <mergeCell ref="T53:T54"/>
    <mergeCell ref="Y53:Y54"/>
    <mergeCell ref="Z53:AB54"/>
    <mergeCell ref="Y51:Y52"/>
    <mergeCell ref="Z51:AB52"/>
    <mergeCell ref="M51:M52"/>
    <mergeCell ref="N51:P52"/>
    <mergeCell ref="Q51:Q52"/>
    <mergeCell ref="R51:R52"/>
    <mergeCell ref="S51:S52"/>
    <mergeCell ref="T51:T52"/>
    <mergeCell ref="M49:M50"/>
    <mergeCell ref="N49:P50"/>
    <mergeCell ref="Q49:Q50"/>
    <mergeCell ref="R49:R50"/>
    <mergeCell ref="S49:S50"/>
    <mergeCell ref="T49:T50"/>
    <mergeCell ref="Y49:Y50"/>
    <mergeCell ref="Z49:AB50"/>
    <mergeCell ref="Y47:Y48"/>
    <mergeCell ref="Z47:AB48"/>
    <mergeCell ref="M47:M48"/>
    <mergeCell ref="N47:P48"/>
    <mergeCell ref="Q47:Q48"/>
    <mergeCell ref="R47:R48"/>
    <mergeCell ref="S47:S48"/>
    <mergeCell ref="T47:T48"/>
    <mergeCell ref="M43:P46"/>
    <mergeCell ref="Y43:AB46"/>
    <mergeCell ref="Q45:Q46"/>
    <mergeCell ref="R45:R46"/>
    <mergeCell ref="S45:S46"/>
    <mergeCell ref="T45:T46"/>
    <mergeCell ref="AF39:AF40"/>
    <mergeCell ref="AH39:AH40"/>
    <mergeCell ref="AH35:AH36"/>
    <mergeCell ref="M37:M38"/>
    <mergeCell ref="N37:P38"/>
    <mergeCell ref="Q37:Q38"/>
    <mergeCell ref="R37:R38"/>
    <mergeCell ref="S37:S38"/>
    <mergeCell ref="T37:T38"/>
    <mergeCell ref="Y37:Y38"/>
    <mergeCell ref="Z37:AB38"/>
    <mergeCell ref="AD37:AD38"/>
    <mergeCell ref="Y35:Y36"/>
    <mergeCell ref="Z35:AB36"/>
    <mergeCell ref="AD35:AD36"/>
    <mergeCell ref="AE35:AE36"/>
    <mergeCell ref="AF35:AF36"/>
    <mergeCell ref="AG35:AG36"/>
    <mergeCell ref="M35:M36"/>
    <mergeCell ref="N35:P36"/>
    <mergeCell ref="Q35:Q36"/>
    <mergeCell ref="R35:R36"/>
    <mergeCell ref="S35:S36"/>
    <mergeCell ref="T35:T36"/>
    <mergeCell ref="AH23:AH24"/>
    <mergeCell ref="AH31:AH32"/>
    <mergeCell ref="Y31:Y32"/>
    <mergeCell ref="Z31:AB32"/>
    <mergeCell ref="AD31:AD32"/>
    <mergeCell ref="AE31:AE32"/>
    <mergeCell ref="AF31:AF32"/>
    <mergeCell ref="AG31:AG32"/>
    <mergeCell ref="AE33:AE34"/>
    <mergeCell ref="AF33:AF34"/>
    <mergeCell ref="AG33:AG34"/>
    <mergeCell ref="AC29:AC30"/>
    <mergeCell ref="AC31:AC32"/>
    <mergeCell ref="AC33:AC34"/>
    <mergeCell ref="AC35:AC36"/>
    <mergeCell ref="M33:M34"/>
    <mergeCell ref="N33:P34"/>
    <mergeCell ref="Q33:Q34"/>
    <mergeCell ref="R33:R34"/>
    <mergeCell ref="S33:S34"/>
    <mergeCell ref="T33:T34"/>
    <mergeCell ref="Y33:Y34"/>
    <mergeCell ref="Z33:AB34"/>
    <mergeCell ref="AD33:AD34"/>
    <mergeCell ref="M31:M32"/>
    <mergeCell ref="M27:P30"/>
    <mergeCell ref="Y27:AB30"/>
    <mergeCell ref="Q29:Q30"/>
    <mergeCell ref="R29:R30"/>
    <mergeCell ref="S29:S30"/>
    <mergeCell ref="R23:R24"/>
    <mergeCell ref="S23:S24"/>
    <mergeCell ref="U23:U24"/>
    <mergeCell ref="N31:P32"/>
    <mergeCell ref="Q31:Q32"/>
    <mergeCell ref="R31:R32"/>
    <mergeCell ref="S31:S32"/>
    <mergeCell ref="T31:T32"/>
    <mergeCell ref="AH21:AH22"/>
    <mergeCell ref="AF21:AF22"/>
    <mergeCell ref="T29:T30"/>
    <mergeCell ref="AD29:AD30"/>
    <mergeCell ref="AE29:AE30"/>
    <mergeCell ref="AF29:AF30"/>
    <mergeCell ref="AG21:AG22"/>
    <mergeCell ref="AG23:AG24"/>
    <mergeCell ref="M21:M22"/>
    <mergeCell ref="N21:P22"/>
    <mergeCell ref="Q21:Q22"/>
    <mergeCell ref="R21:R22"/>
    <mergeCell ref="S21:S22"/>
    <mergeCell ref="T21:T22"/>
    <mergeCell ref="U21:U22"/>
    <mergeCell ref="Y21:Y22"/>
    <mergeCell ref="Z21:AB22"/>
    <mergeCell ref="AD13:AD14"/>
    <mergeCell ref="M3:O5"/>
    <mergeCell ref="M15:M16"/>
    <mergeCell ref="N15:P16"/>
    <mergeCell ref="Q15:Q16"/>
    <mergeCell ref="R15:R16"/>
    <mergeCell ref="S15:S16"/>
    <mergeCell ref="T15:T16"/>
    <mergeCell ref="AF15:AF16"/>
    <mergeCell ref="P3:R5"/>
    <mergeCell ref="S3:U5"/>
    <mergeCell ref="V3:X5"/>
    <mergeCell ref="Y3:AA5"/>
    <mergeCell ref="AB3:AD5"/>
    <mergeCell ref="M6:O8"/>
    <mergeCell ref="P6:R8"/>
    <mergeCell ref="S6:U8"/>
    <mergeCell ref="AC15:AC16"/>
    <mergeCell ref="AD15:AD16"/>
    <mergeCell ref="AE15:AE16"/>
    <mergeCell ref="U15:U16"/>
    <mergeCell ref="Y15:Y16"/>
    <mergeCell ref="Y6:AA8"/>
    <mergeCell ref="AB6:AD8"/>
    <mergeCell ref="M19:M20"/>
    <mergeCell ref="M17:M18"/>
    <mergeCell ref="N17:P18"/>
    <mergeCell ref="AF19:AF20"/>
    <mergeCell ref="AG19:AG20"/>
    <mergeCell ref="Y19:Y20"/>
    <mergeCell ref="Y17:Y18"/>
    <mergeCell ref="Z17:AB18"/>
    <mergeCell ref="AE17:AE18"/>
    <mergeCell ref="AF17:AF18"/>
    <mergeCell ref="Z19:AB20"/>
    <mergeCell ref="AC19:AC20"/>
    <mergeCell ref="AD19:AD20"/>
    <mergeCell ref="AE19:AE20"/>
    <mergeCell ref="U17:U18"/>
    <mergeCell ref="AD17:AD18"/>
    <mergeCell ref="B23:B24"/>
    <mergeCell ref="C23:E24"/>
    <mergeCell ref="F23:F24"/>
    <mergeCell ref="H23:H24"/>
    <mergeCell ref="I23:I24"/>
    <mergeCell ref="J23:J24"/>
    <mergeCell ref="K19:K20"/>
    <mergeCell ref="B21:B22"/>
    <mergeCell ref="C21:E22"/>
    <mergeCell ref="F21:F22"/>
    <mergeCell ref="H21:H22"/>
    <mergeCell ref="I21:I22"/>
    <mergeCell ref="J21:J22"/>
    <mergeCell ref="K21:K22"/>
    <mergeCell ref="B19:B20"/>
    <mergeCell ref="C19:E20"/>
    <mergeCell ref="F19:F20"/>
    <mergeCell ref="H19:H20"/>
    <mergeCell ref="I19:I20"/>
    <mergeCell ref="J19:J20"/>
    <mergeCell ref="K23:K24"/>
    <mergeCell ref="G19:G20"/>
    <mergeCell ref="G21:G22"/>
    <mergeCell ref="G23:G24"/>
    <mergeCell ref="B17:B18"/>
    <mergeCell ref="C17:E18"/>
    <mergeCell ref="F17:F18"/>
    <mergeCell ref="H17:H18"/>
    <mergeCell ref="I17:I18"/>
    <mergeCell ref="J17:J18"/>
    <mergeCell ref="K17:K18"/>
    <mergeCell ref="B15:B16"/>
    <mergeCell ref="C15:E16"/>
    <mergeCell ref="F15:F16"/>
    <mergeCell ref="H15:H16"/>
    <mergeCell ref="I15:I16"/>
    <mergeCell ref="J15:J16"/>
    <mergeCell ref="G15:G16"/>
    <mergeCell ref="G17:G18"/>
    <mergeCell ref="K15:K16"/>
    <mergeCell ref="B13:B14"/>
    <mergeCell ref="C13:E14"/>
    <mergeCell ref="F13:F14"/>
    <mergeCell ref="H13:H14"/>
    <mergeCell ref="I13:I14"/>
    <mergeCell ref="J13:J14"/>
    <mergeCell ref="K13:K14"/>
    <mergeCell ref="B11:B12"/>
    <mergeCell ref="C11:E12"/>
    <mergeCell ref="F11:F12"/>
    <mergeCell ref="H11:H12"/>
    <mergeCell ref="I11:I12"/>
    <mergeCell ref="J11:J12"/>
    <mergeCell ref="G11:G12"/>
    <mergeCell ref="G13:G14"/>
    <mergeCell ref="K11:K12"/>
    <mergeCell ref="B9:B10"/>
    <mergeCell ref="C9:E10"/>
    <mergeCell ref="F9:F10"/>
    <mergeCell ref="H9:H10"/>
    <mergeCell ref="I9:I10"/>
    <mergeCell ref="J9:J10"/>
    <mergeCell ref="K9:K10"/>
    <mergeCell ref="B7:B8"/>
    <mergeCell ref="C7:E8"/>
    <mergeCell ref="F7:F8"/>
    <mergeCell ref="H7:H8"/>
    <mergeCell ref="I7:I8"/>
    <mergeCell ref="J7:J8"/>
    <mergeCell ref="G7:G8"/>
    <mergeCell ref="G9:G10"/>
    <mergeCell ref="F3:K4"/>
    <mergeCell ref="F5:F6"/>
    <mergeCell ref="H5:H6"/>
    <mergeCell ref="I5:I6"/>
    <mergeCell ref="J5:J6"/>
    <mergeCell ref="K5:K6"/>
    <mergeCell ref="K7:K8"/>
    <mergeCell ref="G5:G6"/>
    <mergeCell ref="V6:X8"/>
    <mergeCell ref="H25:H26"/>
    <mergeCell ref="I25:I26"/>
    <mergeCell ref="J25:J26"/>
    <mergeCell ref="K25:K26"/>
    <mergeCell ref="T13:T14"/>
    <mergeCell ref="U13:U14"/>
    <mergeCell ref="AC13:AC14"/>
    <mergeCell ref="AC17:AC18"/>
    <mergeCell ref="N19:P20"/>
    <mergeCell ref="Q19:Q20"/>
    <mergeCell ref="R19:R20"/>
    <mergeCell ref="S19:S20"/>
    <mergeCell ref="T19:T20"/>
    <mergeCell ref="U19:U20"/>
    <mergeCell ref="M11:P14"/>
    <mergeCell ref="Y11:AB14"/>
    <mergeCell ref="Q13:Q14"/>
    <mergeCell ref="R13:R14"/>
    <mergeCell ref="S13:S14"/>
    <mergeCell ref="Z15:AB16"/>
    <mergeCell ref="Q17:Q18"/>
    <mergeCell ref="R17:R18"/>
    <mergeCell ref="S17:S18"/>
    <mergeCell ref="T17:T18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Vicinay Candau</dc:creator>
  <cp:keywords/>
  <dc:description/>
  <cp:lastModifiedBy/>
  <cp:revision/>
  <dcterms:created xsi:type="dcterms:W3CDTF">2022-08-09T17:50:29Z</dcterms:created>
  <dcterms:modified xsi:type="dcterms:W3CDTF">2026-05-08T16:55:24Z</dcterms:modified>
  <cp:category/>
  <cp:contentStatus/>
</cp:coreProperties>
</file>